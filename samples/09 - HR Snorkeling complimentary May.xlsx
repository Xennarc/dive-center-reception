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wsSortMap1.xml" ContentType="application/vnd.ms-excel.wsSortMap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wsSortMap2.xml" ContentType="application/vnd.ms-excel.wsSortMap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wsSortMap3.xml" ContentType="application/vnd.ms-excel.wsSortMap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07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6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67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BOOKINGS\2026\05- May\"/>
    </mc:Choice>
  </mc:AlternateContent>
  <bookViews>
    <workbookView showHorizontalScroll="0" showVerticalScroll="0" xWindow="0" yWindow="0" windowWidth="23040" windowHeight="9072" tabRatio="771" activeTab="7"/>
  </bookViews>
  <sheets>
    <sheet name="1" sheetId="1" r:id="rId1"/>
    <sheet name="4" sheetId="2" r:id="rId2"/>
    <sheet name="6" sheetId="3" r:id="rId3"/>
    <sheet name="8" sheetId="4" r:id="rId4"/>
    <sheet name="11" sheetId="5" r:id="rId5"/>
    <sheet name="13" sheetId="6" r:id="rId6"/>
    <sheet name="15" sheetId="7" r:id="rId7"/>
    <sheet name="18" sheetId="8" r:id="rId8"/>
    <sheet name="20" sheetId="9" r:id="rId9"/>
    <sheet name="22" sheetId="10" r:id="rId10"/>
    <sheet name="25" sheetId="11" r:id="rId11"/>
    <sheet name="27" sheetId="12" r:id="rId12"/>
    <sheet name="29" sheetId="13" r:id="rId13"/>
  </sheets>
  <calcPr calcId="162913" calcOnSave="0"/>
  <customWorkbookViews>
    <customWorkbookView name="Assistant DiveCenter Manager - Personal View" guid="{EE1AD20C-1831-49F6-BB76-A0057F1F46DC}" mergeInterval="0" personalView="1" maximized="1" showHorizontalScroll="0" showVerticalScroll="0" xWindow="-9" yWindow="-9" windowWidth="1938" windowHeight="1038" tabRatio="771" activeSheetId="13"/>
    <customWorkbookView name="Dhigurah Water Sports - Personal View" guid="{764E197A-ED2B-44E8-AE74-A147CD840ADF}" mergeInterval="0" personalView="1" maximized="1" showHorizontalScroll="0" showVerticalScroll="0" xWindow="-8" yWindow="-8" windowWidth="1382" windowHeight="736" tabRatio="771" activeSheetId="2"/>
    <customWorkbookView name="Dive Centre Office - Personal View" guid="{1616C24E-F38B-4944-BE1B-EE2D6946597D}" mergeInterval="0" personalView="1" maximized="1" showHorizontalScroll="0" showVerticalScroll="0" xWindow="-9" yWindow="-9" windowWidth="1938" windowHeight="1038" tabRatio="771" activeSheetId="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8" i="1" l="1"/>
  <c r="I5" i="13" l="1"/>
  <c r="I5" i="12"/>
  <c r="I5" i="11"/>
  <c r="I5" i="10"/>
  <c r="I5" i="9"/>
  <c r="I5" i="8"/>
  <c r="I5" i="7"/>
  <c r="I5" i="6"/>
  <c r="I5" i="5"/>
  <c r="J5" i="4"/>
  <c r="I5" i="3"/>
  <c r="I5" i="2"/>
  <c r="I5" i="1"/>
  <c r="F27" i="2" l="1"/>
  <c r="F27" i="3"/>
  <c r="G18" i="4"/>
  <c r="F27" i="5"/>
  <c r="F27" i="6"/>
  <c r="F27" i="7"/>
  <c r="F27" i="8"/>
  <c r="F27" i="9"/>
  <c r="F27" i="10"/>
  <c r="F27" i="11"/>
  <c r="F27" i="12"/>
  <c r="F27" i="13"/>
  <c r="F18" i="1"/>
  <c r="E27" i="2"/>
  <c r="E27" i="3"/>
  <c r="F18" i="4"/>
  <c r="E27" i="5"/>
  <c r="E27" i="6"/>
  <c r="E27" i="7"/>
  <c r="E27" i="8"/>
  <c r="E27" i="9"/>
  <c r="E27" i="10"/>
  <c r="E27" i="11"/>
  <c r="E27" i="12"/>
  <c r="E27" i="13"/>
</calcChain>
</file>

<file path=xl/sharedStrings.xml><?xml version="1.0" encoding="utf-8"?>
<sst xmlns="http://schemas.openxmlformats.org/spreadsheetml/2006/main" count="525" uniqueCount="168">
  <si>
    <t>Guest Name</t>
  </si>
  <si>
    <t>Liability</t>
  </si>
  <si>
    <t>Staff</t>
  </si>
  <si>
    <t>Child</t>
  </si>
  <si>
    <t>TOTAL</t>
  </si>
  <si>
    <t xml:space="preserve">Date:                </t>
  </si>
  <si>
    <t>Adults</t>
  </si>
  <si>
    <t>Remarks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</si>
  <si>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</si>
  <si>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</si>
  <si>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</si>
  <si>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>Guests must know how to swim/not be afraid of water</t>
  </si>
  <si>
    <t>Please advise guests to bring lifejackets from their villa cupboard</t>
  </si>
  <si>
    <t>Snorkel, fins &amp; masks are rented from Watersports Centre before coming for the activity</t>
  </si>
  <si>
    <t>Non-swimmers are not encouraged as the activity takes place at the reef with a drop-off of at least 20-meters</t>
  </si>
  <si>
    <t>Departure</t>
  </si>
  <si>
    <t>Room</t>
  </si>
  <si>
    <t xml:space="preserve"> </t>
  </si>
  <si>
    <t>HOUSE REEF SNORKEL INTRO (MAX 16 PERSONS)</t>
  </si>
  <si>
    <t>Prebooking</t>
  </si>
  <si>
    <t>Ms Mary L Lord</t>
  </si>
  <si>
    <t>Faiha/Shamrath</t>
  </si>
  <si>
    <t>MS. HO, NING-JUI</t>
  </si>
  <si>
    <t>Vifau/Shamrath</t>
  </si>
  <si>
    <t>Mr. WU, HENG-CHENG</t>
  </si>
  <si>
    <t>3014928, 3014930</t>
  </si>
  <si>
    <t>Faiha/Monica</t>
  </si>
  <si>
    <t>MAN/SZE WING MS</t>
  </si>
  <si>
    <t>OLD</t>
  </si>
  <si>
    <t xml:space="preserve">MS.GU/YUEYI </t>
  </si>
  <si>
    <t>Shamrath/Tarush</t>
  </si>
  <si>
    <t xml:space="preserve">MS.XIE/YUJUAN </t>
  </si>
  <si>
    <t>3271930,3271931-TRMD</t>
  </si>
  <si>
    <t>ZHANG XIAN Mr</t>
  </si>
  <si>
    <t>Tarush/Shamrath</t>
  </si>
  <si>
    <t>Mr. Ross Wilson</t>
  </si>
  <si>
    <t>QIAN, YUJIA .MS</t>
  </si>
  <si>
    <r>
      <t>3203702,</t>
    </r>
    <r>
      <rPr>
        <sz val="10"/>
        <color rgb="FF000000"/>
        <rFont val="Arial"/>
        <family val="2"/>
      </rPr>
      <t xml:space="preserve"> </t>
    </r>
    <r>
      <rPr>
        <b/>
        <sz val="11"/>
        <color rgb="FF4F3629"/>
        <rFont val="Arial"/>
        <family val="2"/>
      </rPr>
      <t>3203703-TRMD</t>
    </r>
  </si>
  <si>
    <t>MR.ZHANG/XIANG</t>
  </si>
  <si>
    <t>MS.CAO/LILI</t>
  </si>
  <si>
    <t>Carl/Maaji</t>
  </si>
  <si>
    <t>MS.XUE,KAIWEI</t>
  </si>
  <si>
    <t>26240404 (TRML)</t>
  </si>
  <si>
    <t>MR NATSUMEDA/KO</t>
  </si>
  <si>
    <t>Monica/Maaji</t>
  </si>
  <si>
    <t>MR. TAI, PENG-CHE</t>
  </si>
  <si>
    <t>3279677, 3279678 (TRMD)</t>
  </si>
  <si>
    <t>MR.ZHANG,PENGLEI</t>
  </si>
  <si>
    <t>3328425, 3328427 (TRMD)</t>
  </si>
  <si>
    <t>MS.ZHAO/YAN</t>
  </si>
  <si>
    <t>Monica/Faiha</t>
  </si>
  <si>
    <t>MR.KITAGAWA/KOUTA</t>
  </si>
  <si>
    <t>CHEN,XINXIN .MS</t>
  </si>
  <si>
    <t xml:space="preserve">3322688, 3322690 </t>
  </si>
  <si>
    <t>Mr Isaac KHOO Qi Wen</t>
  </si>
  <si>
    <t>25340904-TRMD</t>
  </si>
  <si>
    <t>ITA</t>
  </si>
  <si>
    <t>MS.HUANG/MIN</t>
  </si>
  <si>
    <r>
      <t>3278680,</t>
    </r>
    <r>
      <rPr>
        <sz val="11"/>
        <color rgb="FF321704"/>
        <rFont val="Arial"/>
        <family val="2"/>
      </rPr>
      <t xml:space="preserve"> </t>
    </r>
    <r>
      <rPr>
        <b/>
        <sz val="11"/>
        <color rgb="FF321704"/>
        <rFont val="Arial"/>
        <family val="2"/>
      </rPr>
      <t xml:space="preserve">3278681 </t>
    </r>
  </si>
  <si>
    <t>Mr LOW Lii Rong (DOB: 08 Oct 1981)</t>
  </si>
  <si>
    <t>Mr HEW Chee Siong (DOB: 12 Dec 1981)</t>
  </si>
  <si>
    <t>Mr FOONG Choon Kae (DOB: 30 Nov 1977)</t>
  </si>
  <si>
    <t>Ms Shrey Agarwal</t>
  </si>
  <si>
    <t>Carl/Faiha</t>
  </si>
  <si>
    <t xml:space="preserve">MR.LI/YANG  </t>
  </si>
  <si>
    <t>3345176, 3345177</t>
  </si>
  <si>
    <t>MS.YUAN/CHENGHUI</t>
  </si>
  <si>
    <t>3330927, 3330928</t>
  </si>
  <si>
    <t>Sharamth/Faiha</t>
  </si>
  <si>
    <t>Miss Victoria Statham</t>
  </si>
  <si>
    <t>Shamrath/Faiha</t>
  </si>
  <si>
    <t>Raahil</t>
  </si>
  <si>
    <t>Xuan</t>
  </si>
  <si>
    <t>Shota Ishizawa</t>
  </si>
  <si>
    <t xml:space="preserve">Mrs. Tinna Berg </t>
  </si>
  <si>
    <t>Sushmita/Tarush</t>
  </si>
  <si>
    <t>SALES ENT</t>
  </si>
  <si>
    <t>Mr.  FAN TONG WEN</t>
  </si>
  <si>
    <t>3357925, 3357927 (TRMD)</t>
  </si>
  <si>
    <t>Carl/Tarush</t>
  </si>
  <si>
    <t>Rahil/Shen</t>
  </si>
  <si>
    <t>625/874</t>
  </si>
  <si>
    <t>Linqing Zhang</t>
  </si>
  <si>
    <t>Mr. Shinichiro Okumoto</t>
  </si>
  <si>
    <t>Puyan Tang</t>
  </si>
  <si>
    <t>Xing Zhou</t>
  </si>
  <si>
    <t>Bin Wang</t>
  </si>
  <si>
    <t>Ziyu Qiu</t>
  </si>
  <si>
    <t>UV/Faiha</t>
  </si>
  <si>
    <t>BOOKING CLOSED</t>
  </si>
  <si>
    <t>HB</t>
  </si>
  <si>
    <t>SAI</t>
  </si>
  <si>
    <t>619/881</t>
  </si>
  <si>
    <t>850/621</t>
  </si>
  <si>
    <t>ZHANG/YUANWEN MS</t>
  </si>
  <si>
    <t>3085432, 3085433</t>
  </si>
  <si>
    <t>Faiha</t>
  </si>
  <si>
    <t>Win/Faiha</t>
  </si>
  <si>
    <t>Wenqi Sun</t>
  </si>
  <si>
    <t>Juan Cui</t>
  </si>
  <si>
    <t>Mr Harshal Khandelwal</t>
  </si>
  <si>
    <t>Ramona/Faiha</t>
  </si>
  <si>
    <t>3358502, 3358505</t>
  </si>
  <si>
    <t>CXL2</t>
  </si>
  <si>
    <t>Alexandra Abramova</t>
  </si>
  <si>
    <t>PP2</t>
  </si>
  <si>
    <t>Alvero Gonzalez Espejo</t>
  </si>
  <si>
    <t>Zhiling Chen</t>
  </si>
  <si>
    <t>Tarush</t>
  </si>
  <si>
    <t>Guillaume Tabert</t>
  </si>
  <si>
    <t>Shaifan/Tarush</t>
  </si>
  <si>
    <t>Qian Yujia</t>
  </si>
  <si>
    <t>Maeng, Sukyoung</t>
  </si>
  <si>
    <t>Nishiyama, Kouji</t>
  </si>
  <si>
    <t>PAI</t>
  </si>
  <si>
    <t>Audrey Duclauxriou</t>
  </si>
  <si>
    <t>Hui Yu</t>
  </si>
  <si>
    <t>Sameena Malik</t>
  </si>
  <si>
    <t>Leyla/Faiha</t>
  </si>
  <si>
    <t>689/883</t>
  </si>
  <si>
    <t>pp2</t>
  </si>
  <si>
    <t>pp1</t>
  </si>
  <si>
    <t>Elizaveta Bordykova</t>
  </si>
  <si>
    <t>Susmita/Tarush</t>
  </si>
  <si>
    <t>Maria Rymarchuk</t>
  </si>
  <si>
    <t>Dmitrii Netuzhilkin</t>
  </si>
  <si>
    <t>Olga Ayazbaeva</t>
  </si>
  <si>
    <t>Anastasia Savina</t>
  </si>
  <si>
    <t>Ekaterina Dobromyslova</t>
  </si>
  <si>
    <t>Igor Boriskin</t>
  </si>
  <si>
    <t>Kristina Zaitseva</t>
  </si>
  <si>
    <t xml:space="preserve">MS.ZHAO/BO </t>
  </si>
  <si>
    <r>
      <t>3372439,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4F3629"/>
        <rFont val="Arial"/>
        <family val="2"/>
      </rPr>
      <t>3372440</t>
    </r>
  </si>
  <si>
    <t>Usayyu/Faiha</t>
  </si>
  <si>
    <t>Habil/Faiha</t>
  </si>
  <si>
    <t>Mr. ZHANG SHU HAO</t>
  </si>
  <si>
    <t>3372438, 3372437</t>
  </si>
  <si>
    <t>MR.WANG/TENGBIAO</t>
  </si>
  <si>
    <t>3364427, 3364429</t>
  </si>
  <si>
    <t>Ussayu/Faiha</t>
  </si>
  <si>
    <t>Ms. Fanling Meng</t>
  </si>
  <si>
    <t>Leyla/Tarush</t>
  </si>
  <si>
    <t>Yunoshin Maki</t>
  </si>
  <si>
    <t>HOUSE REEF SNORKEL INTRO (MAX 20 PERSONS)</t>
  </si>
  <si>
    <t>Uv/Faiha</t>
  </si>
  <si>
    <t>Mausoom/Faiha</t>
  </si>
  <si>
    <t>Costinela Lorena Conarantin</t>
  </si>
  <si>
    <t>Claudio Lino Mirco</t>
  </si>
  <si>
    <t>Shuaicheng Niu</t>
  </si>
  <si>
    <t>Zhi, Hui</t>
  </si>
  <si>
    <t>pp3</t>
  </si>
  <si>
    <t>CXL1</t>
  </si>
  <si>
    <t>619/862</t>
  </si>
  <si>
    <t>624/860</t>
  </si>
  <si>
    <t>664/802</t>
  </si>
  <si>
    <t>665/801</t>
  </si>
  <si>
    <t>679/815</t>
  </si>
  <si>
    <t>691/803</t>
  </si>
  <si>
    <t>213/302/335</t>
  </si>
  <si>
    <t>CXL3</t>
  </si>
  <si>
    <t>Prem/Faiha</t>
  </si>
  <si>
    <t>Matthew Green</t>
  </si>
  <si>
    <t>Juhwan Kim</t>
  </si>
  <si>
    <t>Myunghyun Kim</t>
  </si>
  <si>
    <t>CXL 2</t>
  </si>
  <si>
    <t>ZHI YONGYANG  .Mr</t>
  </si>
  <si>
    <t>Win/Xuan</t>
  </si>
  <si>
    <t>Hong. 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</si>
</sst>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trike/>
      <sz val="14"/>
      <color theme="1"/>
      <name val="Calibri"/>
      <family val="2"/>
      <scheme val="minor"/>
    </font>
    <font>
      <sz val="11"/>
      <color rgb="FF321704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i/>
      <sz val="11"/>
      <color rgb="FF4F3629"/>
      <name val="Arial"/>
      <family val="2"/>
    </font>
    <font>
      <sz val="11"/>
      <color rgb="FF4F3629"/>
      <name val="Arial"/>
      <family val="2"/>
    </font>
    <font>
      <b/>
      <sz val="11"/>
      <color rgb="FF4F3629"/>
      <name val="Arial"/>
      <family val="2"/>
    </font>
    <font>
      <sz val="10"/>
      <color rgb="FF000000"/>
      <name val="Arial"/>
      <family val="2"/>
    </font>
    <font>
      <sz val="11"/>
      <color rgb="FF321704"/>
      <name val="Arial"/>
      <family val="2"/>
    </font>
    <font>
      <b/>
      <sz val="11"/>
      <color rgb="FF321704"/>
      <name val="Arial"/>
      <family val="2"/>
    </font>
    <font>
      <sz val="12"/>
      <color theme="1"/>
      <name val="Verdana"/>
      <family val="2"/>
    </font>
    <font>
      <sz val="14"/>
      <color rgb="FF4F3629"/>
      <name val="Arial"/>
      <family val="2"/>
    </font>
    <font>
      <b/>
      <sz val="14"/>
      <color rgb="FF4F3629"/>
      <name val="Arial"/>
      <family val="2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Verdana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98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0" fontId="0" fillId="2" borderId="0" xfId="0" applyFill="1"/>
    <xf numFmtId="14" fontId="7" fillId="0" borderId="3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3" borderId="7" xfId="0" applyNumberFormat="1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4" fontId="0" fillId="2" borderId="0" xfId="0" applyNumberFormat="1" applyFill="1"/>
    <xf numFmtId="3" fontId="2" fillId="3" borderId="1" xfId="0" applyNumberFormat="1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justify" vertical="center"/>
    </xf>
    <xf numFmtId="3" fontId="15" fillId="0" borderId="0" xfId="0" applyNumberFormat="1" applyFont="1"/>
    <xf numFmtId="0" fontId="14" fillId="0" borderId="0" xfId="0" applyFont="1" applyAlignment="1">
      <alignment vertical="center"/>
    </xf>
    <xf numFmtId="0" fontId="15" fillId="0" borderId="0" xfId="0" applyFont="1"/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vertical="center"/>
    </xf>
    <xf numFmtId="0" fontId="21" fillId="0" borderId="0" xfId="0" applyFont="1"/>
    <xf numFmtId="0" fontId="22" fillId="3" borderId="1" xfId="0" applyFont="1" applyFill="1" applyBorder="1" applyAlignment="1">
      <alignment horizontal="center" vertical="center"/>
    </xf>
    <xf numFmtId="14" fontId="22" fillId="3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14" fontId="3" fillId="3" borderId="9" xfId="0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/>
    </xf>
    <xf numFmtId="14" fontId="2" fillId="3" borderId="9" xfId="0" applyNumberFormat="1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/>
    </xf>
    <xf numFmtId="0" fontId="23" fillId="5" borderId="1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left" vertical="center"/>
    </xf>
    <xf numFmtId="14" fontId="23" fillId="5" borderId="11" xfId="0" applyNumberFormat="1" applyFont="1" applyFill="1" applyBorder="1" applyAlignment="1">
      <alignment horizontal="center" vertical="center"/>
    </xf>
    <xf numFmtId="0" fontId="23" fillId="5" borderId="1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top"/>
    </xf>
    <xf numFmtId="14" fontId="2" fillId="3" borderId="1" xfId="0" applyNumberFormat="1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3" fillId="7" borderId="10" xfId="0" applyFont="1" applyFill="1" applyBorder="1" applyAlignment="1">
      <alignment horizontal="center"/>
    </xf>
    <xf numFmtId="0" fontId="23" fillId="7" borderId="11" xfId="0" applyFont="1" applyFill="1" applyBorder="1" applyAlignment="1">
      <alignment horizontal="center"/>
    </xf>
    <xf numFmtId="0" fontId="23" fillId="7" borderId="1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left" vertical="center"/>
    </xf>
    <xf numFmtId="14" fontId="23" fillId="7" borderId="11" xfId="0" applyNumberFormat="1" applyFont="1" applyFill="1" applyBorder="1" applyAlignment="1">
      <alignment horizontal="center" vertical="center"/>
    </xf>
    <xf numFmtId="0" fontId="23" fillId="7" borderId="12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5" borderId="0" xfId="0" applyFill="1"/>
    <xf numFmtId="0" fontId="0" fillId="4" borderId="0" xfId="0" applyFill="1"/>
    <xf numFmtId="0" fontId="24" fillId="0" borderId="0" xfId="0" applyFont="1" applyFill="1" applyBorder="1" applyAlignment="1">
      <alignment vertical="center"/>
    </xf>
    <xf numFmtId="14" fontId="2" fillId="3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2" fillId="0" borderId="0" xfId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/>
    <xf numFmtId="14" fontId="0" fillId="0" borderId="1" xfId="0" applyNumberFormat="1" applyBorder="1"/>
    <xf numFmtId="0" fontId="2" fillId="5" borderId="1" xfId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20" fillId="0" borderId="0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96C55-36C2-4BD8-B17A-B72E92324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CEC3A5-60E0-4A70-81DE-77D3CFF20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D73BCB-0FDF-4C18-93F3-37D6B1E0D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234924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3A181C-1AED-44E8-A34C-E6A85CA70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2107BF-E86C-4D47-BB5E-F6433B1AC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824866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0F10CB-9ECE-4510-9EDF-CA31B6FF9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01E25-824D-4BDC-81F7-8E9DDF63F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02391-342C-4A65-AE1C-01BE87CE6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1C486A-DFC3-420F-A282-A27853C39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18BEAB-4121-44C4-8DC5-6CF157523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EB2CB-E4C6-40B9-A34D-6D193C11A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147E6-F83E-42A4-A47A-DDE3ABEF1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CB80C-A94B-46ED-8858-967B285E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26" Type="http://schemas.openxmlformats.org/officeDocument/2006/relationships/revisionLog" Target="revisionLog26.xml"/><Relationship Id="rId21" Type="http://schemas.openxmlformats.org/officeDocument/2006/relationships/revisionLog" Target="revisionLog21.xml"/><Relationship Id="rId42" Type="http://schemas.openxmlformats.org/officeDocument/2006/relationships/revisionLog" Target="revisionLog42.xml"/><Relationship Id="rId47" Type="http://schemas.openxmlformats.org/officeDocument/2006/relationships/revisionLog" Target="revisionLog47.xml"/><Relationship Id="rId63" Type="http://schemas.openxmlformats.org/officeDocument/2006/relationships/revisionLog" Target="revisionLog63.xml"/><Relationship Id="rId68" Type="http://schemas.openxmlformats.org/officeDocument/2006/relationships/revisionLog" Target="revisionLog68.xml"/><Relationship Id="rId84" Type="http://schemas.openxmlformats.org/officeDocument/2006/relationships/revisionLog" Target="revisionLog84.xml"/><Relationship Id="rId89" Type="http://schemas.openxmlformats.org/officeDocument/2006/relationships/revisionLog" Target="revisionLog89.xml"/><Relationship Id="rId16" Type="http://schemas.openxmlformats.org/officeDocument/2006/relationships/revisionLog" Target="revisionLog16.xml"/><Relationship Id="rId107" Type="http://schemas.openxmlformats.org/officeDocument/2006/relationships/revisionLog" Target="revisionLog107.xml"/><Relationship Id="rId11" Type="http://schemas.openxmlformats.org/officeDocument/2006/relationships/revisionLog" Target="revisionLog11.xml"/><Relationship Id="rId32" Type="http://schemas.openxmlformats.org/officeDocument/2006/relationships/revisionLog" Target="revisionLog32.xml"/><Relationship Id="rId37" Type="http://schemas.openxmlformats.org/officeDocument/2006/relationships/revisionLog" Target="revisionLog37.xml"/><Relationship Id="rId53" Type="http://schemas.openxmlformats.org/officeDocument/2006/relationships/revisionLog" Target="revisionLog53.xml"/><Relationship Id="rId58" Type="http://schemas.openxmlformats.org/officeDocument/2006/relationships/revisionLog" Target="revisionLog58.xml"/><Relationship Id="rId74" Type="http://schemas.openxmlformats.org/officeDocument/2006/relationships/revisionLog" Target="revisionLog74.xml"/><Relationship Id="rId79" Type="http://schemas.openxmlformats.org/officeDocument/2006/relationships/revisionLog" Target="revisionLog79.xml"/><Relationship Id="rId102" Type="http://schemas.openxmlformats.org/officeDocument/2006/relationships/revisionLog" Target="revisionLog102.xml"/><Relationship Id="rId5" Type="http://schemas.openxmlformats.org/officeDocument/2006/relationships/revisionLog" Target="revisionLog5.xml"/><Relationship Id="rId90" Type="http://schemas.openxmlformats.org/officeDocument/2006/relationships/revisionLog" Target="revisionLog90.xml"/><Relationship Id="rId95" Type="http://schemas.openxmlformats.org/officeDocument/2006/relationships/revisionLog" Target="revisionLog95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43" Type="http://schemas.openxmlformats.org/officeDocument/2006/relationships/revisionLog" Target="revisionLog43.xml"/><Relationship Id="rId48" Type="http://schemas.openxmlformats.org/officeDocument/2006/relationships/revisionLog" Target="revisionLog48.xml"/><Relationship Id="rId64" Type="http://schemas.openxmlformats.org/officeDocument/2006/relationships/revisionLog" Target="revisionLog64.xml"/><Relationship Id="rId69" Type="http://schemas.openxmlformats.org/officeDocument/2006/relationships/revisionLog" Target="revisionLog69.xml"/><Relationship Id="rId80" Type="http://schemas.openxmlformats.org/officeDocument/2006/relationships/revisionLog" Target="revisionLog80.xml"/><Relationship Id="rId85" Type="http://schemas.openxmlformats.org/officeDocument/2006/relationships/revisionLog" Target="revisionLog85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59" Type="http://schemas.openxmlformats.org/officeDocument/2006/relationships/revisionLog" Target="revisionLog59.xml"/><Relationship Id="rId103" Type="http://schemas.openxmlformats.org/officeDocument/2006/relationships/revisionLog" Target="revisionLog103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54" Type="http://schemas.openxmlformats.org/officeDocument/2006/relationships/revisionLog" Target="revisionLog54.xml"/><Relationship Id="rId62" Type="http://schemas.openxmlformats.org/officeDocument/2006/relationships/revisionLog" Target="revisionLog62.xml"/><Relationship Id="rId70" Type="http://schemas.openxmlformats.org/officeDocument/2006/relationships/revisionLog" Target="revisionLog70.xml"/><Relationship Id="rId75" Type="http://schemas.openxmlformats.org/officeDocument/2006/relationships/revisionLog" Target="revisionLog75.xml"/><Relationship Id="rId83" Type="http://schemas.openxmlformats.org/officeDocument/2006/relationships/revisionLog" Target="revisionLog83.xml"/><Relationship Id="rId88" Type="http://schemas.openxmlformats.org/officeDocument/2006/relationships/revisionLog" Target="revisionLog88.xml"/><Relationship Id="rId91" Type="http://schemas.openxmlformats.org/officeDocument/2006/relationships/revisionLog" Target="revisionLog91.xml"/><Relationship Id="rId96" Type="http://schemas.openxmlformats.org/officeDocument/2006/relationships/revisionLog" Target="revisionLog96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36" Type="http://schemas.openxmlformats.org/officeDocument/2006/relationships/revisionLog" Target="revisionLog36.xml"/><Relationship Id="rId49" Type="http://schemas.openxmlformats.org/officeDocument/2006/relationships/revisionLog" Target="revisionLog49.xml"/><Relationship Id="rId57" Type="http://schemas.openxmlformats.org/officeDocument/2006/relationships/revisionLog" Target="revisionLog57.xml"/><Relationship Id="rId106" Type="http://schemas.openxmlformats.org/officeDocument/2006/relationships/revisionLog" Target="revisionLog106.xml"/><Relationship Id="rId10" Type="http://schemas.openxmlformats.org/officeDocument/2006/relationships/revisionLog" Target="revisionLog10.xml"/><Relationship Id="rId31" Type="http://schemas.openxmlformats.org/officeDocument/2006/relationships/revisionLog" Target="revisionLog31.xml"/><Relationship Id="rId44" Type="http://schemas.openxmlformats.org/officeDocument/2006/relationships/revisionLog" Target="revisionLog44.xml"/><Relationship Id="rId52" Type="http://schemas.openxmlformats.org/officeDocument/2006/relationships/revisionLog" Target="revisionLog52.xml"/><Relationship Id="rId60" Type="http://schemas.openxmlformats.org/officeDocument/2006/relationships/revisionLog" Target="revisionLog60.xml"/><Relationship Id="rId65" Type="http://schemas.openxmlformats.org/officeDocument/2006/relationships/revisionLog" Target="revisionLog65.xml"/><Relationship Id="rId73" Type="http://schemas.openxmlformats.org/officeDocument/2006/relationships/revisionLog" Target="revisionLog73.xml"/><Relationship Id="rId78" Type="http://schemas.openxmlformats.org/officeDocument/2006/relationships/revisionLog" Target="revisionLog78.xml"/><Relationship Id="rId81" Type="http://schemas.openxmlformats.org/officeDocument/2006/relationships/revisionLog" Target="revisionLog81.xml"/><Relationship Id="rId86" Type="http://schemas.openxmlformats.org/officeDocument/2006/relationships/revisionLog" Target="revisionLog86.xml"/><Relationship Id="rId94" Type="http://schemas.openxmlformats.org/officeDocument/2006/relationships/revisionLog" Target="revisionLog94.xml"/><Relationship Id="rId99" Type="http://schemas.openxmlformats.org/officeDocument/2006/relationships/revisionLog" Target="revisionLog99.xml"/><Relationship Id="rId101" Type="http://schemas.openxmlformats.org/officeDocument/2006/relationships/revisionLog" Target="revisionLog101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39" Type="http://schemas.openxmlformats.org/officeDocument/2006/relationships/revisionLog" Target="revisionLog39.xml"/><Relationship Id="rId34" Type="http://schemas.openxmlformats.org/officeDocument/2006/relationships/revisionLog" Target="revisionLog34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76" Type="http://schemas.openxmlformats.org/officeDocument/2006/relationships/revisionLog" Target="revisionLog76.xml"/><Relationship Id="rId97" Type="http://schemas.openxmlformats.org/officeDocument/2006/relationships/revisionLog" Target="revisionLog97.xml"/><Relationship Id="rId104" Type="http://schemas.openxmlformats.org/officeDocument/2006/relationships/revisionLog" Target="revisionLog104.xml"/><Relationship Id="rId7" Type="http://schemas.openxmlformats.org/officeDocument/2006/relationships/revisionLog" Target="revisionLog7.xml"/><Relationship Id="rId71" Type="http://schemas.openxmlformats.org/officeDocument/2006/relationships/revisionLog" Target="revisionLog71.xml"/><Relationship Id="rId92" Type="http://schemas.openxmlformats.org/officeDocument/2006/relationships/revisionLog" Target="revisionLog92.xml"/><Relationship Id="rId2" Type="http://schemas.openxmlformats.org/officeDocument/2006/relationships/revisionLog" Target="revisionLog2.xml"/><Relationship Id="rId29" Type="http://schemas.openxmlformats.org/officeDocument/2006/relationships/revisionLog" Target="revisionLog29.xml"/><Relationship Id="rId24" Type="http://schemas.openxmlformats.org/officeDocument/2006/relationships/revisionLog" Target="revisionLog24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66" Type="http://schemas.openxmlformats.org/officeDocument/2006/relationships/revisionLog" Target="revisionLog66.xml"/><Relationship Id="rId87" Type="http://schemas.openxmlformats.org/officeDocument/2006/relationships/revisionLog" Target="revisionLog87.xml"/><Relationship Id="rId61" Type="http://schemas.openxmlformats.org/officeDocument/2006/relationships/revisionLog" Target="revisionLog61.xml"/><Relationship Id="rId82" Type="http://schemas.openxmlformats.org/officeDocument/2006/relationships/revisionLog" Target="revisionLog82.xml"/><Relationship Id="rId19" Type="http://schemas.openxmlformats.org/officeDocument/2006/relationships/revisionLog" Target="revisionLog19.xml"/><Relationship Id="rId14" Type="http://schemas.openxmlformats.org/officeDocument/2006/relationships/revisionLog" Target="revisionLog14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56" Type="http://schemas.openxmlformats.org/officeDocument/2006/relationships/revisionLog" Target="revisionLog56.xml"/><Relationship Id="rId77" Type="http://schemas.openxmlformats.org/officeDocument/2006/relationships/revisionLog" Target="revisionLog77.xml"/><Relationship Id="rId100" Type="http://schemas.openxmlformats.org/officeDocument/2006/relationships/revisionLog" Target="revisionLog100.xml"/><Relationship Id="rId105" Type="http://schemas.openxmlformats.org/officeDocument/2006/relationships/revisionLog" Target="revisionLog105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72" Type="http://schemas.openxmlformats.org/officeDocument/2006/relationships/revisionLog" Target="revisionLog72.xml"/><Relationship Id="rId93" Type="http://schemas.openxmlformats.org/officeDocument/2006/relationships/revisionLog" Target="revisionLog93.xml"/><Relationship Id="rId98" Type="http://schemas.openxmlformats.org/officeDocument/2006/relationships/revisionLog" Target="revisionLog98.xml"/><Relationship Id="rId3" Type="http://schemas.openxmlformats.org/officeDocument/2006/relationships/revisionLog" Target="revisionLog3.xml"/><Relationship Id="rId25" Type="http://schemas.openxmlformats.org/officeDocument/2006/relationships/revisionLog" Target="revisionLog25.xml"/><Relationship Id="rId46" Type="http://schemas.openxmlformats.org/officeDocument/2006/relationships/revisionLog" Target="revisionLog46.xml"/><Relationship Id="rId67" Type="http://schemas.openxmlformats.org/officeDocument/2006/relationships/revisionLog" Target="revisionLog67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CBC7133B-2ADD-42AE-8D40-5F9E1BB184E1}" diskRevisions="1" revisionId="498" version="107">
  <header guid="{9ACF7D6A-F597-485B-9241-ED819CA79767}" dateTime="2026-04-29T15:20:10" maxSheetId="14" userName="Dive Centre Office" r:id="rId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9023C3-4E4D-459C-AA20-417F6B4225DB}" dateTime="2026-04-29T15:22:15" maxSheetId="14" userName="Assistant DiveCenter Manager" r:id="rId2" minRId="1" maxRId="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CD59E0-B202-442F-B410-9D385A7FF51C}" dateTime="2026-04-29T15:22:51" maxSheetId="14" userName="Assistant DiveCenter Manager" r:id="rId3" minRId="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BFFBCE-3449-4934-9F43-799C324B3B6A}" dateTime="2026-04-29T15:25:35" maxSheetId="14" userName="Assistant DiveCenter Manager" r:id="rId4" minRId="6" maxRId="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C7A179-8E23-4FA9-A504-605996F543B0}" dateTime="2026-04-29T16:06:16" maxSheetId="14" userName="Dive Centre Office" r:id="rId5" minRId="12" maxRId="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03DB27-6BAE-4CDE-8201-53AE80B92584}" dateTime="2026-04-29T16:11:45" maxSheetId="14" userName="Dive Centre Office" r:id="rId6" minRId="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B31C4F-0D61-47D0-B280-1C335D2D169D}" dateTime="2026-04-29T16:12:16" maxSheetId="14" userName="Dive Centre Office" r:id="rId7" minRId="16" maxRId="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CCF2D0-CB83-48D3-969C-4F18B86E87F4}" dateTime="2026-04-30T08:57:12" maxSheetId="14" userName="Assistant DiveCenter Manager" r:id="rId8" minRId="18" maxRId="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9345E22-C70E-4875-84BF-8C17C2DF2687}" dateTime="2026-04-30T08:58:23" maxSheetId="14" userName="Assistant DiveCenter Manager" r:id="rId9" minRId="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7FEDAE-6E5E-4A91-AE45-0FA4F5B5934F}" dateTime="2026-04-30T09:17:05" maxSheetId="14" userName="Dive Centre Office" r:id="rId10" minRId="24" maxRId="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6D66CE-363B-42FA-B447-0002EA867C8D}" dateTime="2026-04-30T09:18:21" maxSheetId="14" userName="Dive Centre Office" r:id="rId11" minRId="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81BBCF-DC0B-4B1C-8EF7-A083869CCFDB}" dateTime="2026-04-30T09:21:25" maxSheetId="14" userName="Dive Centre Office" r:id="rId12" minRId="33" maxRId="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2FDDCA-80BB-406C-A28B-8A5A089AA127}" dateTime="2026-04-30T10:29:16" maxSheetId="14" userName="Dive Centre Office" r:id="rId13" minRId="40" maxRId="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095D9F-DE7C-4972-A717-7791A537F369}" dateTime="2026-04-30T10:29:36" maxSheetId="14" userName="Dive Centre Office" r:id="rId14" minRId="44" maxRId="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C5703D-B4F1-4743-AFD2-1577044C762E}" dateTime="2026-04-30T13:32:38" maxSheetId="14" userName="Assistant DiveCenter Manager" r:id="rId15" minRId="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8A4BD8-552E-4060-B31A-15BAE6B716C6}" dateTime="2026-04-30T15:58:42" maxSheetId="14" userName="Dive Centre Office" r:id="rId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6A1609-3D0B-4CB5-AF6A-235FD85F1F61}" dateTime="2026-05-01T08:27:34" maxSheetId="14" userName="Dive Centre Office" r:id="rId17" minRId="47" maxRId="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FDF26E-5AA3-4F1F-AAC3-F9AF7A563250}" dateTime="2026-05-01T10:07:30" maxSheetId="14" userName="Dive Centre Office" r:id="rId18" minRId="51" maxRId="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0549EB-F573-4605-9630-0917720CEBBC}" dateTime="2026-05-01T10:07:50" maxSheetId="14" userName="Dive Centre Office" r:id="rId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2D2EB9-48A8-4E9E-927B-3430BB4BF81E}" dateTime="2026-05-01T13:42:42" maxSheetId="14" userName="Dive Centre Office" r:id="rId20" minRId="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3CAC58-0321-4A3C-8CD2-5A1C77F60883}" dateTime="2026-05-01T14:55:14" maxSheetId="14" userName="Dive Centre Office" r:id="rId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A3E118-FC82-4C73-B2D3-C0B3FE9D12E5}" dateTime="2026-05-01T14:55:21" maxSheetId="14" userName="Dive Centre Office" r:id="rId22" minRId="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B1A29E-434B-470E-B6F7-3378D676EA6D}" dateTime="2026-05-01T14:57:37" maxSheetId="14" userName="Dive Centre Office" r:id="rId23" minRId="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ADF49EC-3E63-4C93-85E3-46C1D1E1C41A}" dateTime="2026-05-02T08:17:24" maxSheetId="14" userName="Dive Centre Office" r:id="rId24" minRId="69" maxRId="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360D2B-F941-4846-AA53-D90FC9878A81}" dateTime="2026-05-02T10:28:14" maxSheetId="14" userName="Dive Centre Office" r:id="rId25" minRId="75" maxRId="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8FD7F4-22DF-4617-8F03-0E935A9E486B}" dateTime="2026-05-02T13:48:02" maxSheetId="14" userName="Dive Centre Office" r:id="rId26" minRId="78" maxRId="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5D949F-4A5C-4161-ADA7-A5E17E18E57B}" dateTime="2026-05-02T15:16:31" maxSheetId="14" userName="Dive Centre Office" r:id="rId27" minRId="81" maxRId="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B05068-AD44-486F-B1FB-446089C022AE}" dateTime="2026-05-02T16:37:58" maxSheetId="14" userName="Dive Centre Office" r:id="rId28" minRId="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BAF56D-932C-495E-8046-6CA53B06EFCF}" dateTime="2026-05-03T08:56:25" maxSheetId="14" userName="Dive Centre Office" r:id="rId29" minRId="84" maxRId="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C6EDFB-437F-4951-A09F-8531AF541A6D}" dateTime="2026-05-03T08:57:09" maxSheetId="14" userName="Dive Centre Office" r:id="rId30" minRId="87" maxRId="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4B4970-2B83-49BC-8077-468A369272D0}" dateTime="2026-05-03T09:05:48" maxSheetId="14" userName="Dive Centre Office" r:id="rId31" minRId="89" maxRId="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69B241-08D3-49AA-9E17-1DE11FD0A196}" dateTime="2026-05-03T09:06:29" maxSheetId="14" userName="Dive Centre Office" r:id="rId32" minRId="92" maxRId="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E0FC34-8738-4A71-A061-26949680DB0E}" dateTime="2026-05-03T09:08:09" maxSheetId="14" userName="Dive Centre Office" r:id="rId33" minRId="94" maxRId="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F7FC98-6AE1-48EA-8199-3C1B101EAAB3}" dateTime="2026-05-03T10:14:11" maxSheetId="14" userName="Dive Centre Office" r:id="rId34" minRId="1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B83837-4EBF-4F3F-A09E-33D8C8ACF321}" dateTime="2026-05-03T10:34:44" maxSheetId="14" userName="Dive Centre Office" r:id="rId35" minRId="101" maxRId="1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B1B63E-59FF-4EB0-BC42-823E32EA3128}" dateTime="2026-05-03T10:37:03" maxSheetId="14" userName="Dive Centre Office" r:id="rId36" minRId="104" maxRId="1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E0E137-5BFA-47E8-BE4D-F6A703844274}" dateTime="2026-05-03T14:24:26" maxSheetId="14" userName="Dive Centre Office" r:id="rId37" minRId="106" maxRId="1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C8C4A7-FCCB-4955-9864-3AF5F38FFC04}" dateTime="2026-05-03T14:28:22" maxSheetId="14" userName="Dive Centre Office" r:id="rId38" minRId="109" maxRId="1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90B2B33-5FA7-48C7-BF15-0F3451C45203}" dateTime="2026-05-04T09:27:26" maxSheetId="14" userName="Dive Centre Office" r:id="rId39" minRId="116" maxRId="1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764405-5029-4143-B01F-17B573CD1E5A}" dateTime="2026-05-04T09:27:36" maxSheetId="14" userName="Dive Centre Office" r:id="rId40" minRId="1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B9A6B8-6A91-4AD8-9C9E-2129E640914A}" dateTime="2026-05-04T09:53:19" maxSheetId="14" userName="Dive Centre Office" r:id="rId41" minRId="121" maxRId="1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2467BD2-DF66-4127-9E75-AFFAE8E56FD7}" dateTime="2026-05-04T10:24:08" maxSheetId="14" userName="Dhigurah Water Sports" r:id="rId42" minRId="127" maxRId="1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9736CB-5CF9-4C84-86B1-B75F0EAA98A2}" dateTime="2026-05-04T11:39:11" maxSheetId="14" userName="Dive Centre Office" r:id="rId43" minRId="134" maxRId="1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C08132-48BB-4E73-8F69-37439F7EBBB1}" dateTime="2026-05-04T11:39:29" maxSheetId="14" userName="Dive Centre Office" r:id="rId44" minRId="172" maxRId="2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B8E6D1-E62D-46AF-B3A0-C824ED29D811}" dateTime="2026-05-04T11:41:00" maxSheetId="14" userName="Dive Centre Office" r:id="rId45" minRId="215" maxRId="2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5F943D-31E5-4EA3-AD32-4525879FAEAB}" dateTime="2026-05-04T11:54:28" maxSheetId="14" userName="Dive Centre Office" r:id="rId46" minRId="217" maxRId="2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91FB33-FA2E-4F53-88A8-B9B828B53A94}" dateTime="2026-05-06T13:43:44" maxSheetId="14" userName="Dive Centre Office" r:id="rId47" minRId="221" maxRId="2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E2AF5FB-5AD9-479C-AF8B-5B2D669F1E5D}" dateTime="2026-05-06T14:07:16" maxSheetId="14" userName="Dive Centre Office" r:id="rId48" minRId="224" maxRId="2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0EB202-E68D-4D30-A987-7551C145E0F4}" dateTime="2026-05-06T14:08:08" maxSheetId="14" userName="Dive Centre Office" r:id="rId49" minRId="228" maxRId="2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91D2B9-318E-4EEA-8DA9-412618EB4064}" dateTime="2026-05-06T14:09:06" maxSheetId="14" userName="Dive Centre Office" r:id="rId50" minRId="234" maxRId="2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AC062B-0D30-476E-B6CB-2641E25B01AC}" dateTime="2026-05-06T15:16:53" maxSheetId="14" userName="Dive Centre Office" r:id="rId51" minRId="240" maxRId="2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94175A-2972-4234-87EA-5FF0DB49C84C}" dateTime="2026-05-07T08:45:43" maxSheetId="14" userName="Dive Centre Office" r:id="rId52" minRId="244" maxRId="2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285E07-0B2C-4EEA-AE0B-7DCD43D8571B}" dateTime="2026-05-07T08:47:16" maxSheetId="14" userName="Dive Centre Office" r:id="rId53" minRId="247" maxRId="2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96965B-1DFE-4127-B687-F368EA489914}" dateTime="2026-05-07T09:08:21" maxSheetId="14" userName="Dive Centre Office" r:id="rId54" minRId="249" maxRId="2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6C4BDA-2DB7-4740-B70B-78D1C5A48E49}" dateTime="2026-05-07T09:08:53" maxSheetId="14" userName="Dive Centre Office" r:id="rId55" minRId="252" maxRId="2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C2A326-BE61-4E5C-97AF-591129877A48}" dateTime="2026-05-07T14:38:26" maxSheetId="14" userName="Dive Centre Office" r:id="rId56" minRId="2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720EBA6-E784-49FD-9885-9DDFAF86BDAE}" dateTime="2026-05-07T14:42:20" maxSheetId="14" userName="Dive Centre Office" r:id="rId57" minRId="255" maxRId="2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3A4838-56EC-4292-92AE-7874ABBADE6D}" dateTime="2026-05-07T15:57:47" maxSheetId="14" userName="Dive Centre Office" r:id="rId58" minRId="264" maxRId="2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2C76AE-2DED-4B42-9DF3-35534443E91D}" dateTime="2026-05-07T15:58:07" maxSheetId="14" userName="Dive Centre Office" r:id="rId59" minRId="271" maxRId="2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61FC57-E975-4402-AC52-F454E1518AA6}" dateTime="2026-05-07T15:59:29" maxSheetId="14" userName="Dive Centre Office" r:id="rId60" minRId="2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5489A2D-55B6-41F6-A2B0-90B5758471EA}" dateTime="2026-05-07T16:00:16" maxSheetId="14" userName="Dive Centre Office" r:id="rId61" minRId="282" maxRId="2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70DDD5E-7E98-427E-A3F6-7189F955E98C}" dateTime="2026-05-07T16:00:32" maxSheetId="14" userName="Dive Centre Office" r:id="rId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2CC507-8E1A-4753-A255-122060E8B5D5}" dateTime="2026-05-08T10:03:32" maxSheetId="14" userName="Dive Centre Office" r:id="rId63" minRId="286" maxRId="2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441658-D979-4178-B9BC-4EC6980E727F}" dateTime="2026-05-08T11:53:41" maxSheetId="14" userName="Dive Centre Office" r:id="rId64" minRId="291" maxRId="2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166E3A-4DD6-480D-9B60-88BB5D3C3F32}" dateTime="2026-05-08T12:37:11" maxSheetId="14" userName="Dive Centre Office" r:id="rId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5D9BCF-101D-4682-A332-6565F9EC7053}" dateTime="2026-05-08T13:32:53" maxSheetId="14" userName="Assistant DiveCenter Manager" r:id="rId66" minRId="293" maxRId="3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118067-5227-4BF1-8FAC-E20BD76DB3FD}" dateTime="2026-05-08T13:53:40" maxSheetId="14" userName="Dive Centre Office" r:id="rId67" minRId="341" maxRId="3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1F2492-4038-4E38-93FD-BC7B8EF16AD7}" dateTime="2026-05-08T17:24:06" maxSheetId="14" userName="Dive Centre Office" r:id="rId68" minRId="346" maxRId="3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A5804D-A98A-4EA4-9D8C-3DD63F1ABCF7}" dateTime="2026-05-09T10:12:23" maxSheetId="14" userName="Dive Centre Office" r:id="rId69" minRId="352" maxRId="3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2D3967-1A6E-460F-8143-274D1404C624}" dateTime="2026-05-09T16:10:37" maxSheetId="14" userName="Dive Centre Office" r:id="rId70" minRId="355" maxRId="3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73B8D2-BCAE-4FDA-946F-14EF41207A6C}" dateTime="2026-05-09T16:12:53" maxSheetId="14" userName="Dive Centre Office" r:id="rId71" minRId="361" maxRId="3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E6241A-072E-4237-AE39-6E331C014A2D}" dateTime="2026-05-09T17:06:03" maxSheetId="14" userName="Dive Centre Office" r:id="rId72" minRId="367" maxRId="3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098B84-A52B-4129-9E32-08CBEF07AC21}" dateTime="2026-05-10T08:08:20" maxSheetId="14" userName="Dive Centre Office" r:id="rId73" minRId="373" maxRId="3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7D9B08-8DC7-4F49-9D9A-3843ED4DEFA4}" dateTime="2026-05-10T08:26:06" maxSheetId="14" userName="Assistant DiveCenter Manager" r:id="rId74" minRId="3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96399E-4460-429F-B69B-D16A70ABD208}" dateTime="2026-05-11T09:10:25" maxSheetId="14" userName="Dive Centre Office" r:id="rId75" minRId="376" maxRId="3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C3EE37-9983-489A-A3AF-39279456B2F3}" dateTime="2026-05-11T09:31:17" maxSheetId="14" userName="Dive Centre Office" r:id="rId76" minRId="386" maxRId="3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4F5568-2918-4495-B193-70A9019AECCB}" dateTime="2026-05-11T09:33:25" maxSheetId="14" userName="Dive Centre Office" r:id="rId77" minRId="3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1FE148-633D-4591-9789-3948E931C43F}" dateTime="2026-05-11T10:29:10" maxSheetId="14" userName="Dive Centre Office" r:id="rId78" minRId="392" maxRId="3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694A7A-08A0-409D-8D38-5CB312BDF52F}" dateTime="2026-05-11T10:29:16" maxSheetId="14" userName="Dive Centre Office" r:id="rId79" minRId="3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4FAEAA-B384-4E69-A4B5-7A900D53F5BF}" dateTime="2026-05-11T10:31:17" maxSheetId="14" userName="Dive Centre Office" r:id="rId80" minRId="395" maxRId="3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447D76-4570-4AD4-A679-EA7D7B35593E}" dateTime="2026-05-11T13:34:35" maxSheetId="14" userName="Dive Centre Office" r:id="rId81" minRId="397" maxRId="4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F38916-E7D0-4BEF-A32B-6DDC2F8E0F82}" dateTime="2026-05-11T13:38:19" maxSheetId="14" userName="Dive Centre Office" r:id="rId82" minRId="401" maxRId="4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14A1E5-7EEE-47FA-B294-100789EAF9D2}" dateTime="2026-05-11T13:41:20" maxSheetId="14" userName="Dive Centre Office" r:id="rId83" minRId="404" maxRId="4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A7EAAE0-46D6-450B-AF56-B4ACD29BE10A}" dateTime="2026-05-11T13:42:20" maxSheetId="14" userName="Dive Centre Office" r:id="rId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5A8A9B-A67A-4699-915B-3F42945A2D8C}" dateTime="2026-05-11T13:42:36" maxSheetId="14" userName="Dive Centre Office" r:id="rId85" minRId="4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76511FC-A198-4B2D-8272-B952F6363800}" dateTime="2026-05-11T14:01:40" maxSheetId="14" userName="Dive Centre Office" r:id="rId86" minRId="417" maxRId="4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837E33-B27B-48B6-A803-B6D79615493B}" dateTime="2026-05-11T14:11:25" maxSheetId="14" userName="Dive Centre Office" r:id="rId87" minRId="4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927011B-77D2-4841-9126-3E31DA0B06B7}" dateTime="2026-05-12T11:05:23" maxSheetId="14" userName="Dive Centre Office" r:id="rId88" minRId="4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63D1D0-22B9-4514-A906-1E28FA4085BF}" dateTime="2026-05-13T10:10:04" maxSheetId="14" userName="Dive Centre Office" r:id="rId89" minRId="423" maxRId="4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A98CE9-F288-4554-ADDB-A00880C0434D}" dateTime="2026-05-13T10:33:43" maxSheetId="14" userName="Dive Centre Office" r:id="rId90" minRId="425" maxRId="4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944994-8CC9-47FD-9372-D43E2E7572A3}" dateTime="2026-05-13T10:40:24" maxSheetId="14" userName="Dive Centre Office" r:id="rId91" minRId="4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6178C3-D733-466D-BC7F-046DB75EEA71}" dateTime="2026-05-13T10:43:19" maxSheetId="14" userName="Dive Centre Office" r:id="rId92" minRId="446" maxRId="4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A592C6-A7BB-4F59-9906-834B5F8E7A02}" dateTime="2026-05-13T10:48:49" maxSheetId="14" userName="Dive Centre Office" r:id="rId93" minRId="448" maxRId="4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EC6F2A-3A30-4709-BA61-604508958AB4}" dateTime="2026-05-13T10:49:10" maxSheetId="14" userName="Dive Centre Office" r:id="rId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4643BCC-1724-417B-AFC1-C17A593B9D6F}" dateTime="2026-05-13T11:53:39" maxSheetId="14" userName="Dive Centre Office" r:id="rId95" minRId="464" maxRId="4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7DEAC6-3630-4841-BAFC-622E4CC08334}" dateTime="2026-05-13T17:16:33" maxSheetId="14" userName="Dive Centre Office" r:id="rId96" minRId="467" maxRId="4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99E27B-F649-4410-9E61-5F26ACE292C7}" dateTime="2026-05-14T14:31:48" maxSheetId="14" userName="Dive Centre Office" r:id="rId97" minRId="470" maxRId="4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93DE7D-0785-481A-9A32-2B23B501E594}" dateTime="2026-05-14T14:32:20" maxSheetId="14" userName="Dive Centre Office" r:id="rId98" minRId="473" maxRId="4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0DCCCD-4B10-41DA-982A-D4C9DF53AB0F}" dateTime="2026-05-14T14:46:04" maxSheetId="14" userName="Dive Centre Office" r:id="rId99" minRId="477" maxRId="4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CDCBE4F-0B0C-4945-8E67-795E0284D717}" dateTime="2026-05-14T14:46:32" maxSheetId="14" userName="Dive Centre Office" r:id="rId100" minRId="480" maxRId="4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5D3178D-FB8C-49A8-8F06-30B495489B3B}" dateTime="2026-05-15T08:44:49" maxSheetId="14" userName="Dive Centre Office" r:id="rId101" minRId="4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E4701F-9272-4CFE-A6AC-B2BC5E45655B}" dateTime="2026-05-15T09:09:36" maxSheetId="14" userName="Assistant DiveCenter Manager" r:id="rId102" minRId="483" maxRId="4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EC8487-AD2C-470F-AFC1-1F0067A6B14D}" dateTime="2026-05-15T09:14:30" maxSheetId="14" userName="Dive Centre Office" r:id="rId103" minRId="488" maxRId="4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DB1003-CC46-4C3B-8859-54718563F22D}" dateTime="2026-05-15T09:19:59" maxSheetId="14" userName="Dive Centre Office" r:id="rId104" minRId="490" maxRId="4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99252B-EBBD-46F4-BDC3-1D64303FE9B9}" dateTime="2026-05-15T10:24:39" maxSheetId="14" userName="Dive Centre Office" r:id="rId105" minRId="494" maxRId="4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A6C8F5-D402-49E9-9C00-9702E6218DAE}" dateTime="2026-05-15T10:24:58" maxSheetId="14" userName="Dive Centre Office" r:id="rId106" minRId="4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C7133B-2ADD-42AE-8D40-5F9E1BB184E1}" dateTime="2026-05-15T10:25:26" maxSheetId="14" userName="Dive Centre Office" r:id="rId107" minRId="497" maxRId="4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3">
    <nc r="B9" t="inlineStr">
      <is>
        <t>Prebooking</t>
      </is>
    </nc>
  </rcc>
  <rcc rId="2" sId="3" odxf="1" dxf="1">
    <nc r="C9" t="inlineStr">
      <is>
        <t xml:space="preserve">Mrs. Tinna Berg </t>
      </is>
    </nc>
    <odxf>
      <font>
        <sz val="14"/>
      </font>
      <fill>
        <patternFill patternType="solid">
          <bgColor theme="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name val="Verdana"/>
        <scheme val="none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3" sId="3">
    <nc r="E9">
      <v>2</v>
    </nc>
  </rcc>
  <rcc rId="4" sId="3">
    <nc r="I9" t="inlineStr">
      <is>
        <t>Sushmita/Tarush</t>
      </is>
    </nc>
  </rcc>
  <rcv guid="{EE1AD20C-1831-49F6-BB76-A0057F1F46DC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" sId="3">
    <nc r="H9" t="inlineStr">
      <is>
        <t>SALES ENT</t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" sId="9" odxf="1" dxf="1">
    <nc r="B7" t="inlineStr">
      <is>
        <t>Prebooking</t>
      </is>
    </nc>
    <odxf>
      <border outline="0">
        <top/>
      </border>
    </odxf>
    <ndxf>
      <border outline="0">
        <top style="thin">
          <color indexed="64"/>
        </top>
      </border>
    </ndxf>
  </rcc>
  <rcc rId="7" sId="9" odxf="1" dxf="1">
    <nc r="C7" t="inlineStr">
      <is>
        <t>Mr.  FAN TONG WEN</t>
      </is>
    </nc>
    <odxf>
      <font>
        <sz val="14"/>
      </font>
      <fill>
        <patternFill patternType="solid">
          <bgColor theme="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bottom/>
      </border>
    </ndxf>
  </rcc>
  <rcc rId="8" sId="9" odxf="1" dxf="1" numFmtId="19">
    <nc r="D7">
      <v>46163</v>
    </nc>
    <odxf>
      <border outline="0">
        <top/>
      </border>
    </odxf>
    <ndxf>
      <border outline="0">
        <top style="thin">
          <color indexed="64"/>
        </top>
      </border>
    </ndxf>
  </rcc>
  <rcc rId="9" sId="9" odxf="1" dxf="1">
    <nc r="E7">
      <v>2</v>
    </nc>
    <odxf>
      <border outline="0">
        <top/>
      </border>
    </odxf>
    <ndxf>
      <border outline="0">
        <top style="thin">
          <color indexed="64"/>
        </top>
      </border>
    </ndxf>
  </rcc>
  <rfmt sheetId="9" sqref="F7" start="0" length="0">
    <dxf>
      <border outline="0">
        <top style="thin">
          <color indexed="64"/>
        </top>
      </border>
    </dxf>
  </rfmt>
  <rfmt sheetId="9" sqref="G7" start="0" length="0">
    <dxf>
      <border outline="0">
        <top style="thin">
          <color indexed="64"/>
        </top>
      </border>
    </dxf>
  </rfmt>
  <rcc rId="10" sId="9" odxf="1" dxf="1">
    <nc r="H7" t="inlineStr">
      <is>
        <t>3357925, 3357927 (TRMD)</t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odxf>
    <ndxf>
      <font>
        <b/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bottom/>
      </border>
    </ndxf>
  </rcc>
  <rcc rId="11" sId="9" odxf="1" dxf="1">
    <nc r="I7" t="inlineStr">
      <is>
        <t>Carl/Tarush</t>
      </is>
    </nc>
    <odxf>
      <border outline="0">
        <top/>
      </border>
    </odxf>
    <ndxf>
      <border outline="0">
        <top style="thin">
          <color indexed="64"/>
        </top>
      </border>
    </ndxf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" sId="1">
    <nc r="B13">
      <v>850</v>
    </nc>
  </rcc>
  <rcc rId="13" sId="1">
    <nc r="E13">
      <v>2</v>
    </nc>
  </rcc>
  <rcc rId="14" sId="1">
    <nc r="I13" t="inlineStr">
      <is>
        <t>Rahil/Shen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" sId="1">
    <oc r="B9">
      <v>625</v>
    </oc>
    <nc r="B9" t="inlineStr">
      <is>
        <t>625/874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" sId="1">
    <nc r="C9" t="inlineStr">
      <is>
        <t>Linqing Zhang</t>
      </is>
    </nc>
  </rcc>
  <rcc rId="17" sId="1" numFmtId="19">
    <nc r="D9">
      <v>46143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" sId="1">
    <nc r="B14">
      <v>851</v>
    </nc>
  </rcc>
  <rcc rId="19" sId="1">
    <nc r="I14" t="inlineStr">
      <is>
        <t>Xuan</t>
      </is>
    </nc>
  </rcc>
  <rcc rId="20" sId="1" xfDxf="1" dxf="1">
    <nc r="C14" t="inlineStr">
      <is>
        <t>Mrs. Ritsu Okumoto</t>
      </is>
    </nc>
    <ndxf>
      <font>
        <sz val="14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" sId="1" numFmtId="19">
    <nc r="D14">
      <v>46147</v>
    </nc>
  </rcc>
  <rcc rId="22" sId="1">
    <nc r="E14">
      <v>1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" sId="1" xfDxf="1" dxf="1">
    <oc r="C14" t="inlineStr">
      <is>
        <t>Mrs. Ritsu Okumoto</t>
      </is>
    </oc>
    <nc r="C14" t="inlineStr">
      <is>
        <t>Mr. Shinichiro Okumoto</t>
      </is>
    </nc>
    <ndxf>
      <font>
        <sz val="14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" sId="1">
    <nc r="C13" t="inlineStr">
      <is>
        <t>Puyan Tang</t>
      </is>
    </nc>
  </rcc>
  <rcc rId="25" sId="1" numFmtId="19">
    <nc r="D13">
      <v>46143</v>
    </nc>
  </rcc>
  <rcc rId="26" sId="1" odxf="1" dxf="1">
    <nc r="C10" t="inlineStr">
      <is>
        <t>Xing Zhou</t>
      </is>
    </nc>
    <odxf>
      <alignment horizontal="left" readingOrder="0"/>
    </odxf>
    <ndxf>
      <alignment horizontal="center" readingOrder="0"/>
    </ndxf>
  </rcc>
  <rcc rId="27" sId="1" numFmtId="19">
    <nc r="D10">
      <v>46142</v>
    </nc>
  </rcc>
  <rcc rId="28" sId="1" odxf="1" dxf="1">
    <nc r="C11" t="inlineStr">
      <is>
        <t>Bin Wang</t>
      </is>
    </nc>
    <odxf>
      <alignment horizontal="left" readingOrder="0"/>
    </odxf>
    <ndxf>
      <alignment horizontal="center" readingOrder="0"/>
    </ndxf>
  </rcc>
  <rcc rId="29" sId="1" numFmtId="19">
    <nc r="D11">
      <v>46142</v>
    </nc>
  </rcc>
  <rcc rId="30" sId="1">
    <oc r="B10">
      <v>615</v>
    </oc>
    <nc r="B10">
      <v>614</v>
    </nc>
  </rcc>
  <rcc rId="31" sId="1">
    <oc r="B11">
      <v>614</v>
    </oc>
    <nc r="B11">
      <v>615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" sId="1">
    <oc r="B8" t="inlineStr">
      <is>
        <t>Prebooking</t>
      </is>
    </oc>
    <nc r="B8" t="inlineStr">
      <is>
        <t>619/</t>
      </is>
    </nc>
  </rcc>
  <rfmt sheetId="1" sqref="B7:I14" start="0" length="2147483647">
    <dxf>
      <font>
        <name val="Calibri"/>
        <scheme val="minor"/>
      </font>
    </dxf>
  </rfmt>
  <rfmt sheetId="1" sqref="B7:I14" start="0" length="2147483647">
    <dxf>
      <font>
        <sz val="14"/>
      </font>
    </dxf>
  </rfmt>
  <rfmt sheetId="1" sqref="B7:I14" start="0" length="2147483647">
    <dxf>
      <font>
        <color auto="1"/>
      </font>
    </dxf>
  </rfmt>
  <rfmt sheetId="1" sqref="B7:I14" start="0" length="2147483647">
    <dxf>
      <font>
        <b/>
      </font>
    </dxf>
  </rfmt>
  <rfmt sheetId="1" sqref="B7:I14" start="0" length="2147483647">
    <dxf>
      <font>
        <b val="0"/>
      </font>
    </dxf>
  </rfmt>
  <rfmt sheetId="1" sqref="B7:I14">
    <dxf>
      <alignment vertical="bottom" readingOrder="0"/>
    </dxf>
  </rfmt>
  <rfmt sheetId="1" sqref="B7:I14">
    <dxf>
      <alignment vertical="center" readingOrder="0"/>
    </dxf>
  </rfmt>
  <rfmt sheetId="1" sqref="B7:I14">
    <dxf>
      <alignment horizontal="center" readingOrder="0"/>
    </dxf>
  </rfmt>
  <rfmt sheetId="1" sqref="B10:H10" start="0" length="0">
    <dxf>
      <border>
        <top style="thin">
          <color indexed="64"/>
        </top>
      </border>
    </dxf>
  </rfmt>
  <rfmt sheetId="1" sqref="B10:H10 B11:H11 B12:H12 B13:H13 B14:H14 B8:H8 B9:H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" sId="1">
    <oc r="E27">
      <f>SUM(E7:E26)</f>
    </oc>
    <nc r="E27">
      <f>SUM(E7:E26)</f>
    </nc>
  </rcc>
  <rrc rId="34" sId="1" ref="A21:XFD21" action="deleteRow">
    <rfmt sheetId="1" xfDxf="1" sqref="A21:XFD21" start="0" length="0"/>
    <rcc rId="0" sId="1" dxf="1">
      <nc r="A21">
        <v>15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5" sId="1" ref="A21:XFD21" action="deleteRow">
    <rfmt sheetId="1" xfDxf="1" sqref="A21:XFD21" start="0" length="0"/>
    <rcc rId="0" sId="1" dxf="1">
      <nc r="A21">
        <v>16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6" sId="1" ref="A21:XFD21" action="deleteRow">
    <rfmt sheetId="1" xfDxf="1" sqref="A21:XFD21" start="0" length="0"/>
    <rcc rId="0" sId="1" dxf="1">
      <nc r="A21">
        <v>17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7" sId="1" ref="A21:XFD21" action="deleteRow">
    <rfmt sheetId="1" xfDxf="1" sqref="A21:XFD21" start="0" length="0"/>
    <rcc rId="0" sId="1" dxf="1">
      <nc r="A21">
        <v>18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8" sId="1" ref="A21:XFD21" action="deleteRow">
    <rfmt sheetId="1" xfDxf="1" sqref="A21:XFD21" start="0" length="0"/>
    <rcc rId="0" sId="1" dxf="1">
      <nc r="A21">
        <v>19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9" sId="1" ref="A21:XFD21" action="deleteRow">
    <undo index="0" exp="area" dr="F7:F21" r="F22" sId="1"/>
    <undo index="0" exp="area" dr="E7:E21" r="E22" sId="1"/>
    <rfmt sheetId="1" xfDxf="1" sqref="A21:XFD21" start="0" length="0"/>
    <rcc rId="0" sId="1" dxf="1">
      <nc r="A21">
        <v>20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" sId="1">
    <nc r="B15">
      <v>301</v>
    </nc>
  </rcc>
  <rcc rId="41" sId="1">
    <nc r="E15">
      <v>2</v>
    </nc>
  </rcc>
  <rcc rId="42" sId="1">
    <nc r="C15" t="inlineStr">
      <is>
        <t>Ziyu Qiu</t>
      </is>
    </nc>
  </rcc>
  <rcc rId="43" sId="1" numFmtId="19">
    <nc r="D15">
      <v>46144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" sId="1">
    <nc r="I15" t="inlineStr">
      <is>
        <t>UV/Faiha</t>
      </is>
    </nc>
  </rcc>
  <rcc rId="45" sId="1">
    <nc r="I11" t="inlineStr">
      <is>
        <t>Raahil</t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" sId="1">
    <nc r="C17" t="inlineStr">
      <is>
        <t>BOOKING CLOSED</t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17">
    <dxf>
      <fill>
        <patternFill>
          <bgColor rgb="FFFF0000"/>
        </patternFill>
      </fill>
    </dxf>
  </rfmt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" sId="1">
    <nc r="H15" t="inlineStr">
      <is>
        <t>HB</t>
      </is>
    </nc>
  </rcc>
  <rcc rId="48" sId="1">
    <oc r="C10" t="inlineStr">
      <is>
        <t>Xing Zhou</t>
      </is>
    </oc>
    <nc r="C10" t="inlineStr">
      <is>
        <t>Bin Wang</t>
      </is>
    </nc>
  </rcc>
  <rcc rId="49" sId="1">
    <oc r="C11" t="inlineStr">
      <is>
        <t>Bin Wang</t>
      </is>
    </oc>
    <nc r="C11" t="inlineStr">
      <is>
        <t>Xing Zhou</t>
      </is>
    </nc>
  </rcc>
  <rcc rId="50" sId="1">
    <nc r="H10" t="inlineStr">
      <is>
        <t>SAI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" sId="1">
    <nc r="H11" t="inlineStr">
      <is>
        <t>SAI</t>
      </is>
    </nc>
  </rcc>
  <rcc rId="52" sId="1">
    <nc r="H12" t="inlineStr">
      <is>
        <t>SAI</t>
      </is>
    </nc>
  </rcc>
  <rcc rId="53" sId="1">
    <nc r="H13" t="inlineStr">
      <is>
        <t>SAI</t>
      </is>
    </nc>
  </rcc>
  <rcc rId="54" sId="1" odxf="1" dxf="1">
    <nc r="H14" t="inlineStr">
      <is>
        <t>SAI</t>
      </is>
    </nc>
    <odxf>
      <font>
        <strike/>
        <sz val="14"/>
        <color auto="1"/>
      </font>
    </odxf>
    <ndxf>
      <font>
        <strike val="0"/>
        <sz val="14"/>
        <color auto="1"/>
      </font>
    </ndxf>
  </rcc>
  <rcc rId="55" sId="1">
    <oc r="B8" t="inlineStr">
      <is>
        <t>619/</t>
      </is>
    </oc>
    <nc r="B8" t="inlineStr">
      <is>
        <t>619/881</t>
      </is>
    </nc>
  </rcc>
  <rcc rId="56" sId="1" odxf="1" dxf="1">
    <oc r="H8" t="inlineStr">
      <is>
        <t>3283176, 3283177</t>
      </is>
    </oc>
    <nc r="H8" t="inlineStr">
      <is>
        <t>SAI</t>
      </is>
    </nc>
    <odxf>
      <numFmt numFmtId="3" formatCode="#,##0"/>
    </odxf>
    <ndxf>
      <numFmt numFmtId="0" formatCode="General"/>
    </ndxf>
  </rcc>
  <rcc rId="57" sId="1">
    <nc r="H9" t="inlineStr">
      <is>
        <t>SAI</t>
      </is>
    </nc>
  </rcc>
  <rcc rId="58" sId="1">
    <oc r="B7" t="inlineStr">
      <is>
        <t>Prebooking</t>
      </is>
    </oc>
    <nc r="B7">
      <v>843</v>
    </nc>
  </rcc>
  <rcc rId="59" sId="1" odxf="1" dxf="1">
    <oc r="H7" t="inlineStr">
      <is>
        <t>2998184 (TRMD)</t>
      </is>
    </oc>
    <nc r="H7" t="inlineStr">
      <is>
        <t>SAI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rc rId="60" sId="1" ref="A18:XFD18" action="deleteRow">
    <rfmt sheetId="1" xfDxf="1" sqref="A18:XFD18" start="0" length="0"/>
    <rcc rId="0" sId="1" dxf="1">
      <nc r="A18">
        <v>12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B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1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61" sId="1" ref="A18:XFD18" action="deleteRow">
    <rfmt sheetId="1" xfDxf="1" sqref="A18:XFD18" start="0" length="0"/>
    <rcc rId="0" sId="1" dxf="1">
      <nc r="A18">
        <v>13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B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1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62" sId="1" ref="A18:XFD18" action="deleteRow">
    <undo index="0" exp="area" dr="F7:F18" r="F19" sId="1"/>
    <undo index="0" exp="area" dr="E7:E18" r="E19" sId="1"/>
    <rfmt sheetId="1" xfDxf="1" sqref="A18:XFD18" start="0" length="0"/>
    <rcc rId="0" sId="1" dxf="1">
      <nc r="A18">
        <v>14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B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1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fmt sheetId="1" sqref="A17:I17">
    <dxf>
      <fill>
        <patternFill>
          <bgColor rgb="FFFF0000"/>
        </patternFill>
      </fill>
    </dxf>
  </rfmt>
  <rfmt sheetId="1" sqref="A17" start="0" length="0">
    <dxf>
      <border>
        <left/>
      </border>
    </dxf>
  </rfmt>
  <rfmt sheetId="1" sqref="A17:I17" start="0" length="0">
    <dxf>
      <border>
        <top/>
      </border>
    </dxf>
  </rfmt>
  <rfmt sheetId="1" sqref="I17" start="0" length="0">
    <dxf>
      <border>
        <right/>
      </border>
    </dxf>
  </rfmt>
  <rfmt sheetId="1" sqref="A17:I17" start="0" length="0">
    <dxf>
      <border>
        <bottom/>
      </border>
    </dxf>
  </rfmt>
  <rfmt sheetId="1" sqref="A17:I17">
    <dxf>
      <border>
        <left/>
        <right/>
        <vertical/>
      </border>
    </dxf>
  </rfmt>
  <rfmt sheetId="1" sqref="A17" start="0" length="0">
    <dxf>
      <border>
        <left style="thin">
          <color indexed="64"/>
        </left>
      </border>
    </dxf>
  </rfmt>
  <rfmt sheetId="1" sqref="A17:I17" start="0" length="0">
    <dxf>
      <border>
        <top style="thin">
          <color indexed="64"/>
        </top>
      </border>
    </dxf>
  </rfmt>
  <rfmt sheetId="1" sqref="I17" start="0" length="0">
    <dxf>
      <border>
        <right style="thin">
          <color indexed="64"/>
        </right>
      </border>
    </dxf>
  </rfmt>
  <rfmt sheetId="1" sqref="A17:I17" start="0" length="0">
    <dxf>
      <border>
        <bottom style="thin">
          <color indexed="64"/>
        </bottom>
      </border>
    </dxf>
  </rfmt>
  <rfmt sheetId="1" sqref="A17:I17" start="0" length="2147483647">
    <dxf>
      <font>
        <b/>
      </font>
    </dxf>
  </rfmt>
  <rfmt sheetId="1" sqref="A17:I17" start="0" length="2147483647">
    <dxf>
      <font>
        <color theme="0"/>
      </font>
    </dxf>
  </rfmt>
  <rcc rId="63" sId="1">
    <oc r="C17" t="inlineStr">
      <is>
        <t>BOOKING CLOSED</t>
      </is>
    </oc>
    <nc r="C17"/>
  </rcc>
  <rcc rId="64" sId="1">
    <oc r="A17">
      <v>11</v>
    </oc>
    <nc r="A17"/>
  </rcc>
  <rcc rId="65" sId="1">
    <nc r="D17" t="inlineStr">
      <is>
        <t>BOOKING CLOSED</t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7:I15">
    <dxf>
      <alignment vertical="bottom" readingOrder="0"/>
    </dxf>
  </rfmt>
  <rfmt sheetId="1" sqref="B7:I15">
    <dxf>
      <alignment vertical="center" readingOrder="0"/>
    </dxf>
  </rfmt>
  <rfmt sheetId="1" sqref="B7:I15">
    <dxf>
      <alignment horizontal="general" readingOrder="0"/>
    </dxf>
  </rfmt>
  <rfmt sheetId="1" sqref="B7:I15">
    <dxf>
      <alignment horizontal="center" readingOrder="0"/>
    </dxf>
  </rfmt>
  <rfmt sheetId="1" sqref="B7:I15" start="0" length="2147483647">
    <dxf>
      <font>
        <b/>
      </font>
    </dxf>
  </rfmt>
  <rfmt sheetId="1" sqref="B7:I15" start="0" length="2147483647">
    <dxf>
      <font>
        <b val="0"/>
      </font>
    </dxf>
  </rfmt>
  <rfmt sheetId="1" sqref="B7:I15" start="0" length="2147483647">
    <dxf>
      <font/>
    </dxf>
  </rfmt>
  <rfmt sheetId="1" sqref="B7:I15" start="0" length="2147483647">
    <dxf>
      <font/>
    </dxf>
  </rfmt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" sId="1">
    <oc r="B13">
      <v>850</v>
    </oc>
    <nc r="B13" t="inlineStr">
      <is>
        <t>850/621</t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5">
    <dxf>
      <fill>
        <patternFill>
          <bgColor rgb="FF92D050"/>
        </patternFill>
      </fill>
    </dxf>
  </rfmt>
  <rfmt sheetId="1" sqref="B11 B7 B12 B13 B14">
    <dxf>
      <fill>
        <patternFill>
          <bgColor rgb="FF92D050"/>
        </patternFill>
      </fill>
    </dxf>
  </rfmt>
  <rfmt sheetId="1" sqref="B9">
    <dxf>
      <fill>
        <patternFill>
          <bgColor rgb="FF92D050"/>
        </patternFill>
      </fill>
    </dxf>
  </rfmt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" sId="1">
    <oc r="E9">
      <v>2</v>
    </oc>
    <nc r="E9">
      <v>1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" sId="1">
    <nc r="E16">
      <v>1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" sId="6">
    <nc r="B9" t="inlineStr">
      <is>
        <t>Prebooking</t>
      </is>
    </nc>
  </rcc>
  <rcc rId="70" sId="6" odxf="1" dxf="1">
    <nc r="C9" t="inlineStr">
      <is>
        <t>ZHANG/YUANWEN MS</t>
      </is>
    </nc>
    <odxf>
      <alignment horizontal="left" readingOrder="0"/>
    </odxf>
    <ndxf>
      <alignment horizontal="center" readingOrder="0"/>
    </ndxf>
  </rcc>
  <rcc rId="71" sId="6" numFmtId="19">
    <nc r="D9">
      <v>46157</v>
    </nc>
  </rcc>
  <rcc rId="72" sId="6">
    <nc r="E9">
      <v>2</v>
    </nc>
  </rcc>
  <rcc rId="73" sId="6">
    <nc r="H9" t="inlineStr">
      <is>
        <t>3085432, 3085433</t>
      </is>
    </nc>
  </rcc>
  <rcc rId="74" sId="6">
    <nc r="I9" t="inlineStr">
      <is>
        <t>Sharamth/Faiha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" sId="2">
    <nc r="B13">
      <v>815</v>
    </nc>
  </rcc>
  <rcc rId="76" sId="2">
    <nc r="E13">
      <v>2</v>
    </nc>
  </rcc>
  <rcc rId="77" sId="2">
    <nc r="I13" t="inlineStr">
      <is>
        <t>Faiha</t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" sId="2">
    <nc r="B14">
      <v>623</v>
    </nc>
  </rcc>
  <rcc rId="79" sId="2">
    <nc r="E14">
      <v>2</v>
    </nc>
  </rcc>
  <rcc rId="80" sId="2" odxf="1" dxf="1">
    <nc r="I14" t="inlineStr">
      <is>
        <t>Faiha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" sId="2">
    <nc r="B15">
      <v>625</v>
    </nc>
  </rcc>
  <rcc rId="82" sId="2">
    <nc r="E15">
      <v>2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" sId="2">
    <nc r="C17" t="inlineStr">
      <is>
        <t>BOOKING CLOSED</t>
      </is>
    </nc>
  </rcc>
  <rfmt sheetId="2" sqref="C17">
    <dxf>
      <fill>
        <patternFill>
          <bgColor rgb="FFFF0000"/>
        </patternFill>
      </fill>
    </dxf>
  </rfmt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" sId="3">
    <nc r="B10">
      <v>214</v>
    </nc>
  </rcc>
  <rcc rId="85" sId="3">
    <nc r="E10">
      <v>2</v>
    </nc>
  </rcc>
  <rcc rId="86" sId="3">
    <nc r="I10" t="inlineStr">
      <is>
        <t>Win/Faiha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" sId="3" odxf="1" dxf="1">
    <nc r="C10" t="inlineStr">
      <is>
        <t>Wenqi Sun</t>
      </is>
    </nc>
    <odxf>
      <alignment horizontal="left" readingOrder="0"/>
    </odxf>
    <ndxf>
      <alignment horizontal="center" readingOrder="0"/>
    </ndxf>
  </rcc>
  <rcc rId="88" sId="3" numFmtId="19">
    <nc r="D10">
      <v>46145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" sId="3">
    <nc r="B11">
      <v>606</v>
    </nc>
  </rcc>
  <rcc rId="90" sId="3">
    <nc r="E11">
      <v>2</v>
    </nc>
  </rcc>
  <rcc rId="91" sId="3">
    <nc r="I11" t="inlineStr">
      <is>
        <t>Win/Faiha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" sId="3" odxf="1" dxf="1">
    <nc r="C11" t="inlineStr">
      <is>
        <t>Juan Cui</t>
      </is>
    </nc>
    <odxf>
      <alignment horizontal="left" readingOrder="0"/>
    </odxf>
    <ndxf>
      <alignment horizontal="center" readingOrder="0"/>
    </ndxf>
  </rcc>
  <rcc rId="93" sId="3" numFmtId="19">
    <nc r="D11">
      <v>46146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" sId="8">
    <nc r="B8" t="inlineStr">
      <is>
        <t>Prebooking</t>
      </is>
    </nc>
  </rcc>
  <rcc rId="95" sId="8">
    <nc r="E8">
      <v>2</v>
    </nc>
  </rcc>
  <rcc rId="96" sId="8" xfDxf="1" dxf="1">
    <nc r="C8" t="inlineStr">
      <is>
        <t>Mr Harshal Khandelwal</t>
      </is>
    </nc>
    <ndxf>
      <font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8" numFmtId="19">
    <nc r="D8">
      <v>46161</v>
    </nc>
  </rcc>
  <rcc rId="98" sId="8">
    <nc r="I8" t="inlineStr">
      <is>
        <t>Ramona/Faiha</t>
      </is>
    </nc>
  </rcc>
  <rcc rId="99" sId="8" xfDxf="1" dxf="1">
    <nc r="H8" t="inlineStr">
      <is>
        <t>3358502, 3358505</t>
      </is>
    </nc>
    <ndxf>
      <font>
        <sz val="14"/>
      </font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" sId="2">
    <oc r="E14">
      <v>2</v>
    </oc>
    <nc r="E14" t="inlineStr">
      <is>
        <t>CXL2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" sId="3">
    <nc r="B12">
      <v>617</v>
    </nc>
  </rcc>
  <rcc rId="102" sId="3">
    <nc r="I12" t="inlineStr">
      <is>
        <t>Xuan</t>
      </is>
    </nc>
  </rcc>
  <rcc rId="103" sId="3">
    <nc r="E12">
      <v>2</v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" sId="3" odxf="1" dxf="1">
    <nc r="C12" t="inlineStr">
      <is>
        <t>Alexandra Abramova</t>
      </is>
    </nc>
    <odxf>
      <alignment horizontal="left" readingOrder="0"/>
    </odxf>
    <ndxf>
      <alignment horizontal="center" readingOrder="0"/>
    </ndxf>
  </rcc>
  <rcc rId="105" sId="3" numFmtId="19">
    <nc r="D12">
      <v>46124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" sId="3">
    <nc r="B13">
      <v>614</v>
    </nc>
  </rcc>
  <rcc rId="107" sId="3">
    <nc r="E13">
      <v>2</v>
    </nc>
  </rcc>
  <rcc rId="108" sId="3">
    <nc r="I13" t="inlineStr">
      <is>
        <t>Win/Faiha</t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9" sId="2">
    <oc r="E11">
      <v>2</v>
    </oc>
    <nc r="E11" t="inlineStr">
      <is>
        <t>PP2</t>
      </is>
    </nc>
  </rcc>
  <rcc rId="110" sId="2">
    <oc r="B11" t="inlineStr">
      <is>
        <t>Prebooking</t>
      </is>
    </oc>
    <nc r="B11">
      <v>619</v>
    </nc>
  </rcc>
  <rcc rId="111" sId="3" odxf="1" dxf="1">
    <nc r="B14">
      <v>619</v>
    </nc>
    <odxf>
      <alignment vertical="center" readingOrder="0"/>
    </odxf>
    <ndxf>
      <alignment vertical="top" readingOrder="0"/>
    </ndxf>
  </rcc>
  <rcc rId="112" sId="3" odxf="1" dxf="1">
    <nc r="C14" t="inlineStr">
      <is>
        <t xml:space="preserve">MR.LI/YANG  </t>
      </is>
    </nc>
    <odxf>
      <alignment horizontal="left" vertical="center" readingOrder="0"/>
    </odxf>
    <ndxf>
      <alignment horizontal="center" vertical="top" readingOrder="0"/>
    </ndxf>
  </rcc>
  <rcc rId="113" sId="3" odxf="1" dxf="1" numFmtId="19">
    <nc r="D14">
      <v>46149</v>
    </nc>
    <odxf>
      <alignment vertical="center" readingOrder="0"/>
    </odxf>
    <ndxf>
      <alignment vertical="top" readingOrder="0"/>
    </ndxf>
  </rcc>
  <rcc rId="114" sId="3">
    <nc r="E14">
      <v>2</v>
    </nc>
  </rcc>
  <rcc rId="115" sId="3" odxf="1" dxf="1">
    <nc r="I14" t="inlineStr">
      <is>
        <t>Win/Faiha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6" sId="2">
    <nc r="C13" t="inlineStr">
      <is>
        <t>Alvero Gonzalez Espejo</t>
      </is>
    </nc>
  </rcc>
  <rcc rId="117" sId="2" numFmtId="19">
    <nc r="D13">
      <v>46148</v>
    </nc>
  </rcc>
  <rcc rId="118" sId="2">
    <nc r="C15" t="inlineStr">
      <is>
        <t>Zhiling Chen</t>
      </is>
    </nc>
  </rcc>
  <rcc rId="119" sId="2" numFmtId="19">
    <nc r="D15">
      <v>46146</v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0" sId="2" odxf="1" dxf="1">
    <nc r="I15" t="inlineStr">
      <is>
        <t>Faiha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" sId="3" odxf="1" dxf="1">
    <nc r="B15">
      <v>815</v>
    </nc>
    <odxf>
      <alignment vertical="center" readingOrder="0"/>
    </odxf>
    <ndxf>
      <alignment vertical="top" readingOrder="0"/>
    </ndxf>
  </rcc>
  <rcc rId="122" sId="3" odxf="1" dxf="1">
    <nc r="C15" t="inlineStr">
      <is>
        <t>Alvero Gonzalez Espejo</t>
      </is>
    </nc>
    <odxf>
      <alignment vertical="center" readingOrder="0"/>
    </odxf>
    <ndxf>
      <alignment vertical="top" readingOrder="0"/>
    </ndxf>
  </rcc>
  <rcc rId="123" sId="3" odxf="1" dxf="1" numFmtId="19">
    <nc r="D15">
      <v>46148</v>
    </nc>
    <odxf>
      <alignment vertical="center" readingOrder="0"/>
    </odxf>
    <ndxf>
      <alignment vertical="top" readingOrder="0"/>
    </ndxf>
  </rcc>
  <rcc rId="124" sId="3" odxf="1" dxf="1">
    <nc r="E15">
      <v>2</v>
    </nc>
    <odxf>
      <alignment vertical="center" readingOrder="0"/>
    </odxf>
    <ndxf>
      <alignment vertical="top" readingOrder="0"/>
    </ndxf>
  </rcc>
  <rfmt sheetId="3" sqref="F15" start="0" length="0">
    <dxf>
      <alignment vertical="top" readingOrder="0"/>
    </dxf>
  </rfmt>
  <rfmt sheetId="3" sqref="G15" start="0" length="0">
    <dxf>
      <alignment vertical="top" readingOrder="0"/>
    </dxf>
  </rfmt>
  <rfmt sheetId="3" sqref="H15" start="0" length="0">
    <dxf>
      <alignment horizontal="center" vertical="top" readingOrder="0"/>
    </dxf>
  </rfmt>
  <rcc rId="125" sId="3" odxf="1" dxf="1">
    <nc r="I15" t="inlineStr">
      <is>
        <t>Faiha</t>
      </is>
    </nc>
    <odxf>
      <alignment horizontal="left" vertical="center" readingOrder="0"/>
    </odxf>
    <ndxf>
      <alignment horizontal="center" vertical="top" readingOrder="0"/>
    </ndxf>
  </rcc>
  <rcc rId="126" sId="2">
    <oc r="E13">
      <v>2</v>
    </oc>
    <nc r="E13" t="inlineStr">
      <is>
        <t>PP2</t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7" sId="3" odxf="1" dxf="1">
    <nc r="B16" t="inlineStr">
      <is>
        <t>Prebooking</t>
      </is>
    </nc>
    <odxf>
      <alignment vertical="center" readingOrder="0"/>
    </odxf>
    <ndxf>
      <alignment vertical="top" readingOrder="0"/>
    </ndxf>
  </rcc>
  <rcc rId="128" sId="3" odxf="1" dxf="1">
    <nc r="C16" t="inlineStr">
      <is>
        <t>CHEN,XINXIN .MS</t>
      </is>
    </nc>
    <odxf>
      <alignment horizontal="left" vertical="center" readingOrder="0"/>
    </odxf>
    <ndxf>
      <alignment horizontal="center" vertical="top" readingOrder="0"/>
    </ndxf>
  </rcc>
  <rcc rId="129" sId="3" odxf="1" dxf="1" numFmtId="19">
    <nc r="D16">
      <v>46149</v>
    </nc>
    <odxf>
      <alignment vertical="center" readingOrder="0"/>
    </odxf>
    <ndxf>
      <alignment vertical="top" readingOrder="0"/>
    </ndxf>
  </rcc>
  <rcc rId="130" sId="3" odxf="1" dxf="1">
    <nc r="E16">
      <v>2</v>
    </nc>
    <odxf>
      <alignment vertical="center" readingOrder="0"/>
    </odxf>
    <ndxf>
      <alignment vertical="top" readingOrder="0"/>
    </ndxf>
  </rcc>
  <rfmt sheetId="3" sqref="F16" start="0" length="0">
    <dxf>
      <alignment vertical="top" readingOrder="0"/>
    </dxf>
  </rfmt>
  <rfmt sheetId="3" sqref="G16" start="0" length="0">
    <dxf>
      <alignment vertical="top" readingOrder="0"/>
    </dxf>
  </rfmt>
  <rcc rId="131" sId="3" odxf="1" dxf="1">
    <nc r="H16" t="inlineStr">
      <is>
        <t xml:space="preserve">3322688, 3322690 </t>
      </is>
    </nc>
    <odxf>
      <alignment horizontal="left" vertical="center" readingOrder="0"/>
    </odxf>
    <ndxf>
      <alignment horizontal="center" vertical="top" readingOrder="0"/>
    </ndxf>
  </rcc>
  <rcc rId="132" sId="3" odxf="1" dxf="1">
    <nc r="I16" t="inlineStr">
      <is>
        <t>Monica/Faiha</t>
      </is>
    </nc>
    <odxf>
      <alignment horizontal="left" vertical="center" readingOrder="0"/>
    </odxf>
    <ndxf>
      <alignment horizontal="center" vertical="top" readingOrder="0"/>
    </ndxf>
  </rcc>
  <rcc rId="133" sId="2">
    <oc r="E8">
      <v>2</v>
    </oc>
    <nc r="E8" t="inlineStr">
      <is>
        <t>PP2</t>
      </is>
    </nc>
  </rcc>
  <rcv guid="{764E197A-ED2B-44E8-AE74-A147CD840ADF}" action="add"/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" sId="2">
    <oc r="B7" t="inlineStr">
      <is>
        <t>Prebooking</t>
      </is>
    </oc>
    <nc r="B7">
      <v>335</v>
    </nc>
  </rcc>
  <rcc rId="135" sId="2">
    <oc r="B8" t="inlineStr">
      <is>
        <t>Prebooking</t>
      </is>
    </oc>
    <nc r="B8">
      <v>683</v>
    </nc>
  </rcc>
  <rcc rId="136" sId="2">
    <oc r="B9" t="inlineStr">
      <is>
        <t>Prebooking</t>
      </is>
    </oc>
    <nc r="B9">
      <v>875</v>
    </nc>
  </rcc>
  <rcc rId="137" sId="2">
    <oc r="B10" t="inlineStr">
      <is>
        <t>Prebooking</t>
      </is>
    </oc>
    <nc r="B10">
      <v>852</v>
    </nc>
  </rcc>
  <rm rId="138" sheetId="2" source="B14:I14" destination="B16:I16" sourceSheetId="2">
    <rfmt sheetId="2" sqref="B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6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m rId="139" sheetId="2" source="B15:I15" destination="B14:I14" sourceSheetId="2">
    <rfmt sheetId="2" sqref="D14" start="0" length="0">
      <dxf>
        <numFmt numFmtId="19" formatCode="dd/mm/yyyy"/>
      </dxf>
    </rfmt>
  </rm>
  <rm rId="140" sheetId="2" source="B11:I11" destination="B15:I15" sourceSheetId="2">
    <rfmt sheetId="2" sqref="D15" start="0" length="0">
      <dxf>
        <numFmt numFmtId="19" formatCode="dd/mm/yyyy"/>
      </dxf>
    </rfmt>
  </rm>
  <rcc rId="141" sId="2" odxf="1" dxf="1">
    <nc r="B11">
      <v>300</v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" sId="2" odxf="1" dxf="1">
    <nc r="C11" t="inlineStr">
      <is>
        <t>Miss Victoria Statham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" sId="2" odxf="1" dxf="1" numFmtId="19">
    <nc r="D11">
      <v>46155</v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" sId="2" odxf="1" dxf="1">
    <nc r="E11">
      <v>2</v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11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11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5" sId="2" odxf="1" dxf="1">
    <nc r="H11">
      <v>25976904</v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" sId="2" odxf="1" dxf="1">
    <nc r="I11" t="inlineStr">
      <is>
        <t>Shamrath/Faiha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" sId="2">
    <oc r="B12" t="inlineStr">
      <is>
        <t>Prebooking</t>
      </is>
    </oc>
    <nc r="B12">
      <v>815</v>
    </nc>
  </rcc>
  <rcc rId="148" sId="2" odxf="1" dxf="1">
    <oc r="C12" t="inlineStr">
      <is>
        <t>Miss Victoria Statham</t>
      </is>
    </oc>
    <nc r="C12" t="inlineStr">
      <is>
        <t>Alvero Gonzalez Espejo</t>
      </is>
    </nc>
    <odxf>
      <alignment horizontal="center" readingOrder="0"/>
    </odxf>
    <ndxf>
      <alignment horizontal="left" readingOrder="0"/>
    </ndxf>
  </rcc>
  <rcc rId="149" sId="2" numFmtId="19">
    <oc r="D12">
      <v>46155</v>
    </oc>
    <nc r="D12">
      <v>46148</v>
    </nc>
  </rcc>
  <rcc rId="150" sId="2">
    <oc r="E12">
      <v>2</v>
    </oc>
    <nc r="E12" t="inlineStr">
      <is>
        <t>PP2</t>
      </is>
    </nc>
  </rcc>
  <rcc rId="151" sId="2">
    <oc r="H12">
      <v>25976904</v>
    </oc>
    <nc r="H12"/>
  </rcc>
  <rcc rId="152" sId="2">
    <oc r="I12" t="inlineStr">
      <is>
        <t>Shamrath/Faiha</t>
      </is>
    </oc>
    <nc r="I12" t="inlineStr">
      <is>
        <t>Faiha</t>
      </is>
    </nc>
  </rcc>
  <rcc rId="153" sId="2" odxf="1" dxf="1">
    <oc r="B13">
      <v>815</v>
    </oc>
    <nc r="B13">
      <v>625</v>
    </nc>
    <odxf>
      <alignment vertical="top" readingOrder="0"/>
    </odxf>
    <ndxf>
      <alignment vertical="center" readingOrder="0"/>
    </ndxf>
  </rcc>
  <rcc rId="154" sId="2" odxf="1" dxf="1">
    <oc r="C13" t="inlineStr">
      <is>
        <t>Alvero Gonzalez Espejo</t>
      </is>
    </oc>
    <nc r="C13" t="inlineStr">
      <is>
        <t>Zhiling Chen</t>
      </is>
    </nc>
    <odxf>
      <alignment vertical="top" readingOrder="0"/>
    </odxf>
    <ndxf>
      <alignment vertical="center" readingOrder="0"/>
    </ndxf>
  </rcc>
  <rcc rId="155" sId="2" odxf="1" dxf="1" numFmtId="19">
    <oc r="D13">
      <v>46148</v>
    </oc>
    <nc r="D13">
      <v>46146</v>
    </nc>
    <odxf>
      <alignment vertical="top" readingOrder="0"/>
    </odxf>
    <ndxf>
      <alignment vertical="center" readingOrder="0"/>
    </ndxf>
  </rcc>
  <rcc rId="156" sId="2" odxf="1" dxf="1">
    <oc r="E13" t="inlineStr">
      <is>
        <t>PP2</t>
      </is>
    </oc>
    <nc r="E13">
      <v>2</v>
    </nc>
    <odxf>
      <alignment vertical="top" readingOrder="0"/>
    </odxf>
    <ndxf>
      <alignment vertical="center" readingOrder="0"/>
    </ndxf>
  </rcc>
  <rfmt sheetId="2" sqref="F13" start="0" length="0">
    <dxf>
      <alignment vertical="center" readingOrder="0"/>
    </dxf>
  </rfmt>
  <rfmt sheetId="2" sqref="G13" start="0" length="0">
    <dxf>
      <alignment vertical="center" readingOrder="0"/>
    </dxf>
  </rfmt>
  <rfmt sheetId="2" sqref="H13" start="0" length="0">
    <dxf>
      <alignment horizontal="left" vertical="center" readingOrder="0"/>
    </dxf>
  </rfmt>
  <rcc rId="157" sId="2" odxf="1" dxf="1">
    <oc r="B14">
      <v>625</v>
    </oc>
    <nc r="B14">
      <v>619</v>
    </nc>
    <odxf>
      <alignment vertical="center" readingOrder="0"/>
    </odxf>
    <ndxf>
      <alignment vertical="top" readingOrder="0"/>
    </ndxf>
  </rcc>
  <rcc rId="158" sId="2" odxf="1" dxf="1">
    <oc r="C14" t="inlineStr">
      <is>
        <t>Zhiling Chen</t>
      </is>
    </oc>
    <nc r="C14" t="inlineStr">
      <is>
        <t xml:space="preserve">MR.LI/YANG  </t>
      </is>
    </nc>
    <odxf>
      <alignment horizontal="left" vertical="center" readingOrder="0"/>
    </odxf>
    <ndxf>
      <alignment horizontal="center" vertical="top" readingOrder="0"/>
    </ndxf>
  </rcc>
  <rcc rId="159" sId="2" odxf="1" dxf="1" numFmtId="19">
    <oc r="D14">
      <v>46146</v>
    </oc>
    <nc r="D14">
      <v>46149</v>
    </nc>
    <odxf>
      <alignment vertical="center" readingOrder="0"/>
    </odxf>
    <ndxf>
      <alignment vertical="top" readingOrder="0"/>
    </ndxf>
  </rcc>
  <rcc rId="160" sId="2" odxf="1" dxf="1">
    <oc r="E14">
      <v>2</v>
    </oc>
    <nc r="E14" t="inlineStr">
      <is>
        <t>PP2</t>
      </is>
    </nc>
    <odxf>
      <alignment vertical="center" readingOrder="0"/>
    </odxf>
    <ndxf>
      <alignment vertical="top" readingOrder="0"/>
    </ndxf>
  </rcc>
  <rfmt sheetId="2" sqref="F14" start="0" length="0">
    <dxf>
      <alignment vertical="top" readingOrder="0"/>
    </dxf>
  </rfmt>
  <rfmt sheetId="2" sqref="G14" start="0" length="0">
    <dxf>
      <alignment vertical="top" readingOrder="0"/>
    </dxf>
  </rfmt>
  <rcc rId="161" sId="2" odxf="1" dxf="1">
    <nc r="H14" t="inlineStr">
      <is>
        <t>3345176, 3345177</t>
      </is>
    </nc>
    <odxf>
      <alignment horizontal="left" vertical="center" readingOrder="0"/>
    </odxf>
    <ndxf>
      <alignment horizontal="center" vertical="top" readingOrder="0"/>
    </ndxf>
  </rcc>
  <rcc rId="162" sId="2">
    <oc r="I14" t="inlineStr">
      <is>
        <t>Faiha</t>
      </is>
    </oc>
    <nc r="I14" t="inlineStr">
      <is>
        <t>Carl/Faiha</t>
      </is>
    </nc>
  </rcc>
  <rcc rId="163" sId="2" odxf="1" dxf="1">
    <oc r="B15">
      <v>619</v>
    </oc>
    <nc r="B15">
      <v>623</v>
    </nc>
    <odxf>
      <alignment vertical="top" readingOrder="0"/>
    </odxf>
    <ndxf>
      <alignment vertical="center" readingOrder="0"/>
    </ndxf>
  </rcc>
  <rcc rId="164" sId="2" odxf="1" dxf="1">
    <oc r="C15" t="inlineStr">
      <is>
        <t xml:space="preserve">MR.LI/YANG  </t>
      </is>
    </oc>
    <nc r="C15"/>
    <odxf>
      <alignment horizontal="center" vertical="top" readingOrder="0"/>
    </odxf>
    <ndxf>
      <alignment horizontal="left" vertical="center" readingOrder="0"/>
    </ndxf>
  </rcc>
  <rcc rId="165" sId="2" odxf="1" dxf="1" numFmtId="19">
    <oc r="D15">
      <v>46149</v>
    </oc>
    <nc r="D15"/>
    <odxf>
      <alignment vertical="top" readingOrder="0"/>
    </odxf>
    <ndxf>
      <alignment vertical="center" readingOrder="0"/>
    </ndxf>
  </rcc>
  <rcc rId="166" sId="2" odxf="1" dxf="1">
    <oc r="E15" t="inlineStr">
      <is>
        <t>PP2</t>
      </is>
    </oc>
    <nc r="E15" t="inlineStr">
      <is>
        <t>CXL2</t>
      </is>
    </nc>
    <odxf>
      <alignment vertical="top" readingOrder="0"/>
    </odxf>
    <ndxf>
      <alignment vertical="center" readingOrder="0"/>
    </ndxf>
  </rcc>
  <rfmt sheetId="2" sqref="F15" start="0" length="0">
    <dxf>
      <alignment vertical="center" readingOrder="0"/>
    </dxf>
  </rfmt>
  <rfmt sheetId="2" sqref="G15" start="0" length="0">
    <dxf>
      <alignment vertical="center" readingOrder="0"/>
    </dxf>
  </rfmt>
  <rcc rId="167" sId="2" odxf="1" dxf="1">
    <oc r="H15" t="inlineStr">
      <is>
        <t>3345176, 3345177</t>
      </is>
    </oc>
    <nc r="H15"/>
    <odxf>
      <font>
        <strike val="0"/>
        <sz val="14"/>
      </font>
      <alignment horizontal="center" vertical="top" readingOrder="0"/>
    </odxf>
    <ndxf>
      <font>
        <strike/>
        <sz val="14"/>
      </font>
      <alignment horizontal="left" vertical="center" readingOrder="0"/>
    </ndxf>
  </rcc>
  <rcc rId="168" sId="2">
    <oc r="I15" t="inlineStr">
      <is>
        <t>Carl/Faiha</t>
      </is>
    </oc>
    <nc r="I15" t="inlineStr">
      <is>
        <t>Faiha</t>
      </is>
    </nc>
  </rcc>
  <rcc rId="169" sId="2">
    <oc r="B16">
      <v>623</v>
    </oc>
    <nc r="B16"/>
  </rcc>
  <rcc rId="170" sId="2">
    <oc r="E16" t="inlineStr">
      <is>
        <t>CXL2</t>
      </is>
    </oc>
    <nc r="E16"/>
  </rcc>
  <rcc rId="171" sId="2">
    <oc r="I16" t="inlineStr">
      <is>
        <t>Faiha</t>
      </is>
    </oc>
    <nc r="I16"/>
  </rcc>
  <rcv guid="{1616C24E-F38B-4944-BE1B-EE2D6946597D}" action="delete"/>
  <rcv guid="{1616C24E-F38B-4944-BE1B-EE2D6946597D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16" start="0" length="0">
    <dxf>
      <alignment vertical="top" readingOrder="0"/>
    </dxf>
  </rfmt>
  <rfmt sheetId="2" sqref="C16" start="0" length="0">
    <dxf>
      <alignment horizontal="center" vertical="top" readingOrder="0"/>
    </dxf>
  </rfmt>
  <rfmt sheetId="2" sqref="D16" start="0" length="0">
    <dxf>
      <alignment vertical="top" readingOrder="0"/>
    </dxf>
  </rfmt>
  <rfmt sheetId="2" sqref="E16" start="0" length="0">
    <dxf>
      <alignment vertical="top" readingOrder="0"/>
    </dxf>
  </rfmt>
  <rfmt sheetId="2" sqref="F16" start="0" length="0">
    <dxf>
      <alignment vertical="top" readingOrder="0"/>
    </dxf>
  </rfmt>
  <rfmt sheetId="2" sqref="G16" start="0" length="0">
    <dxf>
      <alignment vertical="top" readingOrder="0"/>
    </dxf>
  </rfmt>
  <rfmt sheetId="2" sqref="H16" start="0" length="0">
    <dxf>
      <font>
        <strike val="0"/>
        <sz val="14"/>
      </font>
      <alignment horizontal="center" vertical="top" readingOrder="0"/>
    </dxf>
  </rfmt>
  <rcc rId="172" sId="2" odxf="1" dxf="1">
    <oc r="B8">
      <v>683</v>
    </oc>
    <nc r="B8">
      <v>875</v>
    </nc>
    <odxf>
      <border outline="0">
        <top style="thin">
          <color indexed="64"/>
        </top>
      </border>
    </odxf>
    <ndxf>
      <border outline="0">
        <top/>
      </border>
    </ndxf>
  </rcc>
  <rcc rId="173" sId="2" odxf="1" dxf="1">
    <oc r="C8" t="inlineStr">
      <is>
        <t>CHEN,XINXIN .MS</t>
      </is>
    </oc>
    <nc r="C8" t="inlineStr">
      <is>
        <t>MS.HUANG/MIN</t>
      </is>
    </nc>
    <odxf>
      <font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4"/>
        <color rgb="FF321704"/>
        <name val="Arial"/>
        <scheme val="none"/>
      </font>
      <fill>
        <patternFill patternType="none">
          <bgColor indexed="65"/>
        </patternFill>
      </fill>
      <alignment horizontal="left" vertical="center" readingOrder="0"/>
      <border outline="0">
        <left/>
        <right/>
        <top/>
        <bottom/>
      </border>
    </ndxf>
  </rcc>
  <rcc rId="174" sId="2" odxf="1" dxf="1" numFmtId="19">
    <oc r="D8">
      <v>46149</v>
    </oc>
    <nc r="D8">
      <v>46148</v>
    </nc>
    <odxf>
      <border outline="0">
        <top style="thin">
          <color indexed="64"/>
        </top>
      </border>
    </odxf>
    <ndxf>
      <border outline="0">
        <top/>
      </border>
    </ndxf>
  </rcc>
  <rcc rId="175" sId="2" odxf="1" dxf="1">
    <oc r="E8" t="inlineStr">
      <is>
        <t>PP2</t>
      </is>
    </oc>
    <nc r="E8">
      <v>2</v>
    </nc>
    <odxf>
      <border outline="0">
        <top style="thin">
          <color indexed="64"/>
        </top>
      </border>
    </odxf>
    <ndxf>
      <border outline="0">
        <top/>
      </border>
    </ndxf>
  </rcc>
  <rfmt sheetId="2" sqref="F8" start="0" length="0">
    <dxf>
      <border outline="0">
        <top/>
      </border>
    </dxf>
  </rfmt>
  <rfmt sheetId="2" sqref="G8" start="0" length="0">
    <dxf>
      <border outline="0">
        <top/>
      </border>
    </dxf>
  </rfmt>
  <rcc rId="176" sId="2" odxf="1" dxf="1">
    <oc r="H8" t="inlineStr">
      <is>
        <t xml:space="preserve">3322688, 3322690 </t>
      </is>
    </oc>
    <nc r="H8" t="inlineStr">
      <is>
        <r>
          <t>3278680,</t>
        </r>
        <r>
          <rPr>
            <sz val="11"/>
            <color rgb="FF321704"/>
            <rFont val="Arial"/>
            <family val="2"/>
          </rPr>
          <t xml:space="preserve"> </t>
        </r>
        <r>
          <rPr>
            <b/>
            <sz val="11"/>
            <color rgb="FF321704"/>
            <rFont val="Arial"/>
            <family val="2"/>
          </rPr>
          <t xml:space="preserve">3278681 </t>
        </r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4"/>
        <color rgb="FF321704"/>
        <name val="Arial"/>
        <scheme val="none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fmt sheetId="2" sqref="I8" start="0" length="0">
    <dxf>
      <border outline="0">
        <top/>
      </border>
    </dxf>
  </rfmt>
  <rcc rId="177" sId="2">
    <oc r="B9">
      <v>875</v>
    </oc>
    <nc r="B9">
      <v>852</v>
    </nc>
  </rcc>
  <rcc rId="178" sId="2" odxf="1" dxf="1">
    <oc r="C9" t="inlineStr">
      <is>
        <t>MS.HUANG/MIN</t>
      </is>
    </oc>
    <nc r="C9" t="inlineStr">
      <is>
        <t>Ms Shrey Agarwal</t>
      </is>
    </nc>
    <odxf>
      <font>
        <color rgb="FF321704"/>
        <name val="Arial"/>
        <scheme val="none"/>
      </font>
      <fill>
        <patternFill patternType="none">
          <bgColor indexed="65"/>
        </patternFill>
      </fill>
      <alignment horizontal="left" vertical="center" readingOrder="0"/>
      <border outline="0">
        <left/>
        <right/>
        <top/>
        <bottom/>
      </border>
    </odxf>
    <ndxf>
      <font>
        <sz val="14"/>
        <color rgb="FF321704"/>
        <name val="Arial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9" sId="2" odxf="1" dxf="1" numFmtId="19">
    <oc r="D9">
      <v>46148</v>
    </oc>
    <nc r="D9">
      <v>46147</v>
    </nc>
    <odxf>
      <border outline="0">
        <top/>
      </border>
    </odxf>
    <ndxf>
      <border outline="0">
        <top style="thin">
          <color indexed="64"/>
        </top>
      </border>
    </ndxf>
  </rcc>
  <rfmt sheetId="2" sqref="E9" start="0" length="0">
    <dxf>
      <border outline="0">
        <top style="thin">
          <color indexed="64"/>
        </top>
      </border>
    </dxf>
  </rfmt>
  <rfmt sheetId="2" sqref="F9" start="0" length="0">
    <dxf>
      <border outline="0">
        <top style="thin">
          <color indexed="64"/>
        </top>
      </border>
    </dxf>
  </rfmt>
  <rfmt sheetId="2" sqref="G9" start="0" length="0">
    <dxf>
      <border outline="0">
        <top style="thin">
          <color indexed="64"/>
        </top>
      </border>
    </dxf>
  </rfmt>
  <rcc rId="180" sId="2" odxf="1" dxf="1">
    <oc r="H9" t="inlineStr">
      <is>
        <r>
          <t>3278680,</t>
        </r>
        <r>
          <rPr>
            <sz val="11"/>
            <color rgb="FF321704"/>
            <rFont val="Arial"/>
            <family val="2"/>
          </rPr>
          <t xml:space="preserve"> </t>
        </r>
        <r>
          <rPr>
            <b/>
            <sz val="11"/>
            <color rgb="FF321704"/>
            <rFont val="Arial"/>
            <family val="2"/>
          </rPr>
          <t xml:space="preserve">3278681 </t>
        </r>
      </is>
    </oc>
    <nc r="H9">
      <v>3329178</v>
    </nc>
    <odxf>
      <font>
        <b/>
        <color rgb="FF321704"/>
        <name val="Arial"/>
        <scheme val="none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b val="0"/>
        <sz val="14"/>
        <color rgb="FF321704"/>
        <name val="Arial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1" sId="2" odxf="1" dxf="1">
    <oc r="I9" t="inlineStr">
      <is>
        <t>Monica/Faiha</t>
      </is>
    </oc>
    <nc r="I9" t="inlineStr">
      <is>
        <t>Carl/Faiha</t>
      </is>
    </nc>
    <odxf>
      <border outline="0">
        <top/>
      </border>
    </odxf>
    <ndxf>
      <border outline="0">
        <top style="thin">
          <color indexed="64"/>
        </top>
      </border>
    </ndxf>
  </rcc>
  <rcc rId="182" sId="2" odxf="1" dxf="1">
    <oc r="B10">
      <v>852</v>
    </oc>
    <nc r="B10">
      <v>300</v>
    </nc>
    <odxf>
      <border outline="0">
        <top/>
      </border>
    </odxf>
    <ndxf>
      <border outline="0">
        <top style="thin">
          <color indexed="64"/>
        </top>
      </border>
    </ndxf>
  </rcc>
  <rcc rId="183" sId="2">
    <oc r="C10" t="inlineStr">
      <is>
        <t>Ms Shrey Agarwal</t>
      </is>
    </oc>
    <nc r="C10" t="inlineStr">
      <is>
        <t>Miss Victoria Statham</t>
      </is>
    </nc>
  </rcc>
  <rcc rId="184" sId="2" numFmtId="19">
    <oc r="D10">
      <v>46147</v>
    </oc>
    <nc r="D10">
      <v>46155</v>
    </nc>
  </rcc>
  <rcc rId="185" sId="2">
    <oc r="H10">
      <v>3329178</v>
    </oc>
    <nc r="H10">
      <v>25976904</v>
    </nc>
  </rcc>
  <rcc rId="186" sId="2">
    <oc r="I10" t="inlineStr">
      <is>
        <t>Carl/Faiha</t>
      </is>
    </oc>
    <nc r="I10" t="inlineStr">
      <is>
        <t>Shamrath/Faiha</t>
      </is>
    </nc>
  </rcc>
  <rcc rId="187" sId="2">
    <oc r="B11">
      <v>300</v>
    </oc>
    <nc r="B11">
      <v>815</v>
    </nc>
  </rcc>
  <rcc rId="188" sId="2" odxf="1" dxf="1">
    <oc r="C11" t="inlineStr">
      <is>
        <t>Miss Victoria Statham</t>
      </is>
    </oc>
    <nc r="C11" t="inlineStr">
      <is>
        <t>Alvero Gonzalez Espejo</t>
      </is>
    </nc>
    <odxf>
      <alignment horizontal="center" readingOrder="0"/>
    </odxf>
    <ndxf>
      <alignment horizontal="left" readingOrder="0"/>
    </ndxf>
  </rcc>
  <rcc rId="189" sId="2" numFmtId="19">
    <oc r="D11">
      <v>46155</v>
    </oc>
    <nc r="D11">
      <v>46148</v>
    </nc>
  </rcc>
  <rcc rId="190" sId="2">
    <oc r="E11">
      <v>2</v>
    </oc>
    <nc r="E11" t="inlineStr">
      <is>
        <t>PP2</t>
      </is>
    </nc>
  </rcc>
  <rcc rId="191" sId="2">
    <oc r="H11">
      <v>25976904</v>
    </oc>
    <nc r="H11"/>
  </rcc>
  <rcc rId="192" sId="2">
    <oc r="I11" t="inlineStr">
      <is>
        <t>Shamrath/Faiha</t>
      </is>
    </oc>
    <nc r="I11" t="inlineStr">
      <is>
        <t>Faiha</t>
      </is>
    </nc>
  </rcc>
  <rcc rId="193" sId="2" odxf="1" dxf="1">
    <oc r="B12">
      <v>815</v>
    </oc>
    <nc r="B12">
      <v>625</v>
    </nc>
    <odxf>
      <alignment vertical="top" readingOrder="0"/>
    </odxf>
    <ndxf>
      <alignment vertical="center" readingOrder="0"/>
    </ndxf>
  </rcc>
  <rcc rId="194" sId="2" odxf="1" dxf="1">
    <oc r="C12" t="inlineStr">
      <is>
        <t>Alvero Gonzalez Espejo</t>
      </is>
    </oc>
    <nc r="C12" t="inlineStr">
      <is>
        <t>Zhiling Chen</t>
      </is>
    </nc>
    <odxf>
      <alignment vertical="top" readingOrder="0"/>
    </odxf>
    <ndxf>
      <alignment vertical="center" readingOrder="0"/>
    </ndxf>
  </rcc>
  <rcc rId="195" sId="2" odxf="1" dxf="1" numFmtId="19">
    <oc r="D12">
      <v>46148</v>
    </oc>
    <nc r="D12">
      <v>46146</v>
    </nc>
    <odxf>
      <alignment vertical="top" readingOrder="0"/>
    </odxf>
    <ndxf>
      <alignment vertical="center" readingOrder="0"/>
    </ndxf>
  </rcc>
  <rcc rId="196" sId="2" odxf="1" dxf="1">
    <oc r="E12" t="inlineStr">
      <is>
        <t>PP2</t>
      </is>
    </oc>
    <nc r="E12">
      <v>2</v>
    </nc>
    <odxf>
      <alignment vertical="top" readingOrder="0"/>
    </odxf>
    <ndxf>
      <alignment vertical="center" readingOrder="0"/>
    </ndxf>
  </rcc>
  <rfmt sheetId="2" sqref="F12" start="0" length="0">
    <dxf>
      <alignment vertical="center" readingOrder="0"/>
    </dxf>
  </rfmt>
  <rfmt sheetId="2" sqref="G12" start="0" length="0">
    <dxf>
      <alignment vertical="center" readingOrder="0"/>
    </dxf>
  </rfmt>
  <rfmt sheetId="2" sqref="H12" start="0" length="0">
    <dxf>
      <alignment horizontal="left" vertical="center" readingOrder="0"/>
    </dxf>
  </rfmt>
  <rcc rId="197" sId="2" odxf="1" dxf="1">
    <oc r="B13">
      <v>625</v>
    </oc>
    <nc r="B13">
      <v>619</v>
    </nc>
    <odxf>
      <alignment vertical="center" readingOrder="0"/>
    </odxf>
    <ndxf>
      <alignment vertical="top" readingOrder="0"/>
    </ndxf>
  </rcc>
  <rcc rId="198" sId="2" odxf="1" dxf="1">
    <oc r="C13" t="inlineStr">
      <is>
        <t>Zhiling Chen</t>
      </is>
    </oc>
    <nc r="C13" t="inlineStr">
      <is>
        <t xml:space="preserve">MR.LI/YANG  </t>
      </is>
    </nc>
    <odxf>
      <alignment horizontal="left" vertical="center" readingOrder="0"/>
    </odxf>
    <ndxf>
      <alignment horizontal="center" vertical="top" readingOrder="0"/>
    </ndxf>
  </rcc>
  <rcc rId="199" sId="2" odxf="1" dxf="1" numFmtId="19">
    <oc r="D13">
      <v>46146</v>
    </oc>
    <nc r="D13">
      <v>46149</v>
    </nc>
    <odxf>
      <alignment vertical="center" readingOrder="0"/>
    </odxf>
    <ndxf>
      <alignment vertical="top" readingOrder="0"/>
    </ndxf>
  </rcc>
  <rcc rId="200" sId="2" odxf="1" dxf="1">
    <oc r="E13">
      <v>2</v>
    </oc>
    <nc r="E13" t="inlineStr">
      <is>
        <t>PP2</t>
      </is>
    </nc>
    <odxf>
      <alignment vertical="center" readingOrder="0"/>
    </odxf>
    <ndxf>
      <alignment vertical="top" readingOrder="0"/>
    </ndxf>
  </rcc>
  <rfmt sheetId="2" sqref="F13" start="0" length="0">
    <dxf>
      <alignment vertical="top" readingOrder="0"/>
    </dxf>
  </rfmt>
  <rfmt sheetId="2" sqref="G13" start="0" length="0">
    <dxf>
      <alignment vertical="top" readingOrder="0"/>
    </dxf>
  </rfmt>
  <rcc rId="201" sId="2" odxf="1" dxf="1">
    <nc r="H13" t="inlineStr">
      <is>
        <t>3345176, 3345177</t>
      </is>
    </nc>
    <odxf>
      <alignment horizontal="left" vertical="center" readingOrder="0"/>
    </odxf>
    <ndxf>
      <alignment horizontal="center" vertical="top" readingOrder="0"/>
    </ndxf>
  </rcc>
  <rcc rId="202" sId="2">
    <oc r="I13" t="inlineStr">
      <is>
        <t>Faiha</t>
      </is>
    </oc>
    <nc r="I13" t="inlineStr">
      <is>
        <t>Carl/Faiha</t>
      </is>
    </nc>
  </rcc>
  <rcc rId="203" sId="2" odxf="1" dxf="1">
    <oc r="B14">
      <v>619</v>
    </oc>
    <nc r="B14">
      <v>623</v>
    </nc>
    <odxf>
      <alignment vertical="top" readingOrder="0"/>
    </odxf>
    <ndxf>
      <alignment vertical="center" readingOrder="0"/>
    </ndxf>
  </rcc>
  <rcc rId="204" sId="2" odxf="1" dxf="1">
    <oc r="C14" t="inlineStr">
      <is>
        <t xml:space="preserve">MR.LI/YANG  </t>
      </is>
    </oc>
    <nc r="C14"/>
    <odxf>
      <alignment horizontal="center" vertical="top" readingOrder="0"/>
    </odxf>
    <ndxf>
      <alignment horizontal="left" vertical="center" readingOrder="0"/>
    </ndxf>
  </rcc>
  <rcc rId="205" sId="2" odxf="1" dxf="1" numFmtId="19">
    <oc r="D14">
      <v>46149</v>
    </oc>
    <nc r="D14"/>
    <odxf>
      <alignment vertical="top" readingOrder="0"/>
    </odxf>
    <ndxf>
      <alignment vertical="center" readingOrder="0"/>
    </ndxf>
  </rcc>
  <rcc rId="206" sId="2" odxf="1" dxf="1">
    <oc r="E14" t="inlineStr">
      <is>
        <t>PP2</t>
      </is>
    </oc>
    <nc r="E14" t="inlineStr">
      <is>
        <t>CXL2</t>
      </is>
    </nc>
    <odxf>
      <alignment vertical="top" readingOrder="0"/>
    </odxf>
    <ndxf>
      <alignment vertical="center" readingOrder="0"/>
    </ndxf>
  </rcc>
  <rfmt sheetId="2" sqref="F14" start="0" length="0">
    <dxf>
      <alignment vertical="center" readingOrder="0"/>
    </dxf>
  </rfmt>
  <rfmt sheetId="2" sqref="G14" start="0" length="0">
    <dxf>
      <alignment vertical="center" readingOrder="0"/>
    </dxf>
  </rfmt>
  <rcc rId="207" sId="2" odxf="1" dxf="1">
    <oc r="H14" t="inlineStr">
      <is>
        <t>3345176, 3345177</t>
      </is>
    </oc>
    <nc r="H14"/>
    <odxf>
      <font>
        <strike val="0"/>
        <sz val="14"/>
      </font>
      <alignment horizontal="center" vertical="top" readingOrder="0"/>
    </odxf>
    <ndxf>
      <font>
        <strike/>
        <sz val="14"/>
      </font>
      <alignment horizontal="left" vertical="center" readingOrder="0"/>
    </ndxf>
  </rcc>
  <rcc rId="208" sId="2">
    <oc r="I14" t="inlineStr">
      <is>
        <t>Carl/Faiha</t>
      </is>
    </oc>
    <nc r="I14" t="inlineStr">
      <is>
        <t>Faiha</t>
      </is>
    </nc>
  </rcc>
  <rcc rId="209" sId="2" odxf="1" dxf="1">
    <oc r="B15">
      <v>623</v>
    </oc>
    <nc r="B15">
      <v>683</v>
    </nc>
    <odxf>
      <alignment vertical="center" readingOrder="0"/>
    </odxf>
    <ndxf>
      <alignment vertical="top" readingOrder="0"/>
    </ndxf>
  </rcc>
  <rcc rId="210" sId="2" odxf="1" dxf="1">
    <nc r="C15" t="inlineStr">
      <is>
        <t>CHEN,XINXIN .MS</t>
      </is>
    </nc>
    <odxf>
      <alignment horizontal="left" vertical="center" readingOrder="0"/>
    </odxf>
    <ndxf>
      <alignment horizontal="center" vertical="top" readingOrder="0"/>
    </ndxf>
  </rcc>
  <rcc rId="211" sId="2" odxf="1" dxf="1" numFmtId="19">
    <nc r="D15">
      <v>46149</v>
    </nc>
    <odxf>
      <alignment vertical="center" readingOrder="0"/>
    </odxf>
    <ndxf>
      <alignment vertical="top" readingOrder="0"/>
    </ndxf>
  </rcc>
  <rcc rId="212" sId="2" odxf="1" dxf="1">
    <oc r="E15" t="inlineStr">
      <is>
        <t>CXL2</t>
      </is>
    </oc>
    <nc r="E15" t="inlineStr">
      <is>
        <t>PP2</t>
      </is>
    </nc>
    <odxf>
      <alignment vertical="center" readingOrder="0"/>
    </odxf>
    <ndxf>
      <alignment vertical="top" readingOrder="0"/>
    </ndxf>
  </rcc>
  <rfmt sheetId="2" sqref="F15" start="0" length="0">
    <dxf>
      <alignment vertical="top" readingOrder="0"/>
    </dxf>
  </rfmt>
  <rfmt sheetId="2" sqref="G15" start="0" length="0">
    <dxf>
      <alignment vertical="top" readingOrder="0"/>
    </dxf>
  </rfmt>
  <rcc rId="213" sId="2" odxf="1" dxf="1">
    <nc r="H15" t="inlineStr">
      <is>
        <t xml:space="preserve">3322688, 3322690 </t>
      </is>
    </nc>
    <odxf>
      <font>
        <strike/>
        <sz val="14"/>
      </font>
      <alignment horizontal="left" vertical="center" readingOrder="0"/>
    </odxf>
    <ndxf>
      <font>
        <strike val="0"/>
        <sz val="14"/>
      </font>
      <alignment horizontal="center" vertical="top" readingOrder="0"/>
    </ndxf>
  </rcc>
  <rcc rId="214" sId="2">
    <oc r="I15" t="inlineStr">
      <is>
        <t>Faiha</t>
      </is>
    </oc>
    <nc r="I15" t="inlineStr">
      <is>
        <t>Monica/Faiha</t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215" sheetId="2" source="B11:I11" destination="B16:I16" sourceSheetId="2">
    <rfmt sheetId="2" sqref="B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C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D16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E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G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H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I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m rId="216" sheetId="2" source="B12:I16" destination="B11:I15" sourceSheetId="2">
    <rfmt sheetId="2" sqref="D11" start="0" length="0">
      <dxf>
        <numFmt numFmtId="19" formatCode="dd/mm/yyyy"/>
      </dxf>
    </rfmt>
  </rm>
  <rfmt sheetId="2" sqref="B16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6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6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6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16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16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6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16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v guid="{1616C24E-F38B-4944-BE1B-EE2D6946597D}" action="delete"/>
  <rcv guid="{1616C24E-F38B-4944-BE1B-EE2D6946597D}" action="add"/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" sId="2">
    <oc r="E7">
      <v>2</v>
    </oc>
    <nc r="E7" t="inlineStr">
      <is>
        <t>CXL2</t>
      </is>
    </nc>
  </rcc>
  <rcc rId="218" sId="2">
    <oc r="E8">
      <v>2</v>
    </oc>
    <nc r="E8" t="inlineStr">
      <is>
        <t>CXL2</t>
      </is>
    </nc>
  </rcc>
  <rfmt sheetId="2" sqref="E10">
    <dxf>
      <fill>
        <patternFill>
          <bgColor rgb="FFFFC000"/>
        </patternFill>
      </fill>
    </dxf>
  </rfmt>
  <rcc rId="219" sId="2">
    <oc r="E11">
      <v>2</v>
    </oc>
    <nc r="E11" t="inlineStr">
      <is>
        <t>PP2</t>
      </is>
    </nc>
  </rcc>
  <rcc rId="220" sId="2">
    <oc r="E9">
      <v>2</v>
    </oc>
    <nc r="E9" t="inlineStr">
      <is>
        <t>CXL2</t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" sId="3">
    <oc r="B7" t="inlineStr">
      <is>
        <t>Prebooking</t>
      </is>
    </oc>
    <nc r="B7">
      <v>881</v>
    </nc>
  </rcc>
  <rcc rId="222" sId="3">
    <oc r="B8" t="inlineStr">
      <is>
        <t>Prebooking</t>
      </is>
    </oc>
    <nc r="B8">
      <v>689</v>
    </nc>
  </rcc>
  <rcc rId="223" sId="3">
    <oc r="B16" t="inlineStr">
      <is>
        <t>Prebooking</t>
      </is>
    </oc>
    <nc r="B16">
      <v>843</v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" sId="4">
    <nc r="B8">
      <v>810</v>
    </nc>
  </rcc>
  <rcc rId="225" sId="4">
    <nc r="E8">
      <v>2</v>
    </nc>
  </rcc>
  <rcc rId="226" sId="4">
    <nc r="I8" t="inlineStr">
      <is>
        <t>Tarush</t>
      </is>
    </nc>
  </rcc>
  <rcc rId="227" sId="4">
    <nc r="C8" t="inlineStr">
      <is>
        <t>Guillaume Tabert</t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" sId="4">
    <nc r="B9">
      <v>617</v>
    </nc>
  </rcc>
  <rcc rId="229" sId="4" odxf="1" dxf="1">
    <nc r="C9" t="inlineStr">
      <is>
        <t>Alexandra Abramova</t>
      </is>
    </nc>
    <odxf>
      <alignment horizontal="left" readingOrder="0"/>
    </odxf>
    <ndxf>
      <alignment horizontal="center" readingOrder="0"/>
    </ndxf>
  </rcc>
  <rcc rId="230" sId="4" numFmtId="19">
    <nc r="D9">
      <v>46124</v>
    </nc>
  </rcc>
  <rcc rId="231" sId="4">
    <nc r="E9">
      <v>2</v>
    </nc>
  </rcc>
  <rcc rId="232" sId="4">
    <nc r="I9" t="inlineStr">
      <is>
        <t>Xuan</t>
      </is>
    </nc>
  </rcc>
  <rcc rId="233" sId="3">
    <oc r="E12">
      <v>2</v>
    </oc>
    <nc r="E12" t="inlineStr">
      <is>
        <t>PP2</t>
      </is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" sId="4">
    <nc r="B10">
      <v>881</v>
    </nc>
  </rcc>
  <rcc rId="235" sId="4" odxf="1" dxf="1">
    <nc r="C10" t="inlineStr">
      <is>
        <t>Mr. Ross Wilson</t>
      </is>
    </nc>
    <odxf>
      <alignment horizontal="left" readingOrder="0"/>
    </odxf>
    <ndxf>
      <alignment horizontal="center" readingOrder="0"/>
    </ndxf>
  </rcc>
  <rcc rId="236" sId="4" numFmtId="19">
    <nc r="D10">
      <v>46154</v>
    </nc>
  </rcc>
  <rcc rId="237" sId="4">
    <nc r="E10">
      <v>2</v>
    </nc>
  </rcc>
  <rcc rId="238" sId="4">
    <nc r="H10">
      <v>2836971</v>
    </nc>
  </rcc>
  <rcc rId="239" sId="4">
    <nc r="I10" t="inlineStr">
      <is>
        <t>Vifau/Shamrath</t>
      </is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" sId="4">
    <nc r="B11">
      <v>890</v>
    </nc>
  </rcc>
  <rcc rId="241" sId="4">
    <nc r="E11">
      <v>2</v>
    </nc>
  </rcc>
  <rcc rId="242" sId="4">
    <nc r="I11" t="inlineStr">
      <is>
        <t>Shaifan/Tarush</t>
      </is>
    </nc>
  </rcc>
  <rcc rId="243" sId="4">
    <nc r="C11" t="inlineStr">
      <is>
        <t>Qian Yujia</t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4" sId="4">
    <nc r="B12">
      <v>869</v>
    </nc>
  </rcc>
  <rcc rId="245" sId="4">
    <nc r="E12">
      <v>2</v>
    </nc>
  </rcc>
  <rcc rId="246" sId="4">
    <nc r="I12" t="inlineStr">
      <is>
        <t>Xuan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" sId="4">
    <nc r="C12" t="inlineStr">
      <is>
        <t>Maeng, Sukyoung</t>
      </is>
    </nc>
  </rcc>
  <rcc rId="248" sId="4" numFmtId="19">
    <nc r="D12">
      <v>46152</v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" sId="4">
    <nc r="B13">
      <v>337</v>
    </nc>
  </rcc>
  <rcc rId="250" sId="4">
    <nc r="E13">
      <v>2</v>
    </nc>
  </rcc>
  <rcc rId="251" sId="4">
    <nc r="I13" t="inlineStr">
      <is>
        <t>Xuan</t>
      </is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" sId="4">
    <nc r="C13" t="inlineStr">
      <is>
        <t>Nishiyama, Kouji</t>
      </is>
    </nc>
  </rcc>
  <rcc rId="253" sId="4" numFmtId="19">
    <nc r="D13">
      <v>46151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4" sId="4">
    <oc r="B7" t="inlineStr">
      <is>
        <t>Prebooking</t>
      </is>
    </oc>
    <nc r="B7">
      <v>889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5" sId="4">
    <oc r="H7" t="inlineStr">
      <is>
        <t>3304694, 3304696-TRMD</t>
      </is>
    </oc>
    <nc r="H7" t="inlineStr">
      <is>
        <t>SAI</t>
      </is>
    </nc>
  </rcc>
  <rcc rId="256" sId="4">
    <nc r="H9" t="inlineStr">
      <is>
        <t>PAI</t>
      </is>
    </nc>
  </rcc>
  <rcc rId="257" sId="4">
    <nc r="H8" t="inlineStr">
      <is>
        <t>SAI</t>
      </is>
    </nc>
  </rcc>
  <rcc rId="258" sId="4">
    <nc r="H12" t="inlineStr">
      <is>
        <t>SAI</t>
      </is>
    </nc>
  </rcc>
  <rcc rId="259" sId="4">
    <oc r="H10">
      <v>2836971</v>
    </oc>
    <nc r="H10" t="inlineStr">
      <is>
        <t>SAI</t>
      </is>
    </nc>
  </rcc>
  <rcc rId="260" sId="4">
    <nc r="H11" t="inlineStr">
      <is>
        <t>SAI</t>
      </is>
    </nc>
  </rcc>
  <rcc rId="261" sId="4" odxf="1" dxf="1">
    <nc r="H13" t="inlineStr">
      <is>
        <t>PAI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4" sqref="B7:I13" start="0" length="2147483647">
    <dxf>
      <font>
        <sz val="14"/>
      </font>
    </dxf>
  </rfmt>
  <rfmt sheetId="4" sqref="B7:I13" start="0" length="2147483647">
    <dxf>
      <font>
        <b/>
      </font>
    </dxf>
  </rfmt>
  <rfmt sheetId="4" sqref="B7:I13" start="0" length="2147483647">
    <dxf>
      <font>
        <b val="0"/>
      </font>
    </dxf>
  </rfmt>
  <rfmt sheetId="4" sqref="B7:I13" start="0" length="2147483647">
    <dxf>
      <font>
        <color auto="1"/>
      </font>
    </dxf>
  </rfmt>
  <rfmt sheetId="4" sqref="B7:I13">
    <dxf>
      <alignment vertical="center" readingOrder="0"/>
    </dxf>
  </rfmt>
  <rfmt sheetId="4" sqref="B7:I13">
    <dxf>
      <alignment horizontal="general" readingOrder="0"/>
    </dxf>
  </rfmt>
  <rfmt sheetId="4" sqref="B7:I13">
    <dxf>
      <alignment horizontal="center" readingOrder="0"/>
    </dxf>
  </rfmt>
  <rcc rId="262" sId="4" numFmtId="19">
    <nc r="D8">
      <v>46154</v>
    </nc>
  </rcc>
  <rcc rId="263" sId="4" numFmtId="19">
    <nc r="D11">
      <v>46150</v>
    </nc>
  </rcc>
  <rcv guid="{1616C24E-F38B-4944-BE1B-EE2D6946597D}" action="delete"/>
  <rcv guid="{1616C24E-F38B-4944-BE1B-EE2D6946597D}" action="add"/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64" sId="4" ref="B1:B1048576" action="insertCol"/>
  <rcc rId="265" sId="4">
    <nc r="C14">
      <v>339</v>
    </nc>
  </rcc>
  <rcc rId="266" sId="4">
    <nc r="F14">
      <v>1</v>
    </nc>
  </rcc>
  <rcc rId="267" sId="4">
    <nc r="J14" t="inlineStr">
      <is>
        <t>Faiha</t>
      </is>
    </nc>
  </rcc>
  <rcc rId="268" sId="4">
    <nc r="C15">
      <v>689</v>
    </nc>
  </rcc>
  <rcc rId="269" sId="4">
    <nc r="F15">
      <v>2</v>
    </nc>
  </rcc>
  <rcc rId="270" sId="4">
    <nc r="J15" t="inlineStr">
      <is>
        <t>Win/Faiha</t>
      </is>
    </nc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A17:J17">
    <dxf>
      <fill>
        <patternFill>
          <bgColor rgb="FFC00000"/>
        </patternFill>
      </fill>
    </dxf>
  </rfmt>
  <rcc rId="271" sId="4">
    <nc r="E17" t="inlineStr">
      <is>
        <t>BOOKING CLOSED</t>
      </is>
    </nc>
  </rcc>
  <rrc rId="272" sId="4" ref="A18:XFD18" action="deleteRow">
    <rfmt sheetId="4" xfDxf="1" sqref="A18:XFD18" start="0" length="0"/>
    <rcc rId="0" sId="4" dxf="1">
      <nc r="A18">
        <v>12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273" sId="4" ref="A18:XFD18" action="deleteRow">
    <rfmt sheetId="4" xfDxf="1" sqref="A18:XFD18" start="0" length="0"/>
    <rcc rId="0" sId="4" dxf="1">
      <nc r="A18">
        <v>13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274" sId="4" ref="A18:XFD18" action="deleteRow">
    <rfmt sheetId="4" xfDxf="1" sqref="A18:XFD18" start="0" length="0"/>
    <rcc rId="0" sId="4" dxf="1">
      <nc r="A18">
        <v>14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275" sId="4" ref="A18:XFD18" action="deleteRow">
    <rfmt sheetId="4" xfDxf="1" sqref="A18:XFD18" start="0" length="0"/>
    <rcc rId="0" sId="4" dxf="1">
      <nc r="A18">
        <v>15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276" sId="4" ref="A18:XFD18" action="deleteRow">
    <rfmt sheetId="4" xfDxf="1" sqref="A18:XFD18" start="0" length="0"/>
    <rcc rId="0" sId="4" dxf="1">
      <nc r="A18">
        <v>16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277" sId="4" ref="A18:XFD18" action="deleteRow">
    <rfmt sheetId="4" xfDxf="1" sqref="A18:XFD18" start="0" length="0"/>
    <rcc rId="0" sId="4" dxf="1">
      <nc r="A18">
        <v>17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278" sId="4" ref="A18:XFD18" action="deleteRow">
    <rfmt sheetId="4" xfDxf="1" sqref="A18:XFD18" start="0" length="0"/>
    <rcc rId="0" sId="4" dxf="1">
      <nc r="A18">
        <v>18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279" sId="4" ref="A18:XFD18" action="deleteRow">
    <rfmt sheetId="4" xfDxf="1" sqref="A18:XFD18" start="0" length="0"/>
    <rcc rId="0" sId="4" dxf="1">
      <nc r="A18">
        <v>19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280" sId="4" ref="A18:XFD18" action="deleteRow">
    <undo index="0" exp="area" dr="G7:G18" r="G19" sId="4"/>
    <undo index="0" exp="area" dr="F7:F18" r="F19" sId="4"/>
    <rfmt sheetId="4" xfDxf="1" sqref="A18:XFD18" start="0" length="0"/>
    <rcc rId="0" sId="4" dxf="1">
      <nc r="A18">
        <v>20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1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J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A17:J17" start="0" length="2147483647">
    <dxf>
      <font>
        <color theme="0"/>
      </font>
    </dxf>
  </rfmt>
  <rfmt sheetId="4" sqref="A17:J17" start="0" length="2147483647">
    <dxf>
      <font>
        <b/>
      </font>
    </dxf>
  </rfmt>
  <rcc rId="281" sId="4">
    <oc r="A17">
      <v>11</v>
    </oc>
    <nc r="A17"/>
  </rcc>
  <rfmt sheetId="4" sqref="A17" start="0" length="0">
    <dxf>
      <border>
        <left/>
      </border>
    </dxf>
  </rfmt>
  <rfmt sheetId="4" sqref="A17:J17" start="0" length="0">
    <dxf>
      <border>
        <top/>
      </border>
    </dxf>
  </rfmt>
  <rfmt sheetId="4" sqref="J17" start="0" length="0">
    <dxf>
      <border>
        <right/>
      </border>
    </dxf>
  </rfmt>
  <rfmt sheetId="4" sqref="A17:J17" start="0" length="0">
    <dxf>
      <border>
        <bottom/>
      </border>
    </dxf>
  </rfmt>
  <rfmt sheetId="4" sqref="A17:J17">
    <dxf>
      <border>
        <left/>
        <right/>
        <vertical/>
      </border>
    </dxf>
  </rfmt>
  <rfmt sheetId="4" sqref="A17" start="0" length="0">
    <dxf>
      <border>
        <left style="thin">
          <color indexed="64"/>
        </left>
      </border>
    </dxf>
  </rfmt>
  <rfmt sheetId="4" sqref="A17:J17" start="0" length="0">
    <dxf>
      <border>
        <top style="thin">
          <color indexed="64"/>
        </top>
      </border>
    </dxf>
  </rfmt>
  <rfmt sheetId="4" sqref="J17" start="0" length="0">
    <dxf>
      <border>
        <right style="thin">
          <color indexed="64"/>
        </right>
      </border>
    </dxf>
  </rfmt>
  <rfmt sheetId="4" sqref="A17:J17" start="0" length="0">
    <dxf>
      <border>
        <bottom style="thin">
          <color indexed="64"/>
        </bottom>
      </border>
    </dxf>
  </rfmt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2" sId="4">
    <nc r="D14" t="inlineStr">
      <is>
        <t>Audrey Duclauxriou</t>
      </is>
    </nc>
  </rcc>
  <rcc rId="283" sId="4" numFmtId="19">
    <nc r="E14">
      <v>46155</v>
    </nc>
  </rcc>
  <rcc rId="284" sId="4">
    <nc r="D15" t="inlineStr">
      <is>
        <t>Hui Yu</t>
      </is>
    </nc>
  </rcc>
  <rcc rId="285" sId="4" numFmtId="19">
    <nc r="E15">
      <v>46150</v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C7:J15">
    <dxf>
      <alignment vertical="bottom" readingOrder="0"/>
    </dxf>
  </rfmt>
  <rfmt sheetId="4" sqref="C7:J15">
    <dxf>
      <alignment horizontal="general" readingOrder="0"/>
    </dxf>
  </rfmt>
  <rfmt sheetId="4" sqref="C7:J15">
    <dxf>
      <alignment vertical="center" readingOrder="0"/>
    </dxf>
  </rfmt>
  <rfmt sheetId="4" sqref="C7:J15">
    <dxf>
      <alignment vertical="bottom" readingOrder="0"/>
    </dxf>
  </rfmt>
  <rfmt sheetId="4" sqref="C7:J15">
    <dxf>
      <alignment horizontal="center" readingOrder="0"/>
    </dxf>
  </rfmt>
  <rfmt sheetId="4" sqref="C7:J15">
    <dxf>
      <alignment vertical="center" readingOrder="0"/>
    </dxf>
  </rfmt>
  <rfmt sheetId="4" sqref="C7:J15" start="0" length="2147483647">
    <dxf>
      <font>
        <name val="Calibri"/>
        <scheme val="minor"/>
      </font>
    </dxf>
  </rfmt>
  <rfmt sheetId="4" sqref="C7:J15" start="0" length="2147483647">
    <dxf>
      <font>
        <color theme="1"/>
      </font>
    </dxf>
  </rfmt>
  <rfmt sheetId="4" sqref="C7:J15" start="0" length="2147483647">
    <dxf>
      <font>
        <b/>
      </font>
    </dxf>
  </rfmt>
  <rfmt sheetId="4" sqref="C7:J15" start="0" length="2147483647">
    <dxf>
      <font>
        <b val="0"/>
      </font>
    </dxf>
  </rfmt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" sId="5">
    <nc r="B10">
      <v>856</v>
    </nc>
  </rcc>
  <rcc rId="287" sId="5" odxf="1" dxf="1">
    <nc r="C10" t="inlineStr">
      <is>
        <t>Sameena Malik</t>
      </is>
    </nc>
    <odxf>
      <alignment horizontal="left" readingOrder="0"/>
    </odxf>
    <ndxf>
      <alignment horizontal="center" readingOrder="0"/>
    </ndxf>
  </rcc>
  <rcc rId="288" sId="5" numFmtId="19">
    <nc r="D10">
      <v>46155</v>
    </nc>
  </rcc>
  <rcc rId="289" sId="5">
    <nc r="E10">
      <v>2</v>
    </nc>
  </rcc>
  <rcc rId="290" sId="5">
    <nc r="I10" t="inlineStr">
      <is>
        <t>Leyla/Faiha</t>
      </is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1" sId="4">
    <oc r="C15">
      <v>689</v>
    </oc>
    <nc r="C15" t="inlineStr">
      <is>
        <t>689/883</t>
      </is>
    </nc>
  </rcc>
  <rfmt sheetId="4" sqref="C7:J15">
    <dxf>
      <alignment vertical="bottom" readingOrder="0"/>
    </dxf>
  </rfmt>
  <rfmt sheetId="4" sqref="C7:J15">
    <dxf>
      <alignment vertical="center" readingOrder="0"/>
    </dxf>
  </rfmt>
  <rfmt sheetId="4" sqref="C7:J15">
    <dxf>
      <alignment horizontal="general" readingOrder="0"/>
    </dxf>
  </rfmt>
  <rfmt sheetId="4" sqref="C7:J15">
    <dxf>
      <alignment horizontal="center" readingOrder="0"/>
    </dxf>
  </rfmt>
  <rfmt sheetId="4" sqref="K13">
    <dxf>
      <fill>
        <patternFill patternType="solid">
          <bgColor rgb="FFFF0000"/>
        </patternFill>
      </fill>
    </dxf>
  </rfmt>
  <rfmt sheetId="4" sqref="K14">
    <dxf>
      <fill>
        <patternFill patternType="solid">
          <bgColor rgb="FFFF0000"/>
        </patternFill>
      </fill>
    </dxf>
  </rfmt>
  <rfmt sheetId="4" sqref="K9">
    <dxf>
      <fill>
        <patternFill patternType="solid">
          <bgColor rgb="FFFF0000"/>
        </patternFill>
      </fill>
    </dxf>
  </rfmt>
  <rfmt sheetId="4" sqref="K8">
    <dxf>
      <fill>
        <patternFill patternType="solid">
          <bgColor rgb="FFFF0000"/>
        </patternFill>
      </fill>
    </dxf>
  </rfmt>
  <rfmt sheetId="4" sqref="K12">
    <dxf>
      <fill>
        <patternFill patternType="solid">
          <bgColor rgb="FFFF0000"/>
        </patternFill>
      </fill>
    </dxf>
  </rfmt>
  <rfmt sheetId="4" sqref="K10 K7">
    <dxf>
      <fill>
        <patternFill patternType="solid">
          <bgColor rgb="FFFF0000"/>
        </patternFill>
      </fill>
    </dxf>
  </rfmt>
  <rfmt sheetId="4" sqref="K7">
    <dxf>
      <fill>
        <patternFill>
          <bgColor rgb="FF92D050"/>
        </patternFill>
      </fill>
    </dxf>
  </rfmt>
  <rcc rId="292" sId="4">
    <oc r="F7">
      <v>2</v>
    </oc>
    <nc r="F7" t="inlineStr">
      <is>
        <t>pp2</t>
      </is>
    </nc>
  </rcc>
  <rfmt sheetId="4" sqref="K11">
    <dxf>
      <fill>
        <patternFill patternType="solid">
          <bgColor rgb="FF92D050"/>
        </patternFill>
      </fill>
    </dxf>
  </rfmt>
  <rfmt sheetId="4" sqref="K15">
    <dxf>
      <fill>
        <patternFill patternType="solid">
          <bgColor rgb="FFFF0000"/>
        </patternFill>
      </fill>
    </dxf>
  </rfmt>
  <rfmt sheetId="4" sqref="K9">
    <dxf>
      <fill>
        <patternFill>
          <bgColor rgb="FF92D050"/>
        </patternFill>
      </fill>
    </dxf>
  </rfmt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K15">
    <dxf>
      <fill>
        <patternFill>
          <bgColor rgb="FF92D050"/>
        </patternFill>
      </fill>
    </dxf>
  </rfmt>
  <rfmt sheetId="4" sqref="K12">
    <dxf>
      <fill>
        <patternFill>
          <bgColor rgb="FF92D050"/>
        </patternFill>
      </fill>
    </dxf>
  </rfmt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" sId="9">
    <nc r="B8" t="inlineStr">
      <is>
        <t>Prebooking</t>
      </is>
    </nc>
  </rcc>
  <rcc rId="294" sId="9" odxf="1" dxf="1">
    <nc r="C8" t="inlineStr">
      <is>
        <t>Elizaveta Bordykova</t>
      </is>
    </nc>
    <odxf>
      <font>
        <b val="0"/>
        <sz val="14"/>
      </font>
      <fill>
        <patternFill patternType="solid">
          <bgColor theme="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295" sId="9" numFmtId="19">
    <nc r="D8">
      <v>46164</v>
    </nc>
  </rcc>
  <rcc rId="296" sId="9">
    <nc r="E8">
      <v>1</v>
    </nc>
  </rcc>
  <rcc rId="297" sId="9">
    <nc r="H8" t="inlineStr">
      <is>
        <t>SALES ENT</t>
      </is>
    </nc>
  </rcc>
  <rcc rId="298" sId="9">
    <nc r="I8" t="inlineStr">
      <is>
        <t>Susmita/Tarush</t>
      </is>
    </nc>
  </rcc>
  <rcc rId="299" sId="9">
    <nc r="B9" t="inlineStr">
      <is>
        <t>Prebooking</t>
      </is>
    </nc>
  </rcc>
  <rcc rId="300" sId="9" odxf="1" dxf="1">
    <nc r="C9" t="inlineStr">
      <is>
        <t>Maria Rymarchuk</t>
      </is>
    </nc>
    <odxf>
      <font>
        <b val="0"/>
        <sz val="14"/>
      </font>
      <fill>
        <patternFill patternType="solid">
          <bgColor theme="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301" sId="9" numFmtId="19">
    <nc r="D9">
      <v>46164</v>
    </nc>
  </rcc>
  <rcc rId="302" sId="9">
    <nc r="E9">
      <v>1</v>
    </nc>
  </rcc>
  <rcc rId="303" sId="9">
    <nc r="H9" t="inlineStr">
      <is>
        <t>SALES ENT</t>
      </is>
    </nc>
  </rcc>
  <rcc rId="304" sId="9">
    <nc r="I9" t="inlineStr">
      <is>
        <t>Susmita/Tarush</t>
      </is>
    </nc>
  </rcc>
  <rcc rId="305" sId="9">
    <nc r="B10" t="inlineStr">
      <is>
        <t>Prebooking</t>
      </is>
    </nc>
  </rcc>
  <rcc rId="306" sId="9" odxf="1" dxf="1">
    <nc r="C10" t="inlineStr">
      <is>
        <t>Dmitrii Netuzhilkin</t>
      </is>
    </nc>
    <odxf>
      <font>
        <b val="0"/>
        <sz val="14"/>
      </font>
      <fill>
        <patternFill patternType="solid">
          <bgColor theme="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307" sId="9" numFmtId="19">
    <nc r="D10">
      <v>46164</v>
    </nc>
  </rcc>
  <rcc rId="308" sId="9">
    <nc r="E10">
      <v>1</v>
    </nc>
  </rcc>
  <rcc rId="309" sId="9">
    <nc r="H10" t="inlineStr">
      <is>
        <t>SALES ENT</t>
      </is>
    </nc>
  </rcc>
  <rcc rId="310" sId="9">
    <nc r="I10" t="inlineStr">
      <is>
        <t>Susmita/Tarush</t>
      </is>
    </nc>
  </rcc>
  <rcc rId="311" sId="9">
    <nc r="B11" t="inlineStr">
      <is>
        <t>Prebooking</t>
      </is>
    </nc>
  </rcc>
  <rcc rId="312" sId="9" odxf="1" dxf="1">
    <nc r="C11" t="inlineStr">
      <is>
        <t>Olga Ayazbaeva</t>
      </is>
    </nc>
    <odxf>
      <font>
        <b val="0"/>
        <sz val="14"/>
      </font>
      <fill>
        <patternFill patternType="solid">
          <bgColor theme="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313" sId="9" numFmtId="19">
    <nc r="D11">
      <v>46164</v>
    </nc>
  </rcc>
  <rcc rId="314" sId="9">
    <nc r="E11">
      <v>1</v>
    </nc>
  </rcc>
  <rcc rId="315" sId="9">
    <nc r="H11" t="inlineStr">
      <is>
        <t>SALES ENT</t>
      </is>
    </nc>
  </rcc>
  <rcc rId="316" sId="9">
    <nc r="I11" t="inlineStr">
      <is>
        <t>Susmita/Tarush</t>
      </is>
    </nc>
  </rcc>
  <rcc rId="317" sId="9">
    <nc r="B12" t="inlineStr">
      <is>
        <t>Prebooking</t>
      </is>
    </nc>
  </rcc>
  <rcc rId="318" sId="9" odxf="1" dxf="1">
    <nc r="C12" t="inlineStr">
      <is>
        <t>Anastasia Savina</t>
      </is>
    </nc>
    <odxf>
      <font>
        <b val="0"/>
        <sz val="14"/>
      </font>
      <fill>
        <patternFill patternType="solid">
          <bgColor theme="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319" sId="9" numFmtId="19">
    <nc r="D12">
      <v>46164</v>
    </nc>
  </rcc>
  <rcc rId="320" sId="9">
    <nc r="E12">
      <v>1</v>
    </nc>
  </rcc>
  <rcc rId="321" sId="9">
    <nc r="H12" t="inlineStr">
      <is>
        <t>SALES ENT</t>
      </is>
    </nc>
  </rcc>
  <rcc rId="322" sId="9">
    <nc r="I12" t="inlineStr">
      <is>
        <t>Susmita/Tarush</t>
      </is>
    </nc>
  </rcc>
  <rcc rId="323" sId="9">
    <nc r="B13" t="inlineStr">
      <is>
        <t>Prebooking</t>
      </is>
    </nc>
  </rcc>
  <rcc rId="324" sId="9" odxf="1" dxf="1">
    <nc r="C13" t="inlineStr">
      <is>
        <t>Ekaterina Dobromyslova</t>
      </is>
    </nc>
    <odxf>
      <font>
        <b val="0"/>
        <sz val="14"/>
      </font>
      <fill>
        <patternFill patternType="solid">
          <bgColor theme="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325" sId="9" numFmtId="19">
    <nc r="D13">
      <v>46164</v>
    </nc>
  </rcc>
  <rcc rId="326" sId="9">
    <nc r="E13">
      <v>1</v>
    </nc>
  </rcc>
  <rcc rId="327" sId="9">
    <nc r="H13" t="inlineStr">
      <is>
        <t>SALES ENT</t>
      </is>
    </nc>
  </rcc>
  <rcc rId="328" sId="9">
    <nc r="I13" t="inlineStr">
      <is>
        <t>Susmita/Tarush</t>
      </is>
    </nc>
  </rcc>
  <rcc rId="329" sId="9" odxf="1" dxf="1">
    <nc r="B14" t="inlineStr">
      <is>
        <t>Prebooking</t>
      </is>
    </nc>
    <odxf>
      <alignment vertical="center" readingOrder="0"/>
    </odxf>
    <ndxf>
      <alignment vertical="top" readingOrder="0"/>
    </ndxf>
  </rcc>
  <rcc rId="330" sId="9" odxf="1" dxf="1">
    <nc r="C14" t="inlineStr">
      <is>
        <t>Igor Boriskin</t>
      </is>
    </nc>
    <odxf>
      <font>
        <b val="0"/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ndxf>
  </rcc>
  <rcc rId="331" sId="9" odxf="1" dxf="1" numFmtId="19">
    <nc r="D14">
      <v>46164</v>
    </nc>
    <odxf>
      <alignment vertical="center" readingOrder="0"/>
    </odxf>
    <ndxf>
      <alignment vertical="top" readingOrder="0"/>
    </ndxf>
  </rcc>
  <rcc rId="332" sId="9" odxf="1" dxf="1">
    <nc r="E14">
      <v>1</v>
    </nc>
    <odxf>
      <alignment vertical="center" readingOrder="0"/>
    </odxf>
    <ndxf>
      <alignment vertical="top" readingOrder="0"/>
    </ndxf>
  </rcc>
  <rfmt sheetId="9" sqref="F14" start="0" length="0">
    <dxf>
      <alignment vertical="top" readingOrder="0"/>
    </dxf>
  </rfmt>
  <rfmt sheetId="9" sqref="G14" start="0" length="0">
    <dxf>
      <alignment vertical="top" readingOrder="0"/>
    </dxf>
  </rfmt>
  <rcc rId="333" sId="9" odxf="1" dxf="1">
    <nc r="H14" t="inlineStr">
      <is>
        <t>SALES ENT</t>
      </is>
    </nc>
    <odxf>
      <font>
        <strike/>
        <sz val="14"/>
      </font>
      <alignment horizontal="left" vertical="center" readingOrder="0"/>
    </odxf>
    <ndxf>
      <font>
        <strike val="0"/>
        <sz val="14"/>
      </font>
      <alignment horizontal="center" vertical="top" readingOrder="0"/>
    </ndxf>
  </rcc>
  <rcc rId="334" sId="9" odxf="1" dxf="1">
    <nc r="I14" t="inlineStr">
      <is>
        <t>Susmita/Tarush</t>
      </is>
    </nc>
    <odxf>
      <alignment horizontal="left" vertical="center" readingOrder="0"/>
    </odxf>
    <ndxf>
      <alignment horizontal="center" vertical="top" readingOrder="0"/>
    </ndxf>
  </rcc>
  <rcc rId="335" sId="9" odxf="1" dxf="1">
    <nc r="B15" t="inlineStr">
      <is>
        <t>Prebooking</t>
      </is>
    </nc>
    <odxf>
      <alignment vertical="center" readingOrder="0"/>
    </odxf>
    <ndxf>
      <alignment vertical="top" readingOrder="0"/>
    </ndxf>
  </rcc>
  <rcc rId="336" sId="9" odxf="1" dxf="1">
    <nc r="C15" t="inlineStr">
      <is>
        <t>Kristina Zaitseva</t>
      </is>
    </nc>
    <odxf>
      <font>
        <b val="0"/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0"/>
        <name val="Verdana"/>
        <scheme val="none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ndxf>
  </rcc>
  <rcc rId="337" sId="9" odxf="1" dxf="1" numFmtId="19">
    <nc r="D15">
      <v>46164</v>
    </nc>
    <odxf>
      <alignment vertical="center" readingOrder="0"/>
    </odxf>
    <ndxf>
      <alignment vertical="top" readingOrder="0"/>
    </ndxf>
  </rcc>
  <rcc rId="338" sId="9">
    <nc r="E15">
      <v>1</v>
    </nc>
  </rcc>
  <rcc rId="339" sId="9" odxf="1" dxf="1">
    <nc r="H15" t="inlineStr">
      <is>
        <t>SALES ENT</t>
      </is>
    </nc>
    <odxf>
      <alignment horizontal="left" vertical="center" readingOrder="0"/>
    </odxf>
    <ndxf>
      <alignment horizontal="center" vertical="top" readingOrder="0"/>
    </ndxf>
  </rcc>
  <rcc rId="340" sId="9" odxf="1" dxf="1">
    <nc r="I15" t="inlineStr">
      <is>
        <t>Susmita/Tarush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" sId="4">
    <oc r="F9">
      <v>2</v>
    </oc>
    <nc r="F9" t="inlineStr">
      <is>
        <t>pp2</t>
      </is>
    </nc>
  </rcc>
  <rcc rId="342" sId="4">
    <oc r="F15">
      <v>2</v>
    </oc>
    <nc r="F15" t="inlineStr">
      <is>
        <t>pp2</t>
      </is>
    </nc>
  </rcc>
  <rcc rId="343" sId="4">
    <oc r="F8">
      <v>2</v>
    </oc>
    <nc r="F8" t="inlineStr">
      <is>
        <t>PP2</t>
      </is>
    </nc>
  </rcc>
  <rcc rId="344" sId="4">
    <oc r="F14">
      <v>1</v>
    </oc>
    <nc r="F14" t="inlineStr">
      <is>
        <t>pp1</t>
      </is>
    </nc>
  </rcc>
  <rcc rId="345" sId="4">
    <oc r="F10">
      <v>2</v>
    </oc>
    <nc r="F10" t="inlineStr">
      <is>
        <t>pp2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6" sId="13">
    <nc r="B10" t="inlineStr">
      <is>
        <t>Prebooking</t>
      </is>
    </nc>
  </rcc>
  <rcc rId="347" sId="13" odxf="1" dxf="1">
    <nc r="C10" t="inlineStr">
      <is>
        <t xml:space="preserve">MS.ZHAO/BO </t>
      </is>
    </nc>
    <odxf>
      <font>
        <sz val="14"/>
      </font>
      <fill>
        <patternFill patternType="solid">
          <bgColor theme="0"/>
        </patternFill>
      </fill>
      <alignment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vertical="center" readingOrder="0"/>
      <border outline="0">
        <left/>
        <right/>
        <top/>
        <bottom/>
      </border>
    </ndxf>
  </rcc>
  <rcc rId="348" sId="13" numFmtId="19">
    <nc r="D10">
      <v>46174</v>
    </nc>
  </rcc>
  <rcc rId="349" sId="13">
    <nc r="E10">
      <v>2</v>
    </nc>
  </rcc>
  <rcc rId="350" sId="13" odxf="1" dxf="1">
    <nc r="H10" t="inlineStr">
      <is>
        <r>
          <t>3372439,</t>
        </r>
        <r>
          <rPr>
            <sz val="11"/>
            <color rgb="FF000000"/>
            <rFont val="Arial"/>
            <family val="2"/>
          </rPr>
          <t xml:space="preserve"> </t>
        </r>
        <r>
          <rPr>
            <b/>
            <sz val="11"/>
            <color rgb="FF4F3629"/>
            <rFont val="Arial"/>
            <family val="2"/>
          </rPr>
          <t>3372440</t>
        </r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351" sId="13">
    <nc r="I10" t="inlineStr">
      <is>
        <t>Usayyu/Faiha</t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2" sId="5">
    <nc r="B11">
      <v>868</v>
    </nc>
  </rcc>
  <rcc rId="353" sId="5">
    <nc r="E11">
      <v>2</v>
    </nc>
  </rcc>
  <rcc rId="354" sId="5">
    <nc r="I11" t="inlineStr">
      <is>
        <t>Habil/Faiha</t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5" sId="8" odxf="1" dxf="1">
    <nc r="B9" t="inlineStr">
      <is>
        <t>Prebooking</t>
      </is>
    </nc>
    <odxf>
      <border outline="0">
        <top style="thin">
          <color indexed="64"/>
        </top>
      </border>
    </odxf>
    <ndxf>
      <border outline="0">
        <top/>
      </border>
    </ndxf>
  </rcc>
  <rcc rId="356" sId="8" odxf="1" dxf="1">
    <nc r="C9" t="inlineStr">
      <is>
        <t>Mr. ZHANG SHU HAO</t>
      </is>
    </nc>
    <odxf>
      <alignment horizontal="left" readingOrder="0"/>
    </odxf>
    <ndxf>
      <alignment horizontal="center" readingOrder="0"/>
    </ndxf>
  </rcc>
  <rcc rId="357" sId="8" numFmtId="19">
    <nc r="D9">
      <v>46162</v>
    </nc>
  </rcc>
  <rcc rId="358" sId="8">
    <nc r="E9">
      <v>2</v>
    </nc>
  </rcc>
  <rcc rId="359" sId="8" odxf="1" dxf="1">
    <nc r="H9" t="inlineStr">
      <is>
        <t>3372438, 3372437</t>
      </is>
    </nc>
    <odxf>
      <numFmt numFmtId="0" formatCode="General"/>
    </odxf>
    <ndxf>
      <numFmt numFmtId="3" formatCode="#,##0"/>
    </ndxf>
  </rcc>
  <rcc rId="360" sId="8">
    <nc r="I9" t="inlineStr">
      <is>
        <t>Usayyu/Faiha</t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1" sId="7" odxf="1" dxf="1">
    <nc r="B9" t="inlineStr">
      <is>
        <t>Prebooking</t>
      </is>
    </nc>
    <odxf>
      <border outline="0">
        <top style="thin">
          <color indexed="64"/>
        </top>
      </border>
    </odxf>
    <ndxf>
      <border outline="0">
        <top/>
      </border>
    </ndxf>
  </rcc>
  <rcc rId="362" sId="7" odxf="1" dxf="1">
    <nc r="C9" t="inlineStr">
      <is>
        <t>MR.WANG/TENGBIAO</t>
      </is>
    </nc>
    <odxf>
      <alignment horizontal="left" readingOrder="0"/>
    </odxf>
    <ndxf>
      <alignment horizontal="center" readingOrder="0"/>
    </ndxf>
  </rcc>
  <rcc rId="363" sId="7" numFmtId="19">
    <nc r="D9">
      <v>46160</v>
    </nc>
  </rcc>
  <rcc rId="364" sId="7">
    <nc r="E9">
      <v>2</v>
    </nc>
  </rcc>
  <rcc rId="365" sId="7">
    <nc r="H9" t="inlineStr">
      <is>
        <t>3364427, 3364429</t>
      </is>
    </nc>
  </rcc>
  <rcc rId="366" sId="7">
    <nc r="I9" t="inlineStr">
      <is>
        <t>Ussayu/Faiha</t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7" sId="5" odxf="1" dxf="1">
    <nc r="B12">
      <v>309</v>
    </nc>
    <odxf/>
    <ndxf/>
  </rcc>
  <rcc rId="368" sId="5" odxf="1" dxf="1">
    <nc r="C12" t="inlineStr">
      <is>
        <t>Ms. Fanling Meng</t>
      </is>
    </nc>
    <odxf>
      <alignment horizontal="left" readingOrder="0"/>
    </odxf>
    <ndxf>
      <alignment horizontal="center" readingOrder="0"/>
    </ndxf>
  </rcc>
  <rcc rId="369" sId="5" odxf="1" dxf="1" numFmtId="19">
    <nc r="D12">
      <v>46153</v>
    </nc>
    <odxf>
      <alignment vertical="top" readingOrder="0"/>
      <border outline="0">
        <top style="thin">
          <color indexed="64"/>
        </top>
      </border>
    </odxf>
    <ndxf>
      <alignment vertical="center" readingOrder="0"/>
      <border outline="0">
        <top/>
      </border>
    </ndxf>
  </rcc>
  <rcc rId="370" sId="5" odxf="1" dxf="1">
    <nc r="E12">
      <v>2</v>
    </nc>
    <odxf/>
    <ndxf/>
  </rcc>
  <rfmt sheetId="5" sqref="F12" start="0" length="0">
    <dxf>
      <alignment vertical="center" readingOrder="0"/>
      <border outline="0">
        <top/>
      </border>
    </dxf>
  </rfmt>
  <rfmt sheetId="5" sqref="G12" start="0" length="0">
    <dxf>
      <alignment vertical="center" readingOrder="0"/>
      <border outline="0">
        <top/>
      </border>
    </dxf>
  </rfmt>
  <rcc rId="371" sId="5" odxf="1" dxf="1">
    <nc r="H12" t="inlineStr">
      <is>
        <t>SAI</t>
      </is>
    </nc>
    <odxf>
      <fill>
        <patternFill>
          <bgColor theme="0"/>
        </patternFill>
      </fill>
      <alignment vertical="top" readingOrder="0"/>
    </odxf>
    <ndxf>
      <fill>
        <patternFill>
          <bgColor rgb="FFFFFF00"/>
        </patternFill>
      </fill>
      <alignment vertical="center" readingOrder="0"/>
    </ndxf>
  </rcc>
  <rcc rId="372" sId="5" odxf="1" dxf="1">
    <nc r="I12" t="inlineStr">
      <is>
        <t>Leyla/Tarush</t>
      </is>
    </nc>
    <odxf/>
    <ndxf/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3" sId="5">
    <nc r="C11" t="inlineStr">
      <is>
        <t>Yunoshin Maki</t>
      </is>
    </nc>
  </rcc>
  <rcc rId="374" sId="5" numFmtId="19">
    <nc r="D11">
      <v>46154</v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5" sId="5">
    <oc r="A5" t="inlineStr">
      <is>
        <t>HOUSE REEF SNORKEL INTRO (MAX 16 PERSONS)</t>
      </is>
    </oc>
    <nc r="A5" t="inlineStr">
      <is>
        <t>HOUSE REEF SNORKEL INTRO (MAX 20 PERSONS)</t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6" sId="6">
    <nc r="B10">
      <v>206</v>
    </nc>
  </rcc>
  <rcc rId="377" sId="6">
    <nc r="E10">
      <v>1</v>
    </nc>
  </rcc>
  <rcc rId="378" sId="6">
    <nc r="I10" t="inlineStr">
      <is>
        <t>Uv/Faiha</t>
      </is>
    </nc>
  </rcc>
  <rcc rId="379" sId="6">
    <nc r="B11">
      <v>213</v>
    </nc>
  </rcc>
  <rcc rId="380" sId="6">
    <nc r="E11">
      <v>2</v>
    </nc>
  </rcc>
  <rcc rId="381" sId="6">
    <nc r="I11" t="inlineStr">
      <is>
        <t>Mausoom/Faiha</t>
      </is>
    </nc>
  </rcc>
  <rcc rId="382" sId="6">
    <nc r="C11" t="inlineStr">
      <is>
        <t>Costinela Lorena Conarantin</t>
      </is>
    </nc>
  </rcc>
  <rcc rId="383" sId="6" numFmtId="19">
    <nc r="D11">
      <v>46153</v>
    </nc>
  </rcc>
  <rcc rId="384" sId="6">
    <nc r="C10" t="inlineStr">
      <is>
        <t>Claudio Lino Mirco</t>
      </is>
    </nc>
  </rcc>
  <rcc rId="385" sId="6" numFmtId="19">
    <nc r="D10">
      <v>46157</v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6" sId="6">
    <nc r="B12">
      <v>624</v>
    </nc>
  </rcc>
  <rcc rId="387" sId="6">
    <nc r="E12">
      <v>2</v>
    </nc>
  </rcc>
  <rcc rId="388" sId="6">
    <nc r="I12" t="inlineStr">
      <is>
        <t>Xuan</t>
      </is>
    </nc>
  </rcc>
  <rcc rId="389" sId="6">
    <nc r="C12" t="inlineStr">
      <is>
        <t>Shuaicheng Niu</t>
      </is>
    </nc>
  </rcc>
  <rcc rId="390" sId="6" numFmtId="19">
    <nc r="D12">
      <v>46154</v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B7:I12">
    <dxf>
      <alignment horizontal="right" readingOrder="0"/>
    </dxf>
  </rfmt>
  <rfmt sheetId="6" sqref="B7:I12">
    <dxf>
      <alignment horizontal="center" readingOrder="0"/>
    </dxf>
  </rfmt>
  <rfmt sheetId="6" sqref="B7:I12">
    <dxf>
      <alignment vertical="center" readingOrder="0"/>
    </dxf>
  </rfmt>
  <rfmt sheetId="6" sqref="B7:I12">
    <dxf>
      <alignment vertical="bottom" readingOrder="0"/>
    </dxf>
  </rfmt>
  <rcc rId="391" sId="6">
    <oc r="J10" t="inlineStr">
      <is>
        <t>OLD</t>
      </is>
    </oc>
    <nc r="J10"/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2" sId="6">
    <nc r="B13">
      <v>619</v>
    </nc>
  </rcc>
  <rcc rId="393" sId="6">
    <nc r="E13">
      <v>2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4" sId="6">
    <nc r="I13" t="inlineStr">
      <is>
        <t>Xuan</t>
      </is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5" sId="6">
    <nc r="C13" t="inlineStr">
      <is>
        <t>Zhi, Hui</t>
      </is>
    </nc>
  </rcc>
  <rcc rId="396" sId="6" numFmtId="19">
    <nc r="D13">
      <v>46154</v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7" sId="6">
    <oc r="B7" t="inlineStr">
      <is>
        <t>Prebooking</t>
      </is>
    </oc>
    <nc r="B7">
      <v>679</v>
    </nc>
  </rcc>
  <rcc rId="398" sId="6">
    <oc r="B8" t="inlineStr">
      <is>
        <t>Prebooking</t>
      </is>
    </oc>
    <nc r="B8">
      <v>691</v>
    </nc>
  </rcc>
  <rcc rId="399" sId="6">
    <oc r="B9" t="inlineStr">
      <is>
        <t>Prebooking</t>
      </is>
    </oc>
    <nc r="B9" t="inlineStr">
      <is>
        <t>648(VOD)</t>
      </is>
    </nc>
  </rcc>
  <rcc rId="400" sId="6">
    <oc r="B11">
      <v>213</v>
    </oc>
    <nc r="B11" t="inlineStr">
      <is>
        <t>213/302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1" sId="5">
    <oc r="B7" t="inlineStr">
      <is>
        <t>Prebooking</t>
      </is>
    </oc>
    <nc r="B7">
      <v>664</v>
    </nc>
  </rcc>
  <rcc rId="402" sId="5">
    <oc r="B8" t="inlineStr">
      <is>
        <t>Prebooking</t>
      </is>
    </oc>
    <nc r="B8">
      <v>665</v>
    </nc>
  </rcc>
  <rcc rId="403" sId="5">
    <oc r="B9" t="inlineStr">
      <is>
        <t>Prebooking</t>
      </is>
    </oc>
    <nc r="B9">
      <v>885</v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12">
    <dxf>
      <fill>
        <patternFill>
          <bgColor rgb="FF92D050"/>
        </patternFill>
      </fill>
    </dxf>
  </rfmt>
  <rcc rId="404" sId="6">
    <nc r="B14">
      <v>664</v>
    </nc>
  </rcc>
  <rcc rId="405" sId="6" odxf="1" s="1" dxf="1">
    <nc r="C14" t="inlineStr">
      <is>
        <t xml:space="preserve">MS.GU/YUEYI 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u/>
        <sz val="11"/>
        <color theme="10"/>
        <name val="Calibri"/>
        <scheme val="minor"/>
      </font>
      <fill>
        <patternFill patternType="none">
          <bgColor indexed="65"/>
        </patternFill>
      </fill>
      <alignment horizontal="center" readingOrder="0"/>
      <border outline="0">
        <left/>
        <right/>
        <top/>
        <bottom/>
      </border>
    </ndxf>
  </rcc>
  <rcc rId="406" sId="6" numFmtId="19">
    <nc r="D14">
      <v>46156</v>
    </nc>
  </rcc>
  <rcc rId="407" sId="6">
    <nc r="E14">
      <v>3</v>
    </nc>
  </rcc>
  <rcc rId="408" sId="6" odxf="1" dxf="1" numFmtId="4">
    <nc r="H14">
      <v>32719283271929</v>
    </nc>
    <odxf>
      <font>
        <b val="0"/>
        <i val="0"/>
        <strike/>
        <sz val="14"/>
      </font>
      <numFmt numFmtId="0" formatCode="General"/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i/>
        <strike val="0"/>
        <sz val="14"/>
        <color rgb="FF4F3629"/>
        <name val="Arial"/>
        <scheme val="none"/>
      </font>
      <numFmt numFmtId="3" formatCode="#,##0"/>
      <fill>
        <patternFill patternType="none">
          <bgColor indexed="65"/>
        </patternFill>
      </fill>
      <alignment horizontal="center" readingOrder="0"/>
      <border outline="0">
        <left/>
        <right/>
        <top/>
        <bottom/>
      </border>
    </ndxf>
  </rcc>
  <rcc rId="409" sId="6" odxf="1" dxf="1">
    <nc r="I14" t="inlineStr">
      <is>
        <t>Shamrath/Tarush</t>
      </is>
    </nc>
    <odxf>
      <alignment horizontal="left" readingOrder="0"/>
    </odxf>
    <ndxf>
      <alignment horizontal="center" readingOrder="0"/>
    </ndxf>
  </rcc>
  <rcc rId="410" sId="6">
    <nc r="B15">
      <v>665</v>
    </nc>
  </rcc>
  <rcc rId="411" sId="6" odxf="1" dxf="1">
    <nc r="C15" t="inlineStr">
      <is>
        <t xml:space="preserve">MS.XIE/YUJUAN </t>
      </is>
    </nc>
    <odxf>
      <font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center" readingOrder="0"/>
      <border outline="0">
        <left/>
        <right/>
        <top/>
        <bottom/>
      </border>
    </ndxf>
  </rcc>
  <rcc rId="412" sId="6" numFmtId="19">
    <nc r="D15">
      <v>46156</v>
    </nc>
  </rcc>
  <rcc rId="413" sId="6">
    <nc r="E15">
      <v>2</v>
    </nc>
  </rcc>
  <rcc rId="414" sId="6" odxf="1" dxf="1">
    <nc r="H15" t="inlineStr">
      <is>
        <t>3271930,3271931-TRMD</t>
      </is>
    </nc>
    <odxf>
      <font>
        <b val="0"/>
        <i val="0"/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i/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center" readingOrder="0"/>
      <border outline="0">
        <left/>
        <right/>
        <top/>
        <bottom/>
      </border>
    </ndxf>
  </rcc>
  <rcc rId="415" sId="6" odxf="1" dxf="1">
    <nc r="I15" t="inlineStr">
      <is>
        <t>Shamrath/Tarush</t>
      </is>
    </nc>
    <odxf>
      <alignment horizontal="left" readingOrder="0"/>
    </odxf>
    <ndxf>
      <alignment horizontal="center" readingOrder="0"/>
    </ndxf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7:B8">
    <dxf>
      <fill>
        <patternFill>
          <bgColor rgb="FF92D050"/>
        </patternFill>
      </fill>
    </dxf>
  </rfmt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17" start="0" length="2147483647">
    <dxf>
      <font>
        <color rgb="FFFF0000"/>
      </font>
    </dxf>
  </rfmt>
  <rfmt sheetId="6" sqref="C17" start="0" length="2147483647">
    <dxf>
      <font>
        <color theme="0"/>
      </font>
    </dxf>
  </rfmt>
  <rfmt sheetId="6" sqref="C17">
    <dxf>
      <fill>
        <patternFill>
          <bgColor rgb="FFFF0000"/>
        </patternFill>
      </fill>
    </dxf>
  </rfmt>
  <rfmt sheetId="6" sqref="C17" start="0" length="2147483647">
    <dxf>
      <font>
        <b/>
      </font>
    </dxf>
  </rfmt>
  <rcc rId="416" sId="6">
    <nc r="C17" t="inlineStr">
      <is>
        <t>BOOKING CLOSED</t>
      </is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7" sId="5">
    <oc r="E7">
      <v>3</v>
    </oc>
    <nc r="E7" t="inlineStr">
      <is>
        <t>pp3</t>
      </is>
    </nc>
  </rcc>
  <rcc rId="418" sId="5">
    <oc r="E8">
      <v>2</v>
    </oc>
    <nc r="E8" t="inlineStr">
      <is>
        <t>pp2</t>
      </is>
    </nc>
  </rcc>
  <rcc rId="419" sId="5">
    <oc r="B10">
      <v>856</v>
    </oc>
    <nc r="B10">
      <v>865</v>
    </nc>
  </rcc>
  <rfmt sheetId="5" sqref="B9">
    <dxf>
      <fill>
        <patternFill>
          <bgColor rgb="FFFF0000"/>
        </patternFill>
      </fill>
    </dxf>
  </rfmt>
  <rfmt sheetId="5" sqref="B10">
    <dxf>
      <fill>
        <patternFill>
          <bgColor rgb="FFFF0000"/>
        </patternFill>
      </fill>
    </dxf>
  </rfmt>
  <rfmt sheetId="5" sqref="B11">
    <dxf>
      <fill>
        <patternFill>
          <bgColor rgb="FFFF0000"/>
        </patternFill>
      </fill>
    </dxf>
  </rfmt>
  <rfmt sheetId="5" sqref="B11">
    <dxf>
      <fill>
        <patternFill>
          <bgColor rgb="FF92D050"/>
        </patternFill>
      </fill>
    </dxf>
  </rfmt>
  <rfmt sheetId="5" sqref="B9">
    <dxf>
      <fill>
        <patternFill>
          <bgColor rgb="FF92D050"/>
        </patternFill>
      </fill>
    </dxf>
  </rfmt>
  <rfmt sheetId="5" sqref="B10">
    <dxf>
      <fill>
        <patternFill>
          <bgColor rgb="FF92D050"/>
        </patternFill>
      </fill>
    </dxf>
  </rfmt>
  <rcc rId="420" sId="5">
    <oc r="E10">
      <v>2</v>
    </oc>
    <nc r="E10" t="inlineStr">
      <is>
        <t>pp2</t>
      </is>
    </nc>
  </rcc>
  <rfmt sheetId="5" sqref="J7:J12">
    <dxf>
      <fill>
        <patternFill patternType="solid">
          <bgColor rgb="FF92D050"/>
        </patternFill>
      </fill>
    </dxf>
  </rfmt>
  <rfmt sheetId="5" sqref="B7:B12">
    <dxf>
      <fill>
        <patternFill patternType="none">
          <bgColor auto="1"/>
        </patternFill>
      </fill>
    </dxf>
  </rfmt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1" sId="5">
    <oc r="E9">
      <v>2</v>
    </oc>
    <nc r="E9" t="inlineStr">
      <is>
        <t>pp2</t>
      </is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2" sId="6">
    <oc r="E10">
      <v>1</v>
    </oc>
    <nc r="E10" t="inlineStr">
      <is>
        <t>CXL1</t>
      </is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3" sId="6">
    <oc r="B13">
      <v>619</v>
    </oc>
    <nc r="B13" t="inlineStr">
      <is>
        <t>619/862</t>
      </is>
    </nc>
  </rcc>
  <rcc rId="424" sId="6">
    <oc r="E13">
      <v>2</v>
    </oc>
    <nc r="E13" t="inlineStr">
      <is>
        <t>CXL2</t>
      </is>
    </nc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5" sId="6">
    <oc r="B9" t="inlineStr">
      <is>
        <t>648(VOD)</t>
      </is>
    </oc>
    <nc r="B9">
      <v>648</v>
    </nc>
  </rcc>
  <rfmt sheetId="6" sqref="B10:I10" start="0" length="0">
    <dxf>
      <border>
        <top style="thin">
          <color indexed="64"/>
        </top>
      </border>
    </dxf>
  </rfmt>
  <rcc rId="426" sId="6" odxf="1" dxf="1">
    <nc r="B16">
      <v>206</v>
    </nc>
    <odxf>
      <alignment vertical="center" readingOrder="0"/>
    </odxf>
    <ndxf>
      <alignment vertical="top" readingOrder="0"/>
    </ndxf>
  </rcc>
  <rcc rId="427" sId="6" odxf="1" dxf="1">
    <nc r="C16" t="inlineStr">
      <is>
        <t>Claudio Lino Mirco</t>
      </is>
    </nc>
    <odxf>
      <alignment horizontal="left" vertical="center" readingOrder="0"/>
    </odxf>
    <ndxf>
      <alignment horizontal="center" vertical="top" readingOrder="0"/>
    </ndxf>
  </rcc>
  <rcc rId="428" sId="6" odxf="1" dxf="1" numFmtId="19">
    <nc r="D16">
      <v>46157</v>
    </nc>
    <odxf>
      <alignment vertical="center" readingOrder="0"/>
    </odxf>
    <ndxf>
      <alignment vertical="top" readingOrder="0"/>
    </ndxf>
  </rcc>
  <rcc rId="429" sId="6" odxf="1" dxf="1">
    <nc r="E16" t="inlineStr">
      <is>
        <t>CXL1</t>
      </is>
    </nc>
    <odxf>
      <alignment vertical="center" readingOrder="0"/>
    </odxf>
    <ndxf>
      <alignment vertical="top" readingOrder="0"/>
    </ndxf>
  </rcc>
  <rfmt sheetId="6" sqref="F16" start="0" length="0">
    <dxf>
      <alignment vertical="top" readingOrder="0"/>
    </dxf>
  </rfmt>
  <rfmt sheetId="6" sqref="G16" start="0" length="0">
    <dxf>
      <alignment vertical="top" readingOrder="0"/>
    </dxf>
  </rfmt>
  <rfmt sheetId="6" sqref="H16" start="0" length="0">
    <dxf>
      <alignment horizontal="center" vertical="top" readingOrder="0"/>
    </dxf>
  </rfmt>
  <rcc rId="430" sId="6" odxf="1" dxf="1">
    <nc r="I16" t="inlineStr">
      <is>
        <t>Uv/Faiha</t>
      </is>
    </nc>
    <odxf>
      <alignment horizontal="left" vertical="center" readingOrder="0"/>
    </odxf>
    <ndxf>
      <alignment horizontal="center" vertical="top" readingOrder="0"/>
    </ndxf>
  </rcc>
  <rm rId="431" sheetId="6" source="B12:I12" destination="B10:I10" sourceSheetId="6">
    <rcc rId="0" sId="6" dxf="1">
      <nc r="B10">
        <v>206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6" dxf="1">
      <nc r="C10" t="inlineStr">
        <is>
          <t>Claudio Lino Mirco</t>
        </is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6" dxf="1" numFmtId="19">
      <nc r="D10">
        <v>46157</v>
      </nc>
      <n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6" dxf="1">
      <nc r="E10" t="inlineStr">
        <is>
          <t>CXL1</t>
        </is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6" sqref="F1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G1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H1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6" dxf="1">
      <nc r="I10" t="inlineStr">
        <is>
          <t>Uv/Faiha</t>
        </is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m>
  <rm rId="432" sheetId="6" source="B9:I9" destination="B12:I12" sourceSheetId="6"/>
  <rm rId="433" sheetId="6" source="B14:I14" destination="B9:I9" sourceSheetId="6"/>
  <rm rId="434" sheetId="6" source="B15:I15" destination="B14:I14" sourceSheetId="6"/>
  <rm rId="435" sheetId="6" source="B7:I7" destination="B15:I15" sourceSheetId="6"/>
  <rm rId="436" sheetId="6" source="B8:I8" destination="B7:I7" sourceSheetId="6"/>
  <rm rId="437" sheetId="6" source="B11:I11" destination="B8:I8" sourceSheetId="6"/>
  <rm rId="438" sheetId="6" source="B13:I13" destination="B11:I11" sourceSheetId="6"/>
  <rm rId="439" sheetId="6" source="B16:I16" destination="B13:I13" sourceSheetId="6">
    <undo index="0" exp="area" dr="E7:E26" r="E27" sId="6"/>
    <undo index="0" exp="area" dr="F7:F26" r="F27" sId="6"/>
  </rm>
  <rcc rId="440" sId="6">
    <oc r="B10">
      <v>624</v>
    </oc>
    <nc r="B10" t="inlineStr">
      <is>
        <t>624/860</t>
      </is>
    </nc>
  </rcc>
  <rcc rId="441" sId="6">
    <oc r="B9">
      <v>664</v>
    </oc>
    <nc r="B9" t="inlineStr">
      <is>
        <t>664/802</t>
      </is>
    </nc>
  </rcc>
  <rcc rId="442" sId="6">
    <oc r="B14">
      <v>665</v>
    </oc>
    <nc r="B14" t="inlineStr">
      <is>
        <t>665/801</t>
      </is>
    </nc>
  </rcc>
  <rcc rId="443" sId="6">
    <oc r="B15">
      <v>679</v>
    </oc>
    <nc r="B15" t="inlineStr">
      <is>
        <t>679/815</t>
      </is>
    </nc>
  </rcc>
  <rcc rId="444" sId="6">
    <oc r="B7">
      <v>691</v>
    </oc>
    <nc r="B7" t="inlineStr">
      <is>
        <t>691/803</t>
      </is>
    </nc>
  </rcc>
  <rfmt sheetId="6" sqref="C11:E11 C13:E13">
    <dxf>
      <fill>
        <patternFill>
          <bgColor rgb="FFFF0000"/>
        </patternFill>
      </fill>
    </dxf>
  </rfmt>
  <rfmt sheetId="6" sqref="B7:I15" start="0" length="2147483647">
    <dxf>
      <font>
        <b/>
      </font>
    </dxf>
  </rfmt>
  <rfmt sheetId="6" sqref="B7:I15" start="0" length="2147483647">
    <dxf>
      <font>
        <b val="0"/>
      </font>
    </dxf>
  </rfmt>
  <rfmt sheetId="6" sqref="B7:I15" start="0" length="2147483647">
    <dxf>
      <font>
        <i/>
      </font>
    </dxf>
  </rfmt>
  <rfmt sheetId="6" sqref="B7:I15" start="0" length="2147483647">
    <dxf>
      <font>
        <i val="0"/>
      </font>
    </dxf>
  </rfmt>
  <rfmt sheetId="6" sqref="B7:I15" start="0" length="2147483647">
    <dxf>
      <font>
        <u/>
      </font>
    </dxf>
  </rfmt>
  <rfmt sheetId="6" sqref="B7:I15" start="0" length="2147483647">
    <dxf>
      <font>
        <u val="none"/>
      </font>
    </dxf>
  </rfmt>
  <rfmt sheetId="6" sqref="B7:I15" start="0" length="2147483647">
    <dxf>
      <font>
        <color theme="1"/>
      </font>
    </dxf>
  </rfmt>
  <rfmt sheetId="6" sqref="B7:I15" start="0" length="2147483647">
    <dxf>
      <font>
        <sz val="14"/>
      </font>
    </dxf>
  </rfmt>
  <rfmt sheetId="6" sqref="B7:I15" start="0" length="2147483647">
    <dxf>
      <font>
        <name val="Calibri"/>
        <scheme val="minor"/>
      </font>
    </dxf>
  </rfmt>
  <rfmt sheetId="6" sqref="B7:I15">
    <dxf>
      <alignment vertical="center" readingOrder="0"/>
    </dxf>
  </rfmt>
  <rfmt sheetId="6" sqref="B7:I15">
    <dxf>
      <alignment horizontal="general" readingOrder="0"/>
    </dxf>
  </rfmt>
  <rfmt sheetId="6" sqref="B7:I15">
    <dxf>
      <alignment horizontal="center" readingOrder="0"/>
    </dxf>
  </rfmt>
  <rcv guid="{1616C24E-F38B-4944-BE1B-EE2D6946597D}" action="delete"/>
  <rcv guid="{1616C24E-F38B-4944-BE1B-EE2D6946597D}" action="add"/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5" sId="6">
    <oc r="E12">
      <v>2</v>
    </oc>
    <nc r="E12" t="inlineStr">
      <is>
        <t>CXL2</t>
      </is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6" sId="6">
    <oc r="B8" t="inlineStr">
      <is>
        <t>213/302</t>
      </is>
    </oc>
    <nc r="B8" t="inlineStr">
      <is>
        <t>213/302/335</t>
      </is>
    </nc>
  </rcc>
  <rcc rId="447" sId="6">
    <oc r="E15">
      <v>2</v>
    </oc>
    <nc r="E15" t="inlineStr">
      <is>
        <t>CXL2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448" sheetId="6" source="B12:I12" destination="B16:I16" sourceSheetId="6">
    <undo index="0" exp="area" dr="E7:E26" r="E27" sId="6"/>
    <undo index="0" exp="area" dr="F7:F26" r="F27" sId="6"/>
    <rfmt sheetId="6" sqref="D16" start="0" length="0">
      <dxf>
        <numFmt numFmtId="19" formatCode="dd/mm/yyyy"/>
      </dxf>
    </rfmt>
  </rm>
  <rm rId="449" sheetId="6" source="B15:I15" destination="B17:I17" sourceSheetId="6">
    <rfmt sheetId="6" sqref="B1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6" dxf="1">
      <nc r="C17" t="inlineStr">
        <is>
          <t>BOOKING CLOSED</t>
        </is>
      </nc>
      <ndxf>
        <font>
          <b/>
          <sz val="14"/>
          <color theme="0"/>
          <name val="Calibri"/>
          <scheme val="minor"/>
        </font>
        <fill>
          <patternFill patternType="solid">
            <bgColor rgb="FFFF000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6" sqref="D17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E1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F1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G1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H1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I1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m rId="450" sheetId="6" source="B7:I7" destination="B15:I15" sourceSheetId="6">
    <rfmt sheetId="6" sqref="D15" start="0" length="0">
      <dxf>
        <numFmt numFmtId="19" formatCode="dd/mm/yyyy"/>
      </dxf>
    </rfmt>
  </rm>
  <rm rId="451" sheetId="6" source="B11:I11" destination="B7:I7" sourceSheetId="6"/>
  <rm rId="452" sheetId="6" source="B13:I13" destination="B11:I11" sourceSheetId="6"/>
  <rm rId="453" sheetId="6" source="B16:I16" destination="B13:I13" sourceSheetId="6"/>
  <rm rId="454" sheetId="6" source="B17:I17" destination="B16:I16" sourceSheetId="6"/>
  <rm rId="455" sheetId="6" source="B8:I8" destination="B12:I12" sourceSheetId="6">
    <rfmt sheetId="6" sqref="D12" start="0" length="0">
      <dxf>
        <numFmt numFmtId="19" formatCode="dd/mm/yyyy"/>
      </dxf>
    </rfmt>
  </rm>
  <rm rId="456" sheetId="6" source="B10:I10" destination="B8:I8" sourceSheetId="6"/>
  <rm rId="457" sheetId="6" source="B9:I9" destination="B10:I10" sourceSheetId="6"/>
  <rm rId="458" sheetId="6" source="B14:I14" destination="B9:I9" sourceSheetId="6"/>
  <rm rId="459" sheetId="6" source="B15:I15" destination="B14:I14" sourceSheetId="6"/>
  <rm rId="460" sheetId="6" source="B7:I7" destination="B15:I15" sourceSheetId="6"/>
  <rm rId="461" sheetId="6" source="B11:I11" destination="B7:I7" sourceSheetId="6"/>
  <rm rId="462" sheetId="6" source="B13:I13" destination="B11:I11" sourceSheetId="6"/>
  <rm rId="463" sheetId="6" source="B16:I16" destination="B13:I13" sourceSheetId="6">
    <undo index="0" exp="area" dr="E8:E26" r="E27" sId="6"/>
    <undo index="0" exp="area" dr="F8:F26" r="F27" sId="6"/>
  </rm>
  <rfmt sheetId="6" sqref="I16:I17" start="0" length="0">
    <dxf>
      <border>
        <right style="thin">
          <color indexed="64"/>
        </right>
      </border>
    </dxf>
  </rfmt>
  <rfmt sheetId="6" sqref="B16:I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1616C24E-F38B-4944-BE1B-EE2D6946597D}" action="delete"/>
  <rcv guid="{1616C24E-F38B-4944-BE1B-EE2D6946597D}" action="add"/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11:E11 C15:E15 C13:E13">
    <dxf>
      <fill>
        <patternFill>
          <bgColor rgb="FFFF0000"/>
        </patternFill>
      </fill>
    </dxf>
  </rfmt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14:E14">
    <dxf>
      <fill>
        <patternFill>
          <bgColor rgb="FFFF0000"/>
        </patternFill>
      </fill>
    </dxf>
  </rfmt>
  <rfmt sheetId="6" sqref="C9:E10">
    <dxf>
      <fill>
        <patternFill>
          <bgColor rgb="FFFF0000"/>
        </patternFill>
      </fill>
    </dxf>
  </rfmt>
  <rcc rId="464" sId="6">
    <oc r="E10">
      <v>3</v>
    </oc>
    <nc r="E10" t="inlineStr">
      <is>
        <t>CXL3</t>
      </is>
    </nc>
  </rcc>
  <rcc rId="465" sId="6">
    <oc r="E9">
      <v>2</v>
    </oc>
    <nc r="E9" t="inlineStr">
      <is>
        <t>CXL2</t>
      </is>
    </nc>
  </rcc>
  <rcc rId="466" sId="6">
    <oc r="E14">
      <v>2</v>
    </oc>
    <nc r="E14" t="inlineStr">
      <is>
        <t>CXL2</t>
      </is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7" sId="7" odxf="1" dxf="1">
    <nc r="B10">
      <v>613</v>
    </nc>
    <odxf>
      <alignment vertical="top" readingOrder="0"/>
    </odxf>
    <ndxf>
      <alignment vertical="center" readingOrder="0"/>
    </ndxf>
  </rcc>
  <rfmt sheetId="7" sqref="C10" start="0" length="0">
    <dxf>
      <alignment horizontal="general" vertical="center" readingOrder="0"/>
    </dxf>
  </rfmt>
  <rfmt sheetId="7" sqref="D10" start="0" length="0">
    <dxf>
      <alignment vertical="center" readingOrder="0"/>
    </dxf>
  </rfmt>
  <rcc rId="468" sId="7" odxf="1" dxf="1">
    <nc r="E10">
      <v>2</v>
    </nc>
    <odxf>
      <alignment horizontal="center" vertical="top" readingOrder="0"/>
    </odxf>
    <ndxf>
      <alignment horizontal="general" vertical="center" readingOrder="0"/>
    </ndxf>
  </rcc>
  <rfmt sheetId="7" sqref="F10" start="0" length="0">
    <dxf>
      <alignment horizontal="general" vertical="center" readingOrder="0"/>
    </dxf>
  </rfmt>
  <rfmt sheetId="7" sqref="G10" start="0" length="0">
    <dxf>
      <alignment horizontal="general" vertical="center" readingOrder="0"/>
    </dxf>
  </rfmt>
  <rfmt sheetId="7" sqref="H10" start="0" length="0">
    <dxf>
      <alignment horizontal="general" vertical="center" readingOrder="0"/>
    </dxf>
  </rfmt>
  <rcc rId="469" sId="7" odxf="1" dxf="1">
    <nc r="I10" t="inlineStr">
      <is>
        <t>Faiha</t>
      </is>
    </nc>
    <odxf>
      <alignment horizontal="center" vertical="top" readingOrder="0"/>
    </odxf>
    <ndxf>
      <alignment horizontal="left" vertical="center" readingOrder="0"/>
    </ndxf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0" sId="7">
    <nc r="B11">
      <v>602</v>
    </nc>
  </rcc>
  <rcc rId="471" sId="7">
    <nc r="E11">
      <v>1</v>
    </nc>
  </rcc>
  <rcc rId="472" sId="7">
    <nc r="I11" t="inlineStr">
      <is>
        <t>Prem/Faiha</t>
      </is>
    </nc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3" sId="7" odxf="1" dxf="1">
    <nc r="C11" t="inlineStr">
      <is>
        <t>Matthew Green</t>
      </is>
    </nc>
    <odxf>
      <alignment horizontal="left" vertical="top" readingOrder="0"/>
    </odxf>
    <ndxf>
      <alignment horizontal="center" vertical="center" readingOrder="0"/>
    </ndxf>
  </rcc>
  <rcc rId="474" sId="7" odxf="1" dxf="1" numFmtId="19">
    <nc r="D11">
      <v>46162</v>
    </nc>
    <odxf>
      <alignment vertical="top" readingOrder="0"/>
    </odxf>
    <ndxf>
      <alignment vertical="center" readingOrder="0"/>
    </ndxf>
  </rcc>
  <rcc rId="475" sId="7" odxf="1" dxf="1">
    <nc r="C10" t="inlineStr">
      <is>
        <t>Juhwan Kim</t>
      </is>
    </nc>
    <odxf>
      <alignment horizontal="general" readingOrder="0"/>
    </odxf>
    <ndxf>
      <alignment horizontal="center" readingOrder="0"/>
    </ndxf>
  </rcc>
  <rcc rId="476" sId="7" numFmtId="19">
    <nc r="D10">
      <v>46157</v>
    </nc>
  </rcc>
  <rfmt sheetId="7" sqref="E10" start="0" length="0">
    <dxf>
      <alignment horizontal="center" readingOrder="0"/>
    </dxf>
  </rfmt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7" sId="7">
    <nc r="B12">
      <v>842</v>
    </nc>
  </rcc>
  <rcc rId="478" sId="7">
    <nc r="E12">
      <v>2</v>
    </nc>
  </rcc>
  <rcc rId="479" sId="7">
    <nc r="I12" t="inlineStr">
      <is>
        <t>Faiha</t>
      </is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0" sId="7">
    <nc r="C12" t="inlineStr">
      <is>
        <t>Myunghyun Kim</t>
      </is>
    </nc>
  </rcc>
  <rcc rId="481" sId="7" numFmtId="19">
    <nc r="D12">
      <v>46158</v>
    </nc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2" sId="7">
    <oc r="E9">
      <v>2</v>
    </oc>
    <nc r="E9" t="inlineStr">
      <is>
        <t>CXL 2</t>
      </is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3" sId="13">
    <nc r="B11" t="inlineStr">
      <is>
        <t>Prebooking</t>
      </is>
    </nc>
  </rcc>
  <rcc rId="484" sId="13" odxf="1" dxf="1">
    <nc r="C11" t="inlineStr">
      <is>
        <t>ZHI YONGYANG  .Mr</t>
      </is>
    </nc>
    <odxf>
      <font>
        <sz val="14"/>
      </font>
      <fill>
        <patternFill patternType="solid">
          <bgColor theme="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485" sId="13" numFmtId="19">
    <nc r="D11">
      <v>46175</v>
    </nc>
  </rcc>
  <rcc rId="486" sId="13">
    <nc r="E11">
      <v>2</v>
    </nc>
  </rcc>
  <rcc rId="487" sId="13">
    <nc r="I11" t="inlineStr">
      <is>
        <t>Shamrath/Tarush</t>
      </is>
    </nc>
  </rcc>
  <rcv guid="{EE1AD20C-1831-49F6-BB76-A0057F1F46DC}" action="delete"/>
  <rcv guid="{EE1AD20C-1831-49F6-BB76-A0057F1F46DC}" action="add"/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8" sId="7">
    <nc r="B13">
      <v>129</v>
    </nc>
  </rcc>
  <rcc rId="489" sId="7">
    <nc r="E13">
      <v>2</v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0" sId="7">
    <nc r="B14">
      <v>877</v>
    </nc>
  </rcc>
  <rcc rId="491" sId="7">
    <nc r="E14">
      <v>2</v>
    </nc>
  </rcc>
  <rcc rId="492" sId="7">
    <nc r="I13" t="inlineStr">
      <is>
        <t>Xuan</t>
      </is>
    </nc>
  </rcc>
  <rcc rId="493" sId="7">
    <nc r="I14" t="inlineStr">
      <is>
        <t>Xuan</t>
      </is>
    </nc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4" sId="8">
    <nc r="B10">
      <v>681</v>
    </nc>
  </rcc>
  <rcc rId="495" sId="8">
    <nc r="E10">
      <v>2</v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6" sId="8">
    <nc r="I10" t="inlineStr">
      <is>
        <t>Win/Xuan</t>
      </is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7" sId="8">
    <nc r="C10" t="inlineStr">
      <is>
        <t>Hong. Hui</t>
      </is>
    </nc>
  </rcc>
  <rcc rId="498" sId="8" numFmtId="19">
    <nc r="D10">
      <v>46159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8">
  <userInfo guid="{610549EB-F573-4605-9630-0917720CEBBC}" name="Assistant DiveCenter Manager" id="-356347420" dateTime="2026-04-29T15:21:29"/>
  <userInfo guid="{E7B05068-AD44-486F-B1FB-446089C022AE}" name="Dive Centre Office" id="-387598457" dateTime="2026-05-02T16:37:42"/>
  <userInfo guid="{B6B1B63E-59FF-4EB0-BC42-823E32EA3128}" name="Dive Centre Office" id="-387642752" dateTime="2026-05-03T08:46:16"/>
  <userInfo guid="{0B5F943D-31E5-4EA3-AD32-4525879FAEAB}" name="Dive Centre Office" id="-387620426" dateTime="2026-05-03T14:24:16"/>
  <userInfo guid="{277D9B08-8DC7-4F49-9D9A-3843ED4DEFA4}" name="Dive Centre Office" id="-387632738" dateTime="2026-05-06T13:42:31"/>
  <userInfo guid="{F17DEAC6-3630-4841-BAFC-622E4CC08334}" name="Dive Centre Office" id="-387632474" dateTime="2026-05-12T08:37:25"/>
  <userInfo guid="{CBC7133B-2ADD-42AE-8D40-5F9E1BB184E1}" name="Dive Centre Office" id="-387617652" dateTime="2026-05-14T08:57:27"/>
  <userInfo guid="{33DB1003-CC46-4C3B-8859-54718563F22D}" name="Assistant DiveCenter Manager" id="-356348732" dateTime="2026-05-15T09:08:03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microsoft.com/office/2006/relationships/wsSortMap" Target="wsSortMap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microsoft.com/office/2006/relationships/wsSortMap" Target="wsSortMap2.xm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1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20.bin"/><Relationship Id="rId4" Type="http://schemas.openxmlformats.org/officeDocument/2006/relationships/hyperlink" Target="https://url.au.m.mimecastprotect.com/s/N_UfCJyoq9CqMvJBCVfxSy-VpR?domain=ms.gu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6" Type="http://schemas.microsoft.com/office/2006/relationships/wsSortMap" Target="wsSortMap3.xm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2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28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3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.bin"/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Relationship Id="rId5" Type="http://schemas.openxmlformats.org/officeDocument/2006/relationships/drawing" Target="../drawings/drawing9.xml"/><Relationship Id="rId4" Type="http://schemas.openxmlformats.org/officeDocument/2006/relationships/printerSettings" Target="../printerSettings/printerSettings3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5" Type="http://schemas.openxmlformats.org/officeDocument/2006/relationships/drawing" Target="../drawings/drawing10.xml"/><Relationship Id="rId4" Type="http://schemas.openxmlformats.org/officeDocument/2006/relationships/printerSettings" Target="../printerSettings/printerSettings4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Relationship Id="rId5" Type="http://schemas.openxmlformats.org/officeDocument/2006/relationships/drawing" Target="../drawings/drawing11.xml"/><Relationship Id="rId4" Type="http://schemas.openxmlformats.org/officeDocument/2006/relationships/printerSettings" Target="../printerSettings/printerSettings4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.bin"/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Relationship Id="rId5" Type="http://schemas.openxmlformats.org/officeDocument/2006/relationships/drawing" Target="../drawings/drawing12.xml"/><Relationship Id="rId4" Type="http://schemas.openxmlformats.org/officeDocument/2006/relationships/printerSettings" Target="../printerSettings/printerSettings4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5" Type="http://schemas.openxmlformats.org/officeDocument/2006/relationships/drawing" Target="../drawings/drawing13.xml"/><Relationship Id="rId4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"/>
  <sheetViews>
    <sheetView workbookViewId="0">
      <selection activeCell="C9" sqref="C9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9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22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22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22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23"/>
      <c r="E4" s="1"/>
      <c r="F4" s="1"/>
      <c r="G4" s="1"/>
      <c r="H4" s="1"/>
      <c r="I4" s="1"/>
    </row>
    <row r="5" spans="1:9" ht="23.4" x14ac:dyDescent="0.45">
      <c r="A5" s="94" t="s">
        <v>18</v>
      </c>
      <c r="B5" s="95"/>
      <c r="C5" s="95"/>
      <c r="D5" s="95"/>
      <c r="E5" s="95"/>
      <c r="F5" s="95"/>
      <c r="G5" s="95"/>
      <c r="H5" s="15" t="s">
        <v>5</v>
      </c>
      <c r="I5" s="8" t="str">
        <f ca="1">CONCATENATE((MID(CELL("filename",I5),FIND("]",CELL("filename",I5))+1,255)),"/05/2026")</f>
        <v>1/05/2026</v>
      </c>
    </row>
    <row r="6" spans="1:9" ht="18.600000000000001" thickBot="1" x14ac:dyDescent="0.4">
      <c r="A6" s="16"/>
      <c r="B6" s="48" t="s">
        <v>16</v>
      </c>
      <c r="C6" s="48" t="s">
        <v>0</v>
      </c>
      <c r="D6" s="49" t="s">
        <v>15</v>
      </c>
      <c r="E6" s="48" t="s">
        <v>6</v>
      </c>
      <c r="F6" s="48" t="s">
        <v>3</v>
      </c>
      <c r="G6" s="48" t="s">
        <v>1</v>
      </c>
      <c r="H6" s="50" t="s">
        <v>7</v>
      </c>
      <c r="I6" s="19" t="s">
        <v>2</v>
      </c>
    </row>
    <row r="7" spans="1:9" ht="18" x14ac:dyDescent="0.35">
      <c r="A7" s="9">
        <v>1</v>
      </c>
      <c r="B7" s="60">
        <v>301</v>
      </c>
      <c r="C7" s="10" t="s">
        <v>87</v>
      </c>
      <c r="D7" s="12">
        <v>46144</v>
      </c>
      <c r="E7" s="10">
        <v>2</v>
      </c>
      <c r="F7" s="10"/>
      <c r="G7" s="10"/>
      <c r="H7" s="10" t="s">
        <v>90</v>
      </c>
      <c r="I7" s="59" t="s">
        <v>88</v>
      </c>
    </row>
    <row r="8" spans="1:9" ht="18" x14ac:dyDescent="0.35">
      <c r="A8" s="14">
        <v>2</v>
      </c>
      <c r="B8" s="45">
        <v>614</v>
      </c>
      <c r="C8" s="45" t="s">
        <v>86</v>
      </c>
      <c r="D8" s="46">
        <v>46142</v>
      </c>
      <c r="E8" s="45">
        <v>1</v>
      </c>
      <c r="F8" s="45"/>
      <c r="G8" s="45"/>
      <c r="H8" s="45" t="s">
        <v>91</v>
      </c>
      <c r="I8" s="45" t="s">
        <v>71</v>
      </c>
    </row>
    <row r="9" spans="1:9" ht="18" x14ac:dyDescent="0.35">
      <c r="A9" s="14">
        <v>3</v>
      </c>
      <c r="B9" s="61">
        <v>615</v>
      </c>
      <c r="C9" s="45" t="s">
        <v>85</v>
      </c>
      <c r="D9" s="46">
        <v>46142</v>
      </c>
      <c r="E9" s="45">
        <v>2</v>
      </c>
      <c r="F9" s="45"/>
      <c r="G9" s="45"/>
      <c r="H9" s="45" t="s">
        <v>91</v>
      </c>
      <c r="I9" s="45" t="s">
        <v>71</v>
      </c>
    </row>
    <row r="10" spans="1:9" ht="18" x14ac:dyDescent="0.35">
      <c r="A10" s="14">
        <v>4</v>
      </c>
      <c r="B10" s="61">
        <v>843</v>
      </c>
      <c r="C10" s="47" t="s">
        <v>43</v>
      </c>
      <c r="D10" s="46">
        <v>46146</v>
      </c>
      <c r="E10" s="45">
        <v>2</v>
      </c>
      <c r="F10" s="45"/>
      <c r="G10" s="45"/>
      <c r="H10" s="45" t="s">
        <v>91</v>
      </c>
      <c r="I10" s="45" t="s">
        <v>44</v>
      </c>
    </row>
    <row r="11" spans="1:9" ht="18" x14ac:dyDescent="0.35">
      <c r="A11" s="14">
        <v>5</v>
      </c>
      <c r="B11" s="61">
        <v>847</v>
      </c>
      <c r="C11" s="45" t="s">
        <v>73</v>
      </c>
      <c r="D11" s="46">
        <v>46145</v>
      </c>
      <c r="E11" s="45">
        <v>2</v>
      </c>
      <c r="F11" s="45"/>
      <c r="G11" s="45"/>
      <c r="H11" s="45" t="s">
        <v>91</v>
      </c>
      <c r="I11" s="45" t="s">
        <v>72</v>
      </c>
    </row>
    <row r="12" spans="1:9" ht="18" x14ac:dyDescent="0.35">
      <c r="A12" s="14">
        <v>6</v>
      </c>
      <c r="B12" s="61" t="s">
        <v>93</v>
      </c>
      <c r="C12" s="45" t="s">
        <v>84</v>
      </c>
      <c r="D12" s="46">
        <v>46143</v>
      </c>
      <c r="E12" s="45">
        <v>2</v>
      </c>
      <c r="F12" s="45"/>
      <c r="G12" s="45"/>
      <c r="H12" s="45" t="s">
        <v>91</v>
      </c>
      <c r="I12" s="45" t="s">
        <v>80</v>
      </c>
    </row>
    <row r="13" spans="1:9" ht="18" x14ac:dyDescent="0.35">
      <c r="A13" s="14">
        <v>7</v>
      </c>
      <c r="B13" s="61">
        <v>851</v>
      </c>
      <c r="C13" s="45" t="s">
        <v>83</v>
      </c>
      <c r="D13" s="46">
        <v>46147</v>
      </c>
      <c r="E13" s="45">
        <v>1</v>
      </c>
      <c r="F13" s="45"/>
      <c r="G13" s="45"/>
      <c r="H13" s="45" t="s">
        <v>91</v>
      </c>
      <c r="I13" s="45" t="s">
        <v>72</v>
      </c>
    </row>
    <row r="14" spans="1:9" ht="18" x14ac:dyDescent="0.35">
      <c r="A14" s="14">
        <v>8</v>
      </c>
      <c r="B14" s="45" t="s">
        <v>92</v>
      </c>
      <c r="C14" s="45" t="s">
        <v>49</v>
      </c>
      <c r="D14" s="46">
        <v>46144</v>
      </c>
      <c r="E14" s="45">
        <v>2</v>
      </c>
      <c r="F14" s="45"/>
      <c r="G14" s="45"/>
      <c r="H14" s="45" t="s">
        <v>91</v>
      </c>
      <c r="I14" s="45" t="s">
        <v>50</v>
      </c>
    </row>
    <row r="15" spans="1:9" ht="18" x14ac:dyDescent="0.35">
      <c r="A15" s="14">
        <v>9</v>
      </c>
      <c r="B15" s="61" t="s">
        <v>81</v>
      </c>
      <c r="C15" s="45" t="s">
        <v>82</v>
      </c>
      <c r="D15" s="46">
        <v>46143</v>
      </c>
      <c r="E15" s="45">
        <v>1</v>
      </c>
      <c r="F15" s="45"/>
      <c r="G15" s="45"/>
      <c r="H15" s="45" t="s">
        <v>91</v>
      </c>
      <c r="I15" s="45" t="s">
        <v>71</v>
      </c>
    </row>
    <row r="16" spans="1:9" ht="18" x14ac:dyDescent="0.35">
      <c r="A16" s="50">
        <v>10</v>
      </c>
      <c r="B16" s="51"/>
      <c r="C16" s="52"/>
      <c r="D16" s="53"/>
      <c r="E16" s="51">
        <v>1</v>
      </c>
      <c r="F16" s="51"/>
      <c r="G16" s="51"/>
      <c r="H16" s="52"/>
      <c r="I16" s="52"/>
    </row>
    <row r="17" spans="1:9" ht="18" x14ac:dyDescent="0.35">
      <c r="A17" s="54"/>
      <c r="B17" s="55"/>
      <c r="C17" s="56"/>
      <c r="D17" s="57" t="s">
        <v>89</v>
      </c>
      <c r="E17" s="55"/>
      <c r="F17" s="55"/>
      <c r="G17" s="55"/>
      <c r="H17" s="55"/>
      <c r="I17" s="58"/>
    </row>
    <row r="18" spans="1:9" ht="18" x14ac:dyDescent="0.35">
      <c r="A18" s="2"/>
      <c r="B18" s="2"/>
      <c r="C18" s="2" t="s">
        <v>17</v>
      </c>
      <c r="D18" s="27" t="s">
        <v>4</v>
      </c>
      <c r="E18" s="3">
        <f>SUM(E7:E17)</f>
        <v>16</v>
      </c>
      <c r="F18" s="3">
        <f>SUM(F7:F17)</f>
        <v>0</v>
      </c>
      <c r="G18" s="2"/>
      <c r="H18" s="2"/>
      <c r="I18" s="2"/>
    </row>
    <row r="19" spans="1:9" ht="18" x14ac:dyDescent="0.35">
      <c r="A19" s="2"/>
      <c r="B19" s="4"/>
      <c r="C19" s="4"/>
      <c r="D19" s="28"/>
      <c r="E19" s="4"/>
      <c r="F19" s="4"/>
      <c r="G19" s="4"/>
      <c r="H19" s="2"/>
      <c r="I19" s="2"/>
    </row>
    <row r="20" spans="1:9" x14ac:dyDescent="0.3">
      <c r="B20" s="4" t="s">
        <v>8</v>
      </c>
    </row>
    <row r="21" spans="1:9" x14ac:dyDescent="0.3">
      <c r="B21" s="6" t="s">
        <v>11</v>
      </c>
      <c r="C21" s="7"/>
      <c r="D21" s="30"/>
      <c r="E21" s="7"/>
      <c r="F21" s="7"/>
    </row>
    <row r="22" spans="1:9" x14ac:dyDescent="0.3">
      <c r="B22" s="6" t="s">
        <v>14</v>
      </c>
      <c r="C22" s="7"/>
      <c r="D22" s="30"/>
      <c r="E22" s="7"/>
      <c r="F22" s="7"/>
    </row>
    <row r="23" spans="1:9" x14ac:dyDescent="0.3">
      <c r="B23" s="6" t="s">
        <v>13</v>
      </c>
      <c r="C23" s="7"/>
      <c r="D23" s="30"/>
      <c r="E23" s="7"/>
      <c r="F23" s="7"/>
    </row>
    <row r="24" spans="1:9" x14ac:dyDescent="0.3">
      <c r="B24" s="6" t="s">
        <v>12</v>
      </c>
      <c r="C24" s="7"/>
      <c r="D24" s="30"/>
      <c r="E24" s="7"/>
      <c r="F24" s="7"/>
    </row>
    <row r="25" spans="1:9" x14ac:dyDescent="0.3">
      <c r="B25" s="5" t="s">
        <v>9</v>
      </c>
    </row>
    <row r="26" spans="1:9" x14ac:dyDescent="0.3">
      <c r="B26" s="5" t="s">
        <v>10</v>
      </c>
    </row>
  </sheetData>
  <sortState ref="B7:I15">
    <sortCondition ref="B7"/>
  </sortState>
  <customSheetViews>
    <customSheetView guid="{EE1AD20C-1831-49F6-BB76-A0057F1F46DC}" fitToPage="1">
      <selection activeCell="I15" sqref="I15"/>
      <pageMargins left="0.7" right="0.7" top="0.75" bottom="0.75" header="0.3" footer="0.3"/>
      <pageSetup scale="86" orientation="landscape" r:id="rId1"/>
    </customSheetView>
    <customSheetView guid="{764E197A-ED2B-44E8-AE74-A147CD840ADF}" fitToPage="1">
      <selection activeCell="C9" sqref="C9"/>
      <pageMargins left="0.7" right="0.7" top="0.75" bottom="0.75" header="0.3" footer="0.3"/>
      <pageSetup scale="86" orientation="landscape" r:id="rId2"/>
    </customSheetView>
    <customSheetView guid="{1616C24E-F38B-4944-BE1B-EE2D6946597D}" fitToPage="1">
      <selection activeCell="C9" sqref="C9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topLeftCell="A2" workbookViewId="0">
      <selection activeCell="C21" sqref="C21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9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22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22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22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23"/>
      <c r="E4" s="1"/>
      <c r="F4" s="1"/>
      <c r="G4" s="1"/>
      <c r="H4" s="1"/>
      <c r="I4" s="1"/>
    </row>
    <row r="5" spans="1:9" ht="23.4" x14ac:dyDescent="0.45">
      <c r="A5" s="94" t="s">
        <v>18</v>
      </c>
      <c r="B5" s="95"/>
      <c r="C5" s="95"/>
      <c r="D5" s="95"/>
      <c r="E5" s="95"/>
      <c r="F5" s="95"/>
      <c r="G5" s="95"/>
      <c r="H5" s="15" t="s">
        <v>5</v>
      </c>
      <c r="I5" s="8" t="str">
        <f ca="1">CONCATENATE((MID(CELL("filename",I5),FIND("]",CELL("filename",I5))+1,255)),"/05/2026")</f>
        <v>4/05/2026</v>
      </c>
    </row>
    <row r="6" spans="1:9" ht="18.600000000000001" thickBot="1" x14ac:dyDescent="0.4">
      <c r="A6" s="16"/>
      <c r="B6" s="17" t="s">
        <v>16</v>
      </c>
      <c r="C6" s="17" t="s">
        <v>0</v>
      </c>
      <c r="D6" s="24" t="s">
        <v>15</v>
      </c>
      <c r="E6" s="17" t="s">
        <v>6</v>
      </c>
      <c r="F6" s="17" t="s">
        <v>3</v>
      </c>
      <c r="G6" s="17" t="s">
        <v>1</v>
      </c>
      <c r="H6" s="18" t="s">
        <v>7</v>
      </c>
      <c r="I6" s="19" t="s">
        <v>2</v>
      </c>
    </row>
    <row r="7" spans="1:9" ht="18" x14ac:dyDescent="0.35">
      <c r="A7" s="9">
        <v>1</v>
      </c>
      <c r="B7" s="9">
        <v>335</v>
      </c>
      <c r="C7" s="37" t="s">
        <v>41</v>
      </c>
      <c r="D7" s="25">
        <v>46149</v>
      </c>
      <c r="E7" s="9" t="s">
        <v>103</v>
      </c>
      <c r="F7" s="9"/>
      <c r="G7" s="9"/>
      <c r="H7" s="38" t="s">
        <v>42</v>
      </c>
      <c r="I7" s="9" t="s">
        <v>40</v>
      </c>
    </row>
    <row r="8" spans="1:9" ht="18" x14ac:dyDescent="0.35">
      <c r="A8" s="14">
        <v>2</v>
      </c>
      <c r="B8" s="9">
        <v>875</v>
      </c>
      <c r="C8" s="40" t="s">
        <v>57</v>
      </c>
      <c r="D8" s="25">
        <v>46148</v>
      </c>
      <c r="E8" s="9" t="s">
        <v>103</v>
      </c>
      <c r="F8" s="9"/>
      <c r="G8" s="9"/>
      <c r="H8" s="41" t="s">
        <v>58</v>
      </c>
      <c r="I8" s="9" t="s">
        <v>50</v>
      </c>
    </row>
    <row r="9" spans="1:9" ht="18" x14ac:dyDescent="0.35">
      <c r="A9" s="14">
        <v>3</v>
      </c>
      <c r="B9" s="9">
        <v>852</v>
      </c>
      <c r="C9" s="14" t="s">
        <v>62</v>
      </c>
      <c r="D9" s="26">
        <v>46147</v>
      </c>
      <c r="E9" s="14" t="s">
        <v>103</v>
      </c>
      <c r="F9" s="14"/>
      <c r="G9" s="14"/>
      <c r="H9" s="14">
        <v>3329178</v>
      </c>
      <c r="I9" s="14" t="s">
        <v>63</v>
      </c>
    </row>
    <row r="10" spans="1:9" ht="18" x14ac:dyDescent="0.35">
      <c r="A10" s="14">
        <v>4</v>
      </c>
      <c r="B10" s="14">
        <v>300</v>
      </c>
      <c r="C10" s="14" t="s">
        <v>69</v>
      </c>
      <c r="D10" s="26">
        <v>46155</v>
      </c>
      <c r="E10" s="65">
        <v>2</v>
      </c>
      <c r="F10" s="14"/>
      <c r="G10" s="14"/>
      <c r="H10" s="14">
        <v>25976904</v>
      </c>
      <c r="I10" s="14" t="s">
        <v>70</v>
      </c>
    </row>
    <row r="11" spans="1:9" ht="18" x14ac:dyDescent="0.35">
      <c r="A11" s="14">
        <v>5</v>
      </c>
      <c r="B11" s="10">
        <v>625</v>
      </c>
      <c r="C11" s="11" t="s">
        <v>107</v>
      </c>
      <c r="D11" s="12">
        <v>46146</v>
      </c>
      <c r="E11" s="10" t="s">
        <v>105</v>
      </c>
      <c r="F11" s="10"/>
      <c r="G11" s="10"/>
      <c r="H11" s="11"/>
      <c r="I11" s="14" t="s">
        <v>96</v>
      </c>
    </row>
    <row r="12" spans="1:9" ht="18" x14ac:dyDescent="0.35">
      <c r="A12" s="14">
        <v>6</v>
      </c>
      <c r="B12" s="14">
        <v>619</v>
      </c>
      <c r="C12" s="14" t="s">
        <v>64</v>
      </c>
      <c r="D12" s="26">
        <v>46149</v>
      </c>
      <c r="E12" s="14" t="s">
        <v>105</v>
      </c>
      <c r="F12" s="14"/>
      <c r="G12" s="14"/>
      <c r="H12" s="14" t="s">
        <v>65</v>
      </c>
      <c r="I12" s="14" t="s">
        <v>63</v>
      </c>
    </row>
    <row r="13" spans="1:9" ht="18" x14ac:dyDescent="0.35">
      <c r="A13" s="14">
        <v>7</v>
      </c>
      <c r="B13" s="10">
        <v>623</v>
      </c>
      <c r="C13" s="11"/>
      <c r="D13" s="12"/>
      <c r="E13" s="10" t="s">
        <v>103</v>
      </c>
      <c r="F13" s="10"/>
      <c r="G13" s="10"/>
      <c r="H13" s="13"/>
      <c r="I13" s="14" t="s">
        <v>96</v>
      </c>
    </row>
    <row r="14" spans="1:9" ht="18" x14ac:dyDescent="0.35">
      <c r="A14" s="14">
        <v>8</v>
      </c>
      <c r="B14" s="14">
        <v>683</v>
      </c>
      <c r="C14" s="14" t="s">
        <v>52</v>
      </c>
      <c r="D14" s="26">
        <v>46149</v>
      </c>
      <c r="E14" s="14" t="s">
        <v>105</v>
      </c>
      <c r="F14" s="14"/>
      <c r="G14" s="14"/>
      <c r="H14" s="14" t="s">
        <v>53</v>
      </c>
      <c r="I14" s="14" t="s">
        <v>50</v>
      </c>
    </row>
    <row r="15" spans="1:9" ht="18" x14ac:dyDescent="0.35">
      <c r="A15" s="14">
        <v>9</v>
      </c>
      <c r="B15" s="14">
        <v>815</v>
      </c>
      <c r="C15" s="21" t="s">
        <v>106</v>
      </c>
      <c r="D15" s="26">
        <v>46148</v>
      </c>
      <c r="E15" s="14" t="s">
        <v>105</v>
      </c>
      <c r="F15" s="14"/>
      <c r="G15" s="14"/>
      <c r="H15" s="14"/>
      <c r="I15" s="14" t="s">
        <v>96</v>
      </c>
    </row>
    <row r="16" spans="1:9" ht="18" x14ac:dyDescent="0.35">
      <c r="A16" s="14">
        <v>10</v>
      </c>
      <c r="B16" s="10"/>
      <c r="C16" s="11"/>
      <c r="D16" s="12"/>
      <c r="E16" s="10"/>
      <c r="F16" s="10"/>
      <c r="G16" s="10"/>
      <c r="H16" s="10"/>
      <c r="I16" s="11"/>
    </row>
    <row r="17" spans="1:9" ht="18" x14ac:dyDescent="0.35">
      <c r="A17" s="14">
        <v>11</v>
      </c>
      <c r="B17" s="10"/>
      <c r="C17" s="62" t="s">
        <v>89</v>
      </c>
      <c r="D17" s="12"/>
      <c r="E17" s="10"/>
      <c r="F17" s="10"/>
      <c r="G17" s="10"/>
      <c r="H17" s="10"/>
      <c r="I17" s="11"/>
    </row>
    <row r="18" spans="1:9" ht="18" x14ac:dyDescent="0.35">
      <c r="A18" s="14">
        <v>12</v>
      </c>
      <c r="B18" s="10"/>
      <c r="C18" s="11"/>
      <c r="D18" s="12"/>
      <c r="E18" s="10"/>
      <c r="F18" s="10"/>
      <c r="G18" s="10"/>
      <c r="H18" s="10"/>
      <c r="I18" s="11"/>
    </row>
    <row r="19" spans="1:9" ht="18" x14ac:dyDescent="0.35">
      <c r="A19" s="14">
        <v>13</v>
      </c>
      <c r="B19" s="10"/>
      <c r="C19" s="11"/>
      <c r="D19" s="12"/>
      <c r="E19" s="10"/>
      <c r="F19" s="10"/>
      <c r="G19" s="10"/>
      <c r="H19" s="10"/>
      <c r="I19" s="11"/>
    </row>
    <row r="20" spans="1:9" ht="18" x14ac:dyDescent="0.35">
      <c r="A20" s="14">
        <v>14</v>
      </c>
      <c r="B20" s="10"/>
      <c r="C20" s="11"/>
      <c r="D20" s="12"/>
      <c r="E20" s="10"/>
      <c r="F20" s="10"/>
      <c r="G20" s="10"/>
      <c r="H20" s="10"/>
      <c r="I20" s="11"/>
    </row>
    <row r="21" spans="1:9" ht="18" x14ac:dyDescent="0.35">
      <c r="A21" s="14">
        <v>15</v>
      </c>
      <c r="B21" s="10"/>
      <c r="C21" s="11"/>
      <c r="D21" s="12"/>
      <c r="E21" s="10"/>
      <c r="F21" s="10"/>
      <c r="G21" s="10"/>
      <c r="H21" s="10"/>
      <c r="I21" s="11"/>
    </row>
    <row r="22" spans="1:9" ht="18" x14ac:dyDescent="0.35">
      <c r="A22" s="14">
        <v>16</v>
      </c>
      <c r="B22" s="10"/>
      <c r="C22" s="11"/>
      <c r="D22" s="12"/>
      <c r="E22" s="10"/>
      <c r="F22" s="10"/>
      <c r="G22" s="10"/>
      <c r="H22" s="10"/>
      <c r="I22" s="11"/>
    </row>
    <row r="23" spans="1:9" ht="18" x14ac:dyDescent="0.35">
      <c r="A23" s="14">
        <v>17</v>
      </c>
      <c r="B23" s="10"/>
      <c r="C23" s="11"/>
      <c r="D23" s="12"/>
      <c r="E23" s="10"/>
      <c r="F23" s="10"/>
      <c r="G23" s="10"/>
      <c r="H23" s="10"/>
      <c r="I23" s="11"/>
    </row>
    <row r="24" spans="1:9" ht="18" x14ac:dyDescent="0.35">
      <c r="A24" s="14">
        <v>18</v>
      </c>
      <c r="B24" s="10"/>
      <c r="C24" s="11"/>
      <c r="D24" s="12"/>
      <c r="E24" s="10"/>
      <c r="F24" s="10"/>
      <c r="G24" s="10"/>
      <c r="H24" s="10"/>
      <c r="I24" s="11"/>
    </row>
    <row r="25" spans="1:9" ht="18" x14ac:dyDescent="0.35">
      <c r="A25" s="14">
        <v>19</v>
      </c>
      <c r="B25" s="10"/>
      <c r="C25" s="11"/>
      <c r="D25" s="12"/>
      <c r="E25" s="10"/>
      <c r="F25" s="10"/>
      <c r="G25" s="10"/>
      <c r="H25" s="10"/>
      <c r="I25" s="11"/>
    </row>
    <row r="26" spans="1:9" ht="18" x14ac:dyDescent="0.35">
      <c r="A26" s="14">
        <v>20</v>
      </c>
      <c r="B26" s="10"/>
      <c r="C26" s="11"/>
      <c r="D26" s="12"/>
      <c r="E26" s="10"/>
      <c r="F26" s="10"/>
      <c r="G26" s="10"/>
      <c r="H26" s="10"/>
      <c r="I26" s="11"/>
    </row>
    <row r="27" spans="1:9" ht="18" x14ac:dyDescent="0.35">
      <c r="A27" s="2"/>
      <c r="B27" s="2"/>
      <c r="C27" s="2" t="s">
        <v>17</v>
      </c>
      <c r="D27" s="27" t="s">
        <v>4</v>
      </c>
      <c r="E27" s="3">
        <f>SUM(E7:E26)</f>
        <v>2</v>
      </c>
      <c r="F27" s="3">
        <f>SUM(F7:F26)</f>
        <v>0</v>
      </c>
      <c r="G27" s="2"/>
      <c r="H27" s="2"/>
      <c r="I27" s="2"/>
    </row>
    <row r="28" spans="1:9" ht="18" x14ac:dyDescent="0.35">
      <c r="A28" s="2"/>
      <c r="B28" s="4"/>
      <c r="C28" s="4"/>
      <c r="D28" s="28"/>
      <c r="E28" s="4"/>
      <c r="F28" s="4"/>
      <c r="G28" s="4"/>
      <c r="H28" s="2"/>
      <c r="I28" s="2"/>
    </row>
    <row r="29" spans="1:9" x14ac:dyDescent="0.3">
      <c r="B29" s="4" t="s">
        <v>8</v>
      </c>
    </row>
    <row r="30" spans="1:9" x14ac:dyDescent="0.3">
      <c r="B30" s="6" t="s">
        <v>11</v>
      </c>
      <c r="C30" s="7"/>
      <c r="D30" s="30"/>
      <c r="E30" s="7"/>
      <c r="F30" s="7"/>
    </row>
    <row r="31" spans="1:9" x14ac:dyDescent="0.3">
      <c r="B31" s="6" t="s">
        <v>14</v>
      </c>
      <c r="C31" s="7"/>
      <c r="D31" s="30"/>
      <c r="E31" s="7"/>
      <c r="F31" s="7"/>
    </row>
    <row r="32" spans="1:9" x14ac:dyDescent="0.3">
      <c r="B32" s="6" t="s">
        <v>13</v>
      </c>
      <c r="C32" s="7"/>
      <c r="D32" s="30"/>
      <c r="E32" s="7"/>
      <c r="F32" s="7"/>
    </row>
    <row r="33" spans="2:6" x14ac:dyDescent="0.3">
      <c r="B33" s="6" t="s">
        <v>12</v>
      </c>
      <c r="C33" s="7"/>
      <c r="D33" s="30"/>
      <c r="E33" s="7"/>
      <c r="F33" s="7"/>
    </row>
    <row r="34" spans="2:6" x14ac:dyDescent="0.3">
      <c r="B34" s="5" t="s">
        <v>9</v>
      </c>
    </row>
    <row r="35" spans="2:6" x14ac:dyDescent="0.3">
      <c r="B35" s="5" t="s">
        <v>10</v>
      </c>
    </row>
  </sheetData>
  <customSheetViews>
    <customSheetView guid="{EE1AD20C-1831-49F6-BB76-A0057F1F46DC}" fitToPage="1" topLeftCell="A2">
      <selection activeCell="C16" sqref="C16"/>
      <pageMargins left="0.7" right="0.7" top="0.75" bottom="0.75" header="0.3" footer="0.3"/>
      <pageSetup scale="86" orientation="landscape" r:id="rId1"/>
    </customSheetView>
    <customSheetView guid="{764E197A-ED2B-44E8-AE74-A147CD840ADF}" fitToPage="1" topLeftCell="A2">
      <selection activeCell="L13" sqref="L13"/>
      <pageMargins left="0.7" right="0.7" top="0.75" bottom="0.75" header="0.3" footer="0.3"/>
      <pageSetup scale="86" orientation="landscape" r:id="rId2"/>
    </customSheetView>
    <customSheetView guid="{1616C24E-F38B-4944-BE1B-EE2D6946597D}" fitToPage="1" topLeftCell="A2">
      <selection activeCell="C21" sqref="C21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>
      <selection activeCell="C19" sqref="C19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9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22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22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22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23"/>
      <c r="E4" s="1"/>
      <c r="F4" s="1"/>
      <c r="G4" s="1"/>
      <c r="H4" s="1"/>
      <c r="I4" s="1"/>
    </row>
    <row r="5" spans="1:9" ht="23.4" x14ac:dyDescent="0.45">
      <c r="A5" s="94" t="s">
        <v>18</v>
      </c>
      <c r="B5" s="95"/>
      <c r="C5" s="95"/>
      <c r="D5" s="95"/>
      <c r="E5" s="95"/>
      <c r="F5" s="95"/>
      <c r="G5" s="95"/>
      <c r="H5" s="15" t="s">
        <v>5</v>
      </c>
      <c r="I5" s="8" t="str">
        <f ca="1">CONCATENATE((MID(CELL("filename",I5),FIND("]",CELL("filename",I5))+1,255)),"/05/2026")</f>
        <v>6/05/2026</v>
      </c>
    </row>
    <row r="6" spans="1:9" ht="18.600000000000001" thickBot="1" x14ac:dyDescent="0.4">
      <c r="A6" s="16"/>
      <c r="B6" s="17" t="s">
        <v>16</v>
      </c>
      <c r="C6" s="17" t="s">
        <v>0</v>
      </c>
      <c r="D6" s="24" t="s">
        <v>15</v>
      </c>
      <c r="E6" s="17" t="s">
        <v>6</v>
      </c>
      <c r="F6" s="17" t="s">
        <v>3</v>
      </c>
      <c r="G6" s="17" t="s">
        <v>1</v>
      </c>
      <c r="H6" s="18" t="s">
        <v>7</v>
      </c>
      <c r="I6" s="19" t="s">
        <v>2</v>
      </c>
    </row>
    <row r="7" spans="1:9" ht="18" x14ac:dyDescent="0.35">
      <c r="A7" s="9">
        <v>1</v>
      </c>
      <c r="B7" s="14">
        <v>881</v>
      </c>
      <c r="C7" s="14" t="s">
        <v>35</v>
      </c>
      <c r="D7" s="26">
        <v>46154</v>
      </c>
      <c r="E7" s="14">
        <v>2</v>
      </c>
      <c r="F7" s="14"/>
      <c r="G7" s="14"/>
      <c r="H7" s="14">
        <v>2836971</v>
      </c>
      <c r="I7" s="14" t="s">
        <v>23</v>
      </c>
    </row>
    <row r="8" spans="1:9" ht="18" x14ac:dyDescent="0.35">
      <c r="A8" s="14">
        <v>2</v>
      </c>
      <c r="B8" s="14">
        <v>689</v>
      </c>
      <c r="C8" s="37" t="s">
        <v>36</v>
      </c>
      <c r="D8" s="26">
        <v>46150</v>
      </c>
      <c r="E8" s="14">
        <v>2</v>
      </c>
      <c r="F8" s="14"/>
      <c r="G8" s="14"/>
      <c r="H8" s="38" t="s">
        <v>37</v>
      </c>
      <c r="I8" s="14" t="s">
        <v>30</v>
      </c>
    </row>
    <row r="9" spans="1:9" ht="18" x14ac:dyDescent="0.35">
      <c r="A9" s="14">
        <v>3</v>
      </c>
      <c r="B9" s="14" t="s">
        <v>19</v>
      </c>
      <c r="C9" s="42" t="s">
        <v>74</v>
      </c>
      <c r="D9" s="26"/>
      <c r="E9" s="14">
        <v>2</v>
      </c>
      <c r="F9" s="14"/>
      <c r="G9" s="14"/>
      <c r="H9" s="14" t="s">
        <v>76</v>
      </c>
      <c r="I9" s="14" t="s">
        <v>75</v>
      </c>
    </row>
    <row r="10" spans="1:9" ht="18" x14ac:dyDescent="0.35">
      <c r="A10" s="14">
        <v>4</v>
      </c>
      <c r="B10" s="14">
        <v>214</v>
      </c>
      <c r="C10" s="14" t="s">
        <v>98</v>
      </c>
      <c r="D10" s="26">
        <v>46145</v>
      </c>
      <c r="E10" s="14">
        <v>2</v>
      </c>
      <c r="F10" s="14"/>
      <c r="G10" s="14"/>
      <c r="H10" s="14"/>
      <c r="I10" s="14" t="s">
        <v>97</v>
      </c>
    </row>
    <row r="11" spans="1:9" ht="18" x14ac:dyDescent="0.35">
      <c r="A11" s="14">
        <v>5</v>
      </c>
      <c r="B11" s="14">
        <v>606</v>
      </c>
      <c r="C11" s="14" t="s">
        <v>99</v>
      </c>
      <c r="D11" s="26">
        <v>46146</v>
      </c>
      <c r="E11" s="14">
        <v>2</v>
      </c>
      <c r="F11" s="14"/>
      <c r="G11" s="14"/>
      <c r="H11" s="14"/>
      <c r="I11" s="14" t="s">
        <v>97</v>
      </c>
    </row>
    <row r="12" spans="1:9" ht="18" x14ac:dyDescent="0.35">
      <c r="A12" s="14">
        <v>6</v>
      </c>
      <c r="B12" s="14">
        <v>617</v>
      </c>
      <c r="C12" s="14" t="s">
        <v>104</v>
      </c>
      <c r="D12" s="26">
        <v>46124</v>
      </c>
      <c r="E12" s="14" t="s">
        <v>105</v>
      </c>
      <c r="F12" s="14"/>
      <c r="G12" s="14"/>
      <c r="H12" s="14"/>
      <c r="I12" s="14" t="s">
        <v>72</v>
      </c>
    </row>
    <row r="13" spans="1:9" ht="18" x14ac:dyDescent="0.35">
      <c r="A13" s="14">
        <v>7</v>
      </c>
      <c r="B13" s="14">
        <v>614</v>
      </c>
      <c r="C13" s="21"/>
      <c r="D13" s="26"/>
      <c r="E13" s="14">
        <v>2</v>
      </c>
      <c r="F13" s="14"/>
      <c r="G13" s="14"/>
      <c r="H13" s="14"/>
      <c r="I13" s="14" t="s">
        <v>97</v>
      </c>
    </row>
    <row r="14" spans="1:9" ht="18" x14ac:dyDescent="0.35">
      <c r="A14" s="14">
        <v>8</v>
      </c>
      <c r="B14" s="14">
        <v>619</v>
      </c>
      <c r="C14" s="14" t="s">
        <v>64</v>
      </c>
      <c r="D14" s="26">
        <v>46149</v>
      </c>
      <c r="E14" s="10">
        <v>2</v>
      </c>
      <c r="F14" s="10"/>
      <c r="G14" s="10"/>
      <c r="H14" s="13"/>
      <c r="I14" s="14" t="s">
        <v>97</v>
      </c>
    </row>
    <row r="15" spans="1:9" ht="18" x14ac:dyDescent="0.35">
      <c r="A15" s="14">
        <v>9</v>
      </c>
      <c r="B15" s="14">
        <v>815</v>
      </c>
      <c r="C15" s="21" t="s">
        <v>106</v>
      </c>
      <c r="D15" s="26">
        <v>46148</v>
      </c>
      <c r="E15" s="14">
        <v>2</v>
      </c>
      <c r="F15" s="14"/>
      <c r="G15" s="14"/>
      <c r="H15" s="14"/>
      <c r="I15" s="14" t="s">
        <v>96</v>
      </c>
    </row>
    <row r="16" spans="1:9" ht="18" x14ac:dyDescent="0.35">
      <c r="A16" s="14">
        <v>10</v>
      </c>
      <c r="B16" s="63">
        <v>843</v>
      </c>
      <c r="C16" s="63" t="s">
        <v>52</v>
      </c>
      <c r="D16" s="64">
        <v>46149</v>
      </c>
      <c r="E16" s="63">
        <v>2</v>
      </c>
      <c r="F16" s="63"/>
      <c r="G16" s="63"/>
      <c r="H16" s="63" t="s">
        <v>53</v>
      </c>
      <c r="I16" s="63" t="s">
        <v>50</v>
      </c>
    </row>
    <row r="17" spans="1:9" ht="18" x14ac:dyDescent="0.35">
      <c r="A17" s="14">
        <v>11</v>
      </c>
      <c r="B17" s="10"/>
      <c r="C17" s="11"/>
      <c r="D17" s="12"/>
      <c r="E17" s="10"/>
      <c r="F17" s="10"/>
      <c r="G17" s="10"/>
      <c r="H17" s="10"/>
      <c r="I17" s="11"/>
    </row>
    <row r="18" spans="1:9" ht="18" x14ac:dyDescent="0.35">
      <c r="A18" s="14">
        <v>12</v>
      </c>
      <c r="B18" s="10"/>
      <c r="C18" s="11"/>
      <c r="D18" s="12"/>
      <c r="E18" s="10"/>
      <c r="F18" s="10"/>
      <c r="G18" s="10"/>
      <c r="H18" s="10"/>
      <c r="I18" s="11"/>
    </row>
    <row r="19" spans="1:9" ht="18" x14ac:dyDescent="0.35">
      <c r="A19" s="14">
        <v>13</v>
      </c>
      <c r="B19" s="10"/>
      <c r="C19" s="11"/>
      <c r="D19" s="12"/>
      <c r="E19" s="10"/>
      <c r="F19" s="10"/>
      <c r="G19" s="10"/>
      <c r="H19" s="10"/>
      <c r="I19" s="11"/>
    </row>
    <row r="20" spans="1:9" ht="18" x14ac:dyDescent="0.35">
      <c r="A20" s="14">
        <v>14</v>
      </c>
      <c r="B20" s="10"/>
      <c r="C20" s="11"/>
      <c r="D20" s="12"/>
      <c r="E20" s="10"/>
      <c r="F20" s="10"/>
      <c r="G20" s="10"/>
      <c r="H20" s="10"/>
      <c r="I20" s="11"/>
    </row>
    <row r="21" spans="1:9" ht="18" x14ac:dyDescent="0.35">
      <c r="A21" s="14">
        <v>15</v>
      </c>
      <c r="B21" s="10"/>
      <c r="C21" s="11"/>
      <c r="D21" s="12"/>
      <c r="E21" s="10"/>
      <c r="F21" s="10"/>
      <c r="G21" s="10"/>
      <c r="H21" s="10"/>
      <c r="I21" s="11"/>
    </row>
    <row r="22" spans="1:9" ht="18" x14ac:dyDescent="0.35">
      <c r="A22" s="14">
        <v>16</v>
      </c>
      <c r="B22" s="10"/>
      <c r="C22" s="11"/>
      <c r="D22" s="12"/>
      <c r="E22" s="10"/>
      <c r="F22" s="10"/>
      <c r="G22" s="10"/>
      <c r="H22" s="10"/>
      <c r="I22" s="11"/>
    </row>
    <row r="23" spans="1:9" ht="18" x14ac:dyDescent="0.35">
      <c r="A23" s="14">
        <v>17</v>
      </c>
      <c r="B23" s="10"/>
      <c r="C23" s="11"/>
      <c r="D23" s="12"/>
      <c r="E23" s="10"/>
      <c r="F23" s="10"/>
      <c r="G23" s="10"/>
      <c r="H23" s="10"/>
      <c r="I23" s="11"/>
    </row>
    <row r="24" spans="1:9" ht="18" x14ac:dyDescent="0.35">
      <c r="A24" s="14">
        <v>18</v>
      </c>
      <c r="B24" s="10"/>
      <c r="C24" s="11"/>
      <c r="D24" s="12"/>
      <c r="E24" s="10"/>
      <c r="F24" s="10"/>
      <c r="G24" s="10"/>
      <c r="H24" s="10"/>
      <c r="I24" s="11"/>
    </row>
    <row r="25" spans="1:9" ht="18" x14ac:dyDescent="0.35">
      <c r="A25" s="14">
        <v>19</v>
      </c>
      <c r="B25" s="10"/>
      <c r="C25" s="11"/>
      <c r="D25" s="12"/>
      <c r="E25" s="10"/>
      <c r="F25" s="10"/>
      <c r="G25" s="10"/>
      <c r="H25" s="10"/>
      <c r="I25" s="11"/>
    </row>
    <row r="26" spans="1:9" ht="18" x14ac:dyDescent="0.35">
      <c r="A26" s="14">
        <v>20</v>
      </c>
      <c r="B26" s="10"/>
      <c r="C26" s="11"/>
      <c r="D26" s="12"/>
      <c r="E26" s="10"/>
      <c r="F26" s="10"/>
      <c r="G26" s="10"/>
      <c r="H26" s="10"/>
      <c r="I26" s="11"/>
    </row>
    <row r="27" spans="1:9" ht="18" x14ac:dyDescent="0.35">
      <c r="A27" s="2"/>
      <c r="B27" s="2"/>
      <c r="C27" s="2" t="s">
        <v>17</v>
      </c>
      <c r="D27" s="27" t="s">
        <v>4</v>
      </c>
      <c r="E27" s="3">
        <f>SUM(E7:E26)</f>
        <v>18</v>
      </c>
      <c r="F27" s="3">
        <f>SUM(F7:F26)</f>
        <v>0</v>
      </c>
      <c r="G27" s="2"/>
      <c r="H27" s="2"/>
      <c r="I27" s="2"/>
    </row>
    <row r="28" spans="1:9" ht="18" x14ac:dyDescent="0.35">
      <c r="A28" s="2"/>
      <c r="B28" s="4"/>
      <c r="C28" s="4"/>
      <c r="D28" s="28"/>
      <c r="E28" s="4"/>
      <c r="F28" s="4"/>
      <c r="G28" s="4"/>
      <c r="H28" s="2"/>
      <c r="I28" s="2"/>
    </row>
    <row r="29" spans="1:9" x14ac:dyDescent="0.3">
      <c r="B29" s="4" t="s">
        <v>8</v>
      </c>
    </row>
    <row r="30" spans="1:9" x14ac:dyDescent="0.3">
      <c r="B30" s="6" t="s">
        <v>11</v>
      </c>
      <c r="C30" s="7"/>
      <c r="D30" s="30"/>
      <c r="E30" s="7"/>
      <c r="F30" s="7"/>
    </row>
    <row r="31" spans="1:9" x14ac:dyDescent="0.3">
      <c r="B31" s="6" t="s">
        <v>14</v>
      </c>
      <c r="C31" s="7"/>
      <c r="D31" s="30"/>
      <c r="E31" s="7"/>
      <c r="F31" s="7"/>
    </row>
    <row r="32" spans="1:9" x14ac:dyDescent="0.3">
      <c r="B32" s="6" t="s">
        <v>13</v>
      </c>
      <c r="C32" s="7"/>
      <c r="D32" s="30"/>
      <c r="E32" s="7"/>
      <c r="F32" s="7"/>
    </row>
    <row r="33" spans="2:6" x14ac:dyDescent="0.3">
      <c r="B33" s="6" t="s">
        <v>12</v>
      </c>
      <c r="C33" s="7"/>
      <c r="D33" s="30"/>
      <c r="E33" s="7"/>
      <c r="F33" s="7"/>
    </row>
    <row r="34" spans="2:6" x14ac:dyDescent="0.3">
      <c r="B34" s="5" t="s">
        <v>9</v>
      </c>
    </row>
    <row r="35" spans="2:6" x14ac:dyDescent="0.3">
      <c r="B35" s="5" t="s">
        <v>10</v>
      </c>
    </row>
  </sheetData>
  <customSheetViews>
    <customSheetView guid="{EE1AD20C-1831-49F6-BB76-A0057F1F46DC}" fitToPage="1">
      <selection activeCell="L15" sqref="L15"/>
      <pageMargins left="0.7" right="0.7" top="0.75" bottom="0.75" header="0.3" footer="0.3"/>
      <pageSetup scale="86" orientation="landscape" r:id="rId1"/>
    </customSheetView>
    <customSheetView guid="{764E197A-ED2B-44E8-AE74-A147CD840ADF}" fitToPage="1" topLeftCell="A7">
      <selection activeCell="B16" sqref="B16:I16"/>
      <pageMargins left="0.7" right="0.7" top="0.75" bottom="0.75" header="0.3" footer="0.3"/>
      <pageSetup scale="86" orientation="landscape" r:id="rId2"/>
    </customSheetView>
    <customSheetView guid="{1616C24E-F38B-4944-BE1B-EE2D6946597D}" fitToPage="1">
      <selection activeCell="C19" sqref="C19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"/>
  <sheetViews>
    <sheetView zoomScale="94" zoomScaleNormal="94" workbookViewId="0">
      <selection activeCell="F7" sqref="F7:F15"/>
    </sheetView>
  </sheetViews>
  <sheetFormatPr defaultRowHeight="14.4" x14ac:dyDescent="0.3"/>
  <cols>
    <col min="3" max="3" width="10.44140625" customWidth="1"/>
    <col min="4" max="4" width="33" customWidth="1"/>
    <col min="5" max="5" width="16.88671875" style="29" customWidth="1"/>
    <col min="6" max="6" width="8.33203125" customWidth="1"/>
    <col min="7" max="7" width="8" customWidth="1"/>
    <col min="8" max="8" width="10.109375" bestFit="1" customWidth="1"/>
    <col min="9" max="9" width="21.109375" bestFit="1" customWidth="1"/>
    <col min="10" max="10" width="24.5546875" customWidth="1"/>
  </cols>
  <sheetData>
    <row r="1" spans="1:11" ht="18" x14ac:dyDescent="0.35">
      <c r="A1" s="2"/>
      <c r="B1" s="2"/>
      <c r="C1" s="2"/>
      <c r="D1" s="2"/>
      <c r="E1" s="22"/>
      <c r="F1" s="2"/>
      <c r="G1" s="2"/>
      <c r="H1" s="2"/>
      <c r="I1" s="2"/>
      <c r="J1" s="2"/>
    </row>
    <row r="2" spans="1:11" ht="18" x14ac:dyDescent="0.35">
      <c r="A2" s="2"/>
      <c r="B2" s="2"/>
      <c r="C2" s="2"/>
      <c r="D2" s="2"/>
      <c r="E2" s="22"/>
      <c r="F2" s="2"/>
      <c r="G2" s="2"/>
      <c r="H2" s="2"/>
      <c r="I2" s="2"/>
      <c r="J2" s="2"/>
    </row>
    <row r="3" spans="1:11" ht="18" x14ac:dyDescent="0.35">
      <c r="A3" s="2"/>
      <c r="B3" s="2"/>
      <c r="C3" s="2"/>
      <c r="D3" s="2"/>
      <c r="E3" s="22"/>
      <c r="F3" s="2"/>
      <c r="G3" s="2"/>
      <c r="H3" s="2"/>
      <c r="I3" s="2"/>
      <c r="J3" s="2"/>
    </row>
    <row r="4" spans="1:11" ht="18" thickBot="1" x14ac:dyDescent="0.4">
      <c r="A4" s="1"/>
      <c r="B4" s="1"/>
      <c r="C4" s="1"/>
      <c r="D4" s="1"/>
      <c r="E4" s="23"/>
      <c r="F4" s="1"/>
      <c r="G4" s="1"/>
      <c r="H4" s="1"/>
      <c r="I4" s="1"/>
      <c r="J4" s="1"/>
    </row>
    <row r="5" spans="1:11" ht="23.4" x14ac:dyDescent="0.45">
      <c r="A5" s="94" t="s">
        <v>18</v>
      </c>
      <c r="B5" s="96"/>
      <c r="C5" s="95"/>
      <c r="D5" s="95"/>
      <c r="E5" s="95"/>
      <c r="F5" s="95"/>
      <c r="G5" s="95"/>
      <c r="H5" s="95"/>
      <c r="I5" s="15" t="s">
        <v>5</v>
      </c>
      <c r="J5" s="8" t="str">
        <f ca="1">CONCATENATE((MID(CELL("filename",J5),FIND("]",CELL("filename",J5))+1,255)),"/05/2026")</f>
        <v>8/05/2026</v>
      </c>
    </row>
    <row r="6" spans="1:11" ht="18.600000000000001" thickBot="1" x14ac:dyDescent="0.4">
      <c r="A6" s="16"/>
      <c r="B6" s="66"/>
      <c r="C6" s="17" t="s">
        <v>16</v>
      </c>
      <c r="D6" s="17" t="s">
        <v>0</v>
      </c>
      <c r="E6" s="24" t="s">
        <v>15</v>
      </c>
      <c r="F6" s="17" t="s">
        <v>6</v>
      </c>
      <c r="G6" s="17" t="s">
        <v>3</v>
      </c>
      <c r="H6" s="17" t="s">
        <v>1</v>
      </c>
      <c r="I6" s="18" t="s">
        <v>7</v>
      </c>
      <c r="J6" s="19" t="s">
        <v>2</v>
      </c>
    </row>
    <row r="7" spans="1:11" ht="18" x14ac:dyDescent="0.35">
      <c r="A7" s="9">
        <v>1</v>
      </c>
      <c r="B7" s="9"/>
      <c r="C7" s="10">
        <v>337</v>
      </c>
      <c r="D7" s="74" t="s">
        <v>113</v>
      </c>
      <c r="E7" s="12">
        <v>46151</v>
      </c>
      <c r="F7" s="10">
        <v>2</v>
      </c>
      <c r="G7" s="10"/>
      <c r="H7" s="10"/>
      <c r="I7" s="10" t="s">
        <v>114</v>
      </c>
      <c r="J7" s="10" t="s">
        <v>72</v>
      </c>
      <c r="K7" s="76"/>
    </row>
    <row r="8" spans="1:11" ht="18" x14ac:dyDescent="0.35">
      <c r="A8" s="14">
        <v>2</v>
      </c>
      <c r="B8" s="14"/>
      <c r="C8" s="10">
        <v>339</v>
      </c>
      <c r="D8" s="10" t="s">
        <v>115</v>
      </c>
      <c r="E8" s="12">
        <v>46155</v>
      </c>
      <c r="F8" s="10" t="s">
        <v>121</v>
      </c>
      <c r="G8" s="10"/>
      <c r="H8" s="10"/>
      <c r="I8" s="73"/>
      <c r="J8" s="10" t="s">
        <v>96</v>
      </c>
      <c r="K8" s="76"/>
    </row>
    <row r="9" spans="1:11" ht="18" x14ac:dyDescent="0.35">
      <c r="A9" s="14">
        <v>3</v>
      </c>
      <c r="B9" s="14"/>
      <c r="C9" s="10">
        <v>617</v>
      </c>
      <c r="D9" s="10" t="s">
        <v>104</v>
      </c>
      <c r="E9" s="12">
        <v>46124</v>
      </c>
      <c r="F9" s="10" t="s">
        <v>120</v>
      </c>
      <c r="G9" s="10"/>
      <c r="H9" s="10"/>
      <c r="I9" s="10" t="s">
        <v>114</v>
      </c>
      <c r="J9" s="10" t="s">
        <v>72</v>
      </c>
      <c r="K9" s="77"/>
    </row>
    <row r="10" spans="1:11" ht="18" x14ac:dyDescent="0.35">
      <c r="A10" s="14">
        <v>4</v>
      </c>
      <c r="B10" s="14"/>
      <c r="C10" s="10">
        <v>810</v>
      </c>
      <c r="D10" s="10" t="s">
        <v>109</v>
      </c>
      <c r="E10" s="12">
        <v>46154</v>
      </c>
      <c r="F10" s="10" t="s">
        <v>105</v>
      </c>
      <c r="G10" s="10"/>
      <c r="H10" s="10"/>
      <c r="I10" s="10" t="s">
        <v>91</v>
      </c>
      <c r="J10" s="10" t="s">
        <v>108</v>
      </c>
      <c r="K10" s="76"/>
    </row>
    <row r="11" spans="1:11" ht="18" x14ac:dyDescent="0.35">
      <c r="A11" s="14">
        <v>5</v>
      </c>
      <c r="B11" s="14"/>
      <c r="C11" s="10">
        <v>869</v>
      </c>
      <c r="D11" s="10" t="s">
        <v>112</v>
      </c>
      <c r="E11" s="12">
        <v>46152</v>
      </c>
      <c r="F11" s="10">
        <v>2</v>
      </c>
      <c r="G11" s="10"/>
      <c r="H11" s="10"/>
      <c r="I11" s="10" t="s">
        <v>91</v>
      </c>
      <c r="J11" s="10" t="s">
        <v>72</v>
      </c>
      <c r="K11" s="77"/>
    </row>
    <row r="12" spans="1:11" ht="18" x14ac:dyDescent="0.35">
      <c r="A12" s="14">
        <v>6</v>
      </c>
      <c r="B12" s="14"/>
      <c r="C12" s="10">
        <v>881</v>
      </c>
      <c r="D12" s="10" t="s">
        <v>35</v>
      </c>
      <c r="E12" s="12">
        <v>46154</v>
      </c>
      <c r="F12" s="10" t="s">
        <v>120</v>
      </c>
      <c r="G12" s="10"/>
      <c r="H12" s="10"/>
      <c r="I12" s="10" t="s">
        <v>91</v>
      </c>
      <c r="J12" s="10" t="s">
        <v>23</v>
      </c>
      <c r="K12" s="76"/>
    </row>
    <row r="13" spans="1:11" ht="18" x14ac:dyDescent="0.35">
      <c r="A13" s="14">
        <v>7</v>
      </c>
      <c r="B13" s="14"/>
      <c r="C13" s="10">
        <v>889</v>
      </c>
      <c r="D13" s="75" t="s">
        <v>38</v>
      </c>
      <c r="E13" s="12">
        <v>46151</v>
      </c>
      <c r="F13" s="10" t="s">
        <v>120</v>
      </c>
      <c r="G13" s="10"/>
      <c r="H13" s="10"/>
      <c r="I13" s="75" t="s">
        <v>91</v>
      </c>
      <c r="J13" s="10" t="s">
        <v>30</v>
      </c>
      <c r="K13" s="77"/>
    </row>
    <row r="14" spans="1:11" ht="18" x14ac:dyDescent="0.35">
      <c r="A14" s="14">
        <v>8</v>
      </c>
      <c r="B14" s="14"/>
      <c r="C14" s="10">
        <v>890</v>
      </c>
      <c r="D14" s="10" t="s">
        <v>111</v>
      </c>
      <c r="E14" s="12">
        <v>46150</v>
      </c>
      <c r="F14" s="10">
        <v>2</v>
      </c>
      <c r="G14" s="10"/>
      <c r="H14" s="10"/>
      <c r="I14" s="10" t="s">
        <v>91</v>
      </c>
      <c r="J14" s="10" t="s">
        <v>110</v>
      </c>
      <c r="K14" s="77"/>
    </row>
    <row r="15" spans="1:11" ht="18" x14ac:dyDescent="0.35">
      <c r="A15" s="14">
        <v>9</v>
      </c>
      <c r="B15" s="14"/>
      <c r="C15" s="10" t="s">
        <v>119</v>
      </c>
      <c r="D15" s="10" t="s">
        <v>116</v>
      </c>
      <c r="E15" s="12">
        <v>46150</v>
      </c>
      <c r="F15" s="10" t="s">
        <v>120</v>
      </c>
      <c r="G15" s="10"/>
      <c r="H15" s="10"/>
      <c r="I15" s="10"/>
      <c r="J15" s="10" t="s">
        <v>97</v>
      </c>
      <c r="K15" s="77"/>
    </row>
    <row r="16" spans="1:11" ht="18" x14ac:dyDescent="0.35">
      <c r="A16" s="50">
        <v>10</v>
      </c>
      <c r="B16" s="50"/>
      <c r="C16" s="51"/>
      <c r="D16" s="52"/>
      <c r="E16" s="53"/>
      <c r="F16" s="51"/>
      <c r="G16" s="51"/>
      <c r="H16" s="51"/>
      <c r="I16" s="52"/>
      <c r="J16" s="52"/>
    </row>
    <row r="17" spans="1:10" ht="18" x14ac:dyDescent="0.35">
      <c r="A17" s="67"/>
      <c r="B17" s="68"/>
      <c r="C17" s="69"/>
      <c r="D17" s="70"/>
      <c r="E17" s="71" t="s">
        <v>89</v>
      </c>
      <c r="F17" s="69"/>
      <c r="G17" s="69"/>
      <c r="H17" s="69"/>
      <c r="I17" s="69"/>
      <c r="J17" s="72"/>
    </row>
    <row r="18" spans="1:10" ht="18" x14ac:dyDescent="0.35">
      <c r="A18" s="2"/>
      <c r="B18" s="2"/>
      <c r="C18" s="2"/>
      <c r="D18" s="2" t="s">
        <v>17</v>
      </c>
      <c r="E18" s="27" t="s">
        <v>4</v>
      </c>
      <c r="F18" s="3">
        <f>SUM(F7:F17)</f>
        <v>6</v>
      </c>
      <c r="G18" s="3">
        <f>SUM(G7:G17)</f>
        <v>0</v>
      </c>
      <c r="H18" s="2"/>
      <c r="I18" s="2"/>
      <c r="J18" s="2"/>
    </row>
    <row r="19" spans="1:10" ht="18" x14ac:dyDescent="0.35">
      <c r="A19" s="2"/>
      <c r="B19" s="2"/>
      <c r="C19" s="4"/>
      <c r="D19" s="4"/>
      <c r="E19" s="28"/>
      <c r="F19" s="4"/>
      <c r="G19" s="4"/>
      <c r="H19" s="4"/>
      <c r="I19" s="2"/>
      <c r="J19" s="2"/>
    </row>
    <row r="20" spans="1:10" x14ac:dyDescent="0.3">
      <c r="C20" s="4" t="s">
        <v>8</v>
      </c>
    </row>
    <row r="21" spans="1:10" x14ac:dyDescent="0.3">
      <c r="C21" s="6" t="s">
        <v>11</v>
      </c>
      <c r="D21" s="7"/>
      <c r="E21" s="30"/>
      <c r="F21" s="7"/>
      <c r="G21" s="7"/>
    </row>
    <row r="22" spans="1:10" x14ac:dyDescent="0.3">
      <c r="C22" s="6" t="s">
        <v>14</v>
      </c>
      <c r="D22" s="7"/>
      <c r="E22" s="30"/>
      <c r="F22" s="7"/>
      <c r="G22" s="7"/>
    </row>
    <row r="23" spans="1:10" x14ac:dyDescent="0.3">
      <c r="C23" s="6" t="s">
        <v>13</v>
      </c>
      <c r="D23" s="7"/>
      <c r="E23" s="30"/>
      <c r="F23" s="7"/>
      <c r="G23" s="7"/>
    </row>
    <row r="24" spans="1:10" x14ac:dyDescent="0.3">
      <c r="C24" s="6" t="s">
        <v>12</v>
      </c>
      <c r="D24" s="7"/>
      <c r="E24" s="30"/>
      <c r="F24" s="7"/>
      <c r="G24" s="7"/>
    </row>
    <row r="25" spans="1:10" x14ac:dyDescent="0.3">
      <c r="C25" s="5" t="s">
        <v>9</v>
      </c>
    </row>
    <row r="26" spans="1:10" x14ac:dyDescent="0.3">
      <c r="C26" s="5" t="s">
        <v>10</v>
      </c>
    </row>
  </sheetData>
  <sortState ref="C7:J15">
    <sortCondition ref="C7"/>
  </sortState>
  <customSheetViews>
    <customSheetView guid="{EE1AD20C-1831-49F6-BB76-A0057F1F46DC}" fitToPage="1" topLeftCell="A2">
      <selection activeCell="D13" sqref="D13"/>
      <pageMargins left="0.7" right="0.7" top="0.75" bottom="0.75" header="0.3" footer="0.3"/>
      <pageSetup scale="86" orientation="landscape" r:id="rId1"/>
    </customSheetView>
    <customSheetView guid="{764E197A-ED2B-44E8-AE74-A147CD840ADF}" fitToPage="1" topLeftCell="A2">
      <selection activeCell="D13" sqref="D13"/>
      <pageMargins left="0.7" right="0.7" top="0.75" bottom="0.75" header="0.3" footer="0.3"/>
      <pageSetup scale="86" orientation="landscape" r:id="rId2"/>
    </customSheetView>
    <customSheetView guid="{1616C24E-F38B-4944-BE1B-EE2D6946597D}" scale="94" fitToPage="1">
      <selection activeCell="F7" sqref="F7:F15"/>
      <pageMargins left="0.7" right="0.7" top="0.75" bottom="0.75" header="0.3" footer="0.3"/>
      <pageSetup scale="86" orientation="landscape" r:id="rId3"/>
    </customSheetView>
  </customSheetViews>
  <mergeCells count="1">
    <mergeCell ref="A5:H5"/>
  </mergeCells>
  <pageMargins left="0.7" right="0.7" top="0.75" bottom="0.75" header="0.3" footer="0.3"/>
  <pageSetup scale="86" orientation="landscape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topLeftCell="A4" workbookViewId="0">
      <selection activeCell="E10" sqref="E10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9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10" ht="18" x14ac:dyDescent="0.35">
      <c r="A1" s="2"/>
      <c r="B1" s="2"/>
      <c r="C1" s="2"/>
      <c r="D1" s="22"/>
      <c r="E1" s="2"/>
      <c r="F1" s="2"/>
      <c r="G1" s="2"/>
      <c r="H1" s="2"/>
      <c r="I1" s="2"/>
    </row>
    <row r="2" spans="1:10" ht="18" x14ac:dyDescent="0.35">
      <c r="A2" s="2"/>
      <c r="B2" s="2"/>
      <c r="C2" s="2"/>
      <c r="D2" s="22"/>
      <c r="E2" s="2"/>
      <c r="F2" s="2"/>
      <c r="G2" s="2"/>
      <c r="H2" s="2"/>
      <c r="I2" s="2"/>
    </row>
    <row r="3" spans="1:10" ht="18" x14ac:dyDescent="0.35">
      <c r="A3" s="2"/>
      <c r="B3" s="2"/>
      <c r="C3" s="2"/>
      <c r="D3" s="22"/>
      <c r="E3" s="2"/>
      <c r="F3" s="2"/>
      <c r="G3" s="2"/>
      <c r="H3" s="2"/>
      <c r="I3" s="2"/>
    </row>
    <row r="4" spans="1:10" ht="18" thickBot="1" x14ac:dyDescent="0.4">
      <c r="A4" s="1"/>
      <c r="B4" s="1"/>
      <c r="C4" s="1"/>
      <c r="D4" s="23"/>
      <c r="E4" s="1"/>
      <c r="F4" s="1"/>
      <c r="G4" s="1"/>
      <c r="H4" s="1"/>
      <c r="I4" s="1"/>
    </row>
    <row r="5" spans="1:10" ht="23.4" x14ac:dyDescent="0.45">
      <c r="A5" s="94" t="s">
        <v>143</v>
      </c>
      <c r="B5" s="95"/>
      <c r="C5" s="95"/>
      <c r="D5" s="95"/>
      <c r="E5" s="95"/>
      <c r="F5" s="95"/>
      <c r="G5" s="95"/>
      <c r="H5" s="15" t="s">
        <v>5</v>
      </c>
      <c r="I5" s="8" t="str">
        <f ca="1">CONCATENATE((MID(CELL("filename",I5),FIND("]",CELL("filename",I5))+1,255)),"/05/2026")</f>
        <v>11/05/2026</v>
      </c>
    </row>
    <row r="6" spans="1:10" ht="18.600000000000001" thickBot="1" x14ac:dyDescent="0.4">
      <c r="A6" s="16"/>
      <c r="B6" s="17" t="s">
        <v>16</v>
      </c>
      <c r="C6" s="17" t="s">
        <v>0</v>
      </c>
      <c r="D6" s="24" t="s">
        <v>15</v>
      </c>
      <c r="E6" s="17" t="s">
        <v>6</v>
      </c>
      <c r="F6" s="17" t="s">
        <v>3</v>
      </c>
      <c r="G6" s="17" t="s">
        <v>1</v>
      </c>
      <c r="H6" s="18" t="s">
        <v>7</v>
      </c>
      <c r="I6" s="19" t="s">
        <v>2</v>
      </c>
    </row>
    <row r="7" spans="1:10" ht="18" x14ac:dyDescent="0.35">
      <c r="A7" s="9">
        <v>1</v>
      </c>
      <c r="B7" s="84">
        <v>664</v>
      </c>
      <c r="C7" s="81" t="s">
        <v>29</v>
      </c>
      <c r="D7" s="12">
        <v>46156</v>
      </c>
      <c r="E7" s="10" t="s">
        <v>150</v>
      </c>
      <c r="F7" s="10"/>
      <c r="G7" s="10"/>
      <c r="H7" s="34">
        <v>32719283271929</v>
      </c>
      <c r="I7" s="10" t="s">
        <v>30</v>
      </c>
      <c r="J7" s="77"/>
    </row>
    <row r="8" spans="1:10" ht="18" x14ac:dyDescent="0.35">
      <c r="A8" s="14">
        <v>2</v>
      </c>
      <c r="B8" s="84">
        <v>665</v>
      </c>
      <c r="C8" s="82" t="s">
        <v>31</v>
      </c>
      <c r="D8" s="12">
        <v>46156</v>
      </c>
      <c r="E8" s="10" t="s">
        <v>120</v>
      </c>
      <c r="F8" s="10"/>
      <c r="G8" s="10"/>
      <c r="H8" s="83" t="s">
        <v>32</v>
      </c>
      <c r="I8" s="10" t="s">
        <v>30</v>
      </c>
      <c r="J8" s="77"/>
    </row>
    <row r="9" spans="1:10" ht="18" x14ac:dyDescent="0.35">
      <c r="A9" s="14">
        <v>3</v>
      </c>
      <c r="B9" s="84">
        <v>885</v>
      </c>
      <c r="C9" s="10" t="s">
        <v>51</v>
      </c>
      <c r="D9" s="12">
        <v>46155</v>
      </c>
      <c r="E9" s="10" t="s">
        <v>120</v>
      </c>
      <c r="F9" s="10"/>
      <c r="G9" s="10"/>
      <c r="H9" s="10">
        <v>3199466</v>
      </c>
      <c r="I9" s="10" t="s">
        <v>50</v>
      </c>
      <c r="J9" s="77"/>
    </row>
    <row r="10" spans="1:10" ht="18" x14ac:dyDescent="0.35">
      <c r="A10" s="14">
        <v>4</v>
      </c>
      <c r="B10" s="84">
        <v>865</v>
      </c>
      <c r="C10" s="10" t="s">
        <v>117</v>
      </c>
      <c r="D10" s="12">
        <v>46155</v>
      </c>
      <c r="E10" s="10" t="s">
        <v>120</v>
      </c>
      <c r="F10" s="10"/>
      <c r="G10" s="10"/>
      <c r="H10" s="10"/>
      <c r="I10" s="10" t="s">
        <v>118</v>
      </c>
      <c r="J10" s="77"/>
    </row>
    <row r="11" spans="1:10" ht="18" x14ac:dyDescent="0.35">
      <c r="A11" s="14">
        <v>5</v>
      </c>
      <c r="B11" s="84">
        <v>868</v>
      </c>
      <c r="C11" s="10" t="s">
        <v>142</v>
      </c>
      <c r="D11" s="12">
        <v>46154</v>
      </c>
      <c r="E11" s="10">
        <v>2</v>
      </c>
      <c r="F11" s="10"/>
      <c r="G11" s="10"/>
      <c r="H11" s="10"/>
      <c r="I11" s="10" t="s">
        <v>134</v>
      </c>
      <c r="J11" s="77"/>
    </row>
    <row r="12" spans="1:10" ht="18" x14ac:dyDescent="0.35">
      <c r="A12" s="14">
        <v>6</v>
      </c>
      <c r="B12" s="84">
        <v>309</v>
      </c>
      <c r="C12" s="10" t="s">
        <v>140</v>
      </c>
      <c r="D12" s="79">
        <v>46153</v>
      </c>
      <c r="E12" s="10">
        <v>2</v>
      </c>
      <c r="F12" s="59"/>
      <c r="G12" s="59"/>
      <c r="H12" s="80" t="s">
        <v>91</v>
      </c>
      <c r="I12" s="10" t="s">
        <v>141</v>
      </c>
      <c r="J12" s="77"/>
    </row>
    <row r="13" spans="1:10" ht="18" x14ac:dyDescent="0.35">
      <c r="A13" s="14">
        <v>7</v>
      </c>
      <c r="B13" s="14"/>
      <c r="C13" s="21"/>
      <c r="D13" s="26"/>
      <c r="E13" s="14"/>
      <c r="F13" s="14"/>
      <c r="G13" s="14"/>
      <c r="H13" s="14"/>
      <c r="I13" s="14"/>
    </row>
    <row r="14" spans="1:10" ht="18" x14ac:dyDescent="0.35">
      <c r="A14" s="14">
        <v>8</v>
      </c>
      <c r="B14" s="10"/>
      <c r="C14" s="11"/>
      <c r="D14" s="12"/>
      <c r="E14" s="10"/>
      <c r="F14" s="10"/>
      <c r="G14" s="10"/>
      <c r="H14" s="13"/>
      <c r="I14" s="11"/>
    </row>
    <row r="15" spans="1:10" ht="18" x14ac:dyDescent="0.35">
      <c r="A15" s="14">
        <v>9</v>
      </c>
      <c r="B15" s="10"/>
      <c r="C15" s="11"/>
      <c r="D15" s="12"/>
      <c r="E15" s="10"/>
      <c r="F15" s="10"/>
      <c r="G15" s="10"/>
      <c r="H15" s="11"/>
      <c r="I15" s="11"/>
    </row>
    <row r="16" spans="1:10" ht="18" x14ac:dyDescent="0.35">
      <c r="A16" s="14">
        <v>10</v>
      </c>
      <c r="B16" s="10"/>
      <c r="C16" s="11"/>
      <c r="D16" s="12"/>
      <c r="E16" s="10"/>
      <c r="F16" s="10"/>
      <c r="G16" s="10"/>
      <c r="H16" s="11"/>
      <c r="I16" s="11"/>
    </row>
    <row r="17" spans="1:9" ht="18" x14ac:dyDescent="0.35">
      <c r="A17" s="14">
        <v>11</v>
      </c>
      <c r="B17" s="10"/>
      <c r="C17" s="11"/>
      <c r="D17" s="12"/>
      <c r="E17" s="10"/>
      <c r="F17" s="10"/>
      <c r="G17" s="10"/>
      <c r="H17" s="10"/>
      <c r="I17" s="11"/>
    </row>
    <row r="18" spans="1:9" ht="18" x14ac:dyDescent="0.35">
      <c r="A18" s="14">
        <v>12</v>
      </c>
      <c r="B18" s="10"/>
      <c r="C18" s="11"/>
      <c r="D18" s="12"/>
      <c r="E18" s="10"/>
      <c r="F18" s="10"/>
      <c r="G18" s="10"/>
      <c r="H18" s="10"/>
      <c r="I18" s="11"/>
    </row>
    <row r="19" spans="1:9" ht="18" x14ac:dyDescent="0.35">
      <c r="A19" s="14">
        <v>13</v>
      </c>
      <c r="B19" s="10"/>
      <c r="C19" s="11"/>
      <c r="D19" s="12"/>
      <c r="E19" s="10"/>
      <c r="F19" s="10"/>
      <c r="G19" s="10"/>
      <c r="H19" s="10"/>
      <c r="I19" s="11"/>
    </row>
    <row r="20" spans="1:9" ht="18" x14ac:dyDescent="0.35">
      <c r="A20" s="14">
        <v>14</v>
      </c>
      <c r="B20" s="10"/>
      <c r="C20" s="11"/>
      <c r="D20" s="12"/>
      <c r="E20" s="10"/>
      <c r="F20" s="10"/>
      <c r="G20" s="10"/>
      <c r="H20" s="10"/>
      <c r="I20" s="11"/>
    </row>
    <row r="21" spans="1:9" ht="18" x14ac:dyDescent="0.35">
      <c r="A21" s="14">
        <v>15</v>
      </c>
      <c r="B21" s="10"/>
      <c r="C21" s="11"/>
      <c r="D21" s="12"/>
      <c r="E21" s="10"/>
      <c r="F21" s="10"/>
      <c r="G21" s="10"/>
      <c r="H21" s="10"/>
      <c r="I21" s="11"/>
    </row>
    <row r="22" spans="1:9" ht="18" x14ac:dyDescent="0.35">
      <c r="A22" s="14">
        <v>16</v>
      </c>
      <c r="B22" s="10"/>
      <c r="C22" s="11"/>
      <c r="D22" s="12"/>
      <c r="E22" s="10"/>
      <c r="F22" s="10"/>
      <c r="G22" s="10"/>
      <c r="H22" s="10"/>
      <c r="I22" s="11"/>
    </row>
    <row r="23" spans="1:9" ht="18" x14ac:dyDescent="0.35">
      <c r="A23" s="14">
        <v>17</v>
      </c>
      <c r="B23" s="10"/>
      <c r="C23" s="11"/>
      <c r="D23" s="12"/>
      <c r="E23" s="10"/>
      <c r="F23" s="10"/>
      <c r="G23" s="10"/>
      <c r="H23" s="10"/>
      <c r="I23" s="11"/>
    </row>
    <row r="24" spans="1:9" ht="18" x14ac:dyDescent="0.35">
      <c r="A24" s="14">
        <v>18</v>
      </c>
      <c r="B24" s="10"/>
      <c r="C24" s="11"/>
      <c r="D24" s="12"/>
      <c r="E24" s="10"/>
      <c r="F24" s="10"/>
      <c r="G24" s="10"/>
      <c r="H24" s="10"/>
      <c r="I24" s="11"/>
    </row>
    <row r="25" spans="1:9" ht="18" x14ac:dyDescent="0.35">
      <c r="A25" s="14">
        <v>19</v>
      </c>
      <c r="B25" s="10"/>
      <c r="C25" s="11"/>
      <c r="D25" s="12"/>
      <c r="E25" s="10"/>
      <c r="F25" s="10"/>
      <c r="G25" s="10"/>
      <c r="H25" s="10"/>
      <c r="I25" s="11"/>
    </row>
    <row r="26" spans="1:9" ht="18" x14ac:dyDescent="0.35">
      <c r="A26" s="14">
        <v>20</v>
      </c>
      <c r="B26" s="10"/>
      <c r="C26" s="11"/>
      <c r="D26" s="12"/>
      <c r="E26" s="10"/>
      <c r="F26" s="10"/>
      <c r="G26" s="10"/>
      <c r="H26" s="10"/>
      <c r="I26" s="11"/>
    </row>
    <row r="27" spans="1:9" ht="18" x14ac:dyDescent="0.35">
      <c r="A27" s="2"/>
      <c r="B27" s="2"/>
      <c r="C27" s="2" t="s">
        <v>17</v>
      </c>
      <c r="D27" s="27" t="s">
        <v>4</v>
      </c>
      <c r="E27" s="3">
        <f>SUM(E7:E26)</f>
        <v>4</v>
      </c>
      <c r="F27" s="3">
        <f>SUM(F7:F26)</f>
        <v>0</v>
      </c>
      <c r="G27" s="2"/>
      <c r="H27" s="2"/>
      <c r="I27" s="2"/>
    </row>
    <row r="28" spans="1:9" ht="18" x14ac:dyDescent="0.35">
      <c r="A28" s="2"/>
      <c r="B28" s="4"/>
      <c r="C28" s="4"/>
      <c r="D28" s="28"/>
      <c r="E28" s="4"/>
      <c r="F28" s="4"/>
      <c r="G28" s="4"/>
      <c r="H28" s="2"/>
      <c r="I28" s="2"/>
    </row>
    <row r="29" spans="1:9" x14ac:dyDescent="0.3">
      <c r="B29" s="4" t="s">
        <v>8</v>
      </c>
    </row>
    <row r="30" spans="1:9" x14ac:dyDescent="0.3">
      <c r="B30" s="6" t="s">
        <v>11</v>
      </c>
      <c r="C30" s="7"/>
      <c r="D30" s="30"/>
      <c r="E30" s="7"/>
      <c r="F30" s="7"/>
    </row>
    <row r="31" spans="1:9" x14ac:dyDescent="0.3">
      <c r="B31" s="6" t="s">
        <v>14</v>
      </c>
      <c r="C31" s="7"/>
      <c r="D31" s="30"/>
      <c r="E31" s="7"/>
      <c r="F31" s="7"/>
    </row>
    <row r="32" spans="1:9" x14ac:dyDescent="0.3">
      <c r="B32" s="6" t="s">
        <v>13</v>
      </c>
      <c r="C32" s="7"/>
      <c r="D32" s="30"/>
      <c r="E32" s="7"/>
      <c r="F32" s="7"/>
    </row>
    <row r="33" spans="2:6" x14ac:dyDescent="0.3">
      <c r="B33" s="6" t="s">
        <v>12</v>
      </c>
      <c r="C33" s="7"/>
      <c r="D33" s="30"/>
      <c r="E33" s="7"/>
      <c r="F33" s="7"/>
    </row>
    <row r="34" spans="2:6" x14ac:dyDescent="0.3">
      <c r="B34" s="5" t="s">
        <v>9</v>
      </c>
    </row>
    <row r="35" spans="2:6" x14ac:dyDescent="0.3">
      <c r="B35" s="5" t="s">
        <v>10</v>
      </c>
    </row>
  </sheetData>
  <customSheetViews>
    <customSheetView guid="{EE1AD20C-1831-49F6-BB76-A0057F1F46DC}" fitToPage="1">
      <selection activeCell="H9" sqref="H9"/>
      <pageMargins left="0.7" right="0.7" top="0.75" bottom="0.75" header="0.3" footer="0.3"/>
      <pageSetup scale="86" orientation="landscape" r:id="rId1"/>
    </customSheetView>
    <customSheetView guid="{764E197A-ED2B-44E8-AE74-A147CD840ADF}" fitToPage="1">
      <selection activeCell="H9" sqref="H9"/>
      <pageMargins left="0.7" right="0.7" top="0.75" bottom="0.75" header="0.3" footer="0.3"/>
      <pageSetup scale="86" orientation="landscape" r:id="rId2"/>
    </customSheetView>
    <customSheetView guid="{1616C24E-F38B-4944-BE1B-EE2D6946597D}" fitToPage="1" topLeftCell="A4">
      <selection activeCell="E10" sqref="E10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hyperlinks>
    <hyperlink ref="C7" r:id="rId4" display="https://url.au.m.mimecastprotect.com/s/N_UfCJyoq9CqMvJBCVfxSy-VpR?domain=ms.gu"/>
  </hyperlinks>
  <pageMargins left="0.7" right="0.7" top="0.75" bottom="0.75" header="0.3" footer="0.3"/>
  <pageSetup scale="86" orientation="landscape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workbookViewId="0">
      <selection activeCell="C18" sqref="C18"/>
    </sheetView>
  </sheetViews>
  <sheetFormatPr defaultRowHeight="14.4" x14ac:dyDescent="0.3"/>
  <cols>
    <col min="2" max="2" width="15.6640625" customWidth="1"/>
    <col min="3" max="3" width="33" customWidth="1"/>
    <col min="4" max="4" width="16.88671875" style="29" customWidth="1"/>
    <col min="5" max="5" width="8.33203125" customWidth="1"/>
    <col min="6" max="6" width="8" customWidth="1"/>
    <col min="7" max="7" width="9.33203125" customWidth="1"/>
    <col min="8" max="8" width="23.6640625" customWidth="1"/>
    <col min="9" max="9" width="24.5546875" customWidth="1"/>
  </cols>
  <sheetData>
    <row r="1" spans="1:10" ht="18" x14ac:dyDescent="0.35">
      <c r="A1" s="2"/>
      <c r="B1" s="2"/>
      <c r="C1" s="2"/>
      <c r="D1" s="22"/>
      <c r="E1" s="2"/>
      <c r="F1" s="2"/>
      <c r="G1" s="2"/>
      <c r="H1" s="2"/>
      <c r="I1" s="2"/>
    </row>
    <row r="2" spans="1:10" ht="18" x14ac:dyDescent="0.35">
      <c r="A2" s="2"/>
      <c r="B2" s="2"/>
      <c r="C2" s="2"/>
      <c r="D2" s="22"/>
      <c r="E2" s="2"/>
      <c r="F2" s="2"/>
      <c r="G2" s="2"/>
      <c r="H2" s="2"/>
      <c r="I2" s="2"/>
    </row>
    <row r="3" spans="1:10" ht="18" x14ac:dyDescent="0.35">
      <c r="A3" s="2"/>
      <c r="B3" s="2"/>
      <c r="C3" s="2"/>
      <c r="D3" s="22"/>
      <c r="E3" s="2"/>
      <c r="F3" s="2"/>
      <c r="G3" s="2"/>
      <c r="H3" s="2"/>
      <c r="I3" s="2"/>
    </row>
    <row r="4" spans="1:10" ht="18" thickBot="1" x14ac:dyDescent="0.4">
      <c r="A4" s="1"/>
      <c r="B4" s="1"/>
      <c r="C4" s="1"/>
      <c r="D4" s="23"/>
      <c r="E4" s="1"/>
      <c r="F4" s="1"/>
      <c r="G4" s="1"/>
      <c r="H4" s="1"/>
      <c r="I4" s="1"/>
    </row>
    <row r="5" spans="1:10" ht="23.4" x14ac:dyDescent="0.45">
      <c r="A5" s="94" t="s">
        <v>18</v>
      </c>
      <c r="B5" s="95"/>
      <c r="C5" s="95"/>
      <c r="D5" s="95"/>
      <c r="E5" s="95"/>
      <c r="F5" s="95"/>
      <c r="G5" s="95"/>
      <c r="H5" s="15" t="s">
        <v>5</v>
      </c>
      <c r="I5" s="8" t="str">
        <f ca="1">CONCATENATE((MID(CELL("filename",I5),FIND("]",CELL("filename",I5))+1,255)),"/05/2026")</f>
        <v>13/05/2026</v>
      </c>
    </row>
    <row r="6" spans="1:10" ht="18.600000000000001" thickBot="1" x14ac:dyDescent="0.4">
      <c r="A6" s="16"/>
      <c r="B6" s="48" t="s">
        <v>16</v>
      </c>
      <c r="C6" s="48" t="s">
        <v>0</v>
      </c>
      <c r="D6" s="49" t="s">
        <v>15</v>
      </c>
      <c r="E6" s="48" t="s">
        <v>6</v>
      </c>
      <c r="F6" s="48" t="s">
        <v>3</v>
      </c>
      <c r="G6" s="48" t="s">
        <v>1</v>
      </c>
      <c r="H6" s="50" t="s">
        <v>7</v>
      </c>
      <c r="I6" s="85" t="s">
        <v>2</v>
      </c>
    </row>
    <row r="7" spans="1:10" ht="18" x14ac:dyDescent="0.35">
      <c r="A7" s="9">
        <v>1</v>
      </c>
      <c r="B7" s="10" t="s">
        <v>158</v>
      </c>
      <c r="C7" s="10" t="s">
        <v>146</v>
      </c>
      <c r="D7" s="12">
        <v>46153</v>
      </c>
      <c r="E7" s="10">
        <v>2</v>
      </c>
      <c r="F7" s="10"/>
      <c r="G7" s="10"/>
      <c r="H7" s="10"/>
      <c r="I7" s="10" t="s">
        <v>145</v>
      </c>
      <c r="J7" s="33"/>
    </row>
    <row r="8" spans="1:10" ht="18" x14ac:dyDescent="0.35">
      <c r="A8" s="14">
        <v>2</v>
      </c>
      <c r="B8" s="10" t="s">
        <v>153</v>
      </c>
      <c r="C8" s="10" t="s">
        <v>148</v>
      </c>
      <c r="D8" s="12">
        <v>46154</v>
      </c>
      <c r="E8" s="10">
        <v>2</v>
      </c>
      <c r="F8" s="10"/>
      <c r="G8" s="10"/>
      <c r="H8" s="10"/>
      <c r="I8" s="10" t="s">
        <v>72</v>
      </c>
    </row>
    <row r="9" spans="1:10" ht="18" x14ac:dyDescent="0.35">
      <c r="A9" s="14">
        <v>3</v>
      </c>
      <c r="B9" s="10" t="s">
        <v>154</v>
      </c>
      <c r="C9" s="93" t="s">
        <v>29</v>
      </c>
      <c r="D9" s="88">
        <v>46156</v>
      </c>
      <c r="E9" s="89" t="s">
        <v>159</v>
      </c>
      <c r="F9" s="10"/>
      <c r="G9" s="10"/>
      <c r="H9" s="86">
        <v>32719283271929</v>
      </c>
      <c r="I9" s="10" t="s">
        <v>30</v>
      </c>
    </row>
    <row r="10" spans="1:10" ht="18" x14ac:dyDescent="0.35">
      <c r="A10" s="14">
        <v>4</v>
      </c>
      <c r="B10" s="10" t="s">
        <v>155</v>
      </c>
      <c r="C10" s="89" t="s">
        <v>31</v>
      </c>
      <c r="D10" s="88">
        <v>46156</v>
      </c>
      <c r="E10" s="89" t="s">
        <v>103</v>
      </c>
      <c r="F10" s="10"/>
      <c r="G10" s="10"/>
      <c r="H10" s="75" t="s">
        <v>32</v>
      </c>
      <c r="I10" s="10" t="s">
        <v>30</v>
      </c>
    </row>
    <row r="11" spans="1:10" ht="18" x14ac:dyDescent="0.35">
      <c r="A11" s="14">
        <v>5</v>
      </c>
      <c r="B11" s="10" t="s">
        <v>157</v>
      </c>
      <c r="C11" s="89" t="s">
        <v>66</v>
      </c>
      <c r="D11" s="88">
        <v>46154</v>
      </c>
      <c r="E11" s="89" t="s">
        <v>103</v>
      </c>
      <c r="F11" s="10"/>
      <c r="G11" s="10"/>
      <c r="H11" s="10" t="s">
        <v>67</v>
      </c>
      <c r="I11" s="10" t="s">
        <v>68</v>
      </c>
    </row>
    <row r="12" spans="1:10" ht="18" x14ac:dyDescent="0.35">
      <c r="A12" s="14">
        <v>6</v>
      </c>
      <c r="B12" s="10">
        <v>206</v>
      </c>
      <c r="C12" s="89" t="s">
        <v>147</v>
      </c>
      <c r="D12" s="88">
        <v>46157</v>
      </c>
      <c r="E12" s="89" t="s">
        <v>151</v>
      </c>
      <c r="F12" s="10"/>
      <c r="G12" s="10"/>
      <c r="H12" s="10"/>
      <c r="I12" s="10" t="s">
        <v>144</v>
      </c>
    </row>
    <row r="13" spans="1:10" ht="18" x14ac:dyDescent="0.35">
      <c r="A13" s="14">
        <v>7</v>
      </c>
      <c r="B13" s="10">
        <v>648</v>
      </c>
      <c r="C13" s="89" t="s">
        <v>94</v>
      </c>
      <c r="D13" s="88">
        <v>46157</v>
      </c>
      <c r="E13" s="89" t="s">
        <v>103</v>
      </c>
      <c r="F13" s="10"/>
      <c r="G13" s="10"/>
      <c r="H13" s="10" t="s">
        <v>95</v>
      </c>
      <c r="I13" s="10" t="s">
        <v>68</v>
      </c>
    </row>
    <row r="14" spans="1:10" ht="18" x14ac:dyDescent="0.35">
      <c r="A14" s="14">
        <v>8</v>
      </c>
      <c r="B14" s="10" t="s">
        <v>152</v>
      </c>
      <c r="C14" s="89" t="s">
        <v>149</v>
      </c>
      <c r="D14" s="88">
        <v>46154</v>
      </c>
      <c r="E14" s="89" t="s">
        <v>103</v>
      </c>
      <c r="F14" s="10"/>
      <c r="G14" s="10"/>
      <c r="H14" s="10"/>
      <c r="I14" s="10" t="s">
        <v>72</v>
      </c>
    </row>
    <row r="15" spans="1:10" ht="18" x14ac:dyDescent="0.35">
      <c r="A15" s="14">
        <v>9</v>
      </c>
      <c r="B15" s="10" t="s">
        <v>156</v>
      </c>
      <c r="C15" s="89" t="s">
        <v>24</v>
      </c>
      <c r="D15" s="88">
        <v>46156</v>
      </c>
      <c r="E15" s="89" t="s">
        <v>103</v>
      </c>
      <c r="F15" s="10"/>
      <c r="G15" s="10"/>
      <c r="H15" s="87" t="s">
        <v>25</v>
      </c>
      <c r="I15" s="10" t="s">
        <v>26</v>
      </c>
    </row>
    <row r="16" spans="1:10" ht="18" x14ac:dyDescent="0.35">
      <c r="A16" s="14">
        <v>10</v>
      </c>
      <c r="B16" s="91"/>
      <c r="C16" s="91"/>
      <c r="D16" s="92"/>
      <c r="E16" s="91"/>
      <c r="F16" s="91"/>
      <c r="G16" s="91"/>
      <c r="H16" s="91"/>
      <c r="I16" s="91"/>
    </row>
    <row r="17" spans="1:9" ht="18" x14ac:dyDescent="0.35">
      <c r="A17" s="14">
        <v>11</v>
      </c>
      <c r="B17" s="91"/>
      <c r="C17" s="91"/>
      <c r="D17" s="92"/>
      <c r="E17" s="91"/>
      <c r="F17" s="91"/>
      <c r="G17" s="91"/>
      <c r="H17" s="91"/>
      <c r="I17" s="91"/>
    </row>
    <row r="18" spans="1:9" ht="18" x14ac:dyDescent="0.35">
      <c r="A18" s="14">
        <v>12</v>
      </c>
      <c r="B18" s="10"/>
      <c r="C18" s="11"/>
      <c r="D18" s="12"/>
      <c r="E18" s="10"/>
      <c r="F18" s="10"/>
      <c r="G18" s="10"/>
      <c r="H18" s="10"/>
      <c r="I18" s="11"/>
    </row>
    <row r="19" spans="1:9" ht="18" x14ac:dyDescent="0.35">
      <c r="A19" s="14">
        <v>13</v>
      </c>
      <c r="B19" s="10"/>
      <c r="C19" s="11"/>
      <c r="D19" s="12"/>
      <c r="E19" s="10"/>
      <c r="F19" s="10"/>
      <c r="G19" s="10"/>
      <c r="H19" s="10"/>
      <c r="I19" s="11"/>
    </row>
    <row r="20" spans="1:9" ht="18" x14ac:dyDescent="0.35">
      <c r="A20" s="14">
        <v>14</v>
      </c>
      <c r="B20" s="10"/>
      <c r="C20" s="11"/>
      <c r="D20" s="12"/>
      <c r="E20" s="10"/>
      <c r="F20" s="10"/>
      <c r="G20" s="10"/>
      <c r="H20" s="10"/>
      <c r="I20" s="11"/>
    </row>
    <row r="21" spans="1:9" ht="18" x14ac:dyDescent="0.35">
      <c r="A21" s="14">
        <v>15</v>
      </c>
      <c r="B21" s="10"/>
      <c r="C21" s="11"/>
      <c r="D21" s="12"/>
      <c r="E21" s="10"/>
      <c r="F21" s="10"/>
      <c r="G21" s="10"/>
      <c r="H21" s="10"/>
      <c r="I21" s="11"/>
    </row>
    <row r="22" spans="1:9" ht="18" x14ac:dyDescent="0.35">
      <c r="A22" s="14">
        <v>16</v>
      </c>
      <c r="B22" s="10"/>
      <c r="C22" s="11"/>
      <c r="D22" s="12"/>
      <c r="E22" s="10"/>
      <c r="F22" s="10"/>
      <c r="G22" s="10"/>
      <c r="H22" s="10"/>
      <c r="I22" s="11"/>
    </row>
    <row r="23" spans="1:9" ht="18" x14ac:dyDescent="0.35">
      <c r="A23" s="14">
        <v>17</v>
      </c>
      <c r="B23" s="10"/>
      <c r="C23" s="11"/>
      <c r="D23" s="12"/>
      <c r="E23" s="10"/>
      <c r="F23" s="10"/>
      <c r="G23" s="10"/>
      <c r="H23" s="10"/>
      <c r="I23" s="11"/>
    </row>
    <row r="24" spans="1:9" ht="18" x14ac:dyDescent="0.35">
      <c r="A24" s="14">
        <v>18</v>
      </c>
      <c r="B24" s="10"/>
      <c r="C24" s="11"/>
      <c r="D24" s="12"/>
      <c r="E24" s="10"/>
      <c r="F24" s="10"/>
      <c r="G24" s="10"/>
      <c r="H24" s="10"/>
      <c r="I24" s="11"/>
    </row>
    <row r="25" spans="1:9" ht="18" x14ac:dyDescent="0.35">
      <c r="A25" s="14">
        <v>19</v>
      </c>
      <c r="B25" s="10"/>
      <c r="C25" s="11"/>
      <c r="D25" s="12"/>
      <c r="E25" s="10"/>
      <c r="F25" s="10"/>
      <c r="G25" s="10"/>
      <c r="H25" s="10"/>
      <c r="I25" s="11"/>
    </row>
    <row r="26" spans="1:9" ht="18" x14ac:dyDescent="0.35">
      <c r="A26" s="14">
        <v>20</v>
      </c>
      <c r="B26" s="10"/>
      <c r="C26" s="11"/>
      <c r="D26" s="12"/>
      <c r="E26" s="10"/>
      <c r="F26" s="10"/>
      <c r="G26" s="10"/>
      <c r="H26" s="10"/>
      <c r="I26" s="11"/>
    </row>
    <row r="27" spans="1:9" ht="18" x14ac:dyDescent="0.35">
      <c r="A27" s="2"/>
      <c r="B27" s="2"/>
      <c r="C27" s="2" t="s">
        <v>17</v>
      </c>
      <c r="D27" s="27" t="s">
        <v>4</v>
      </c>
      <c r="E27" s="3">
        <f>SUM(E7:E26)</f>
        <v>4</v>
      </c>
      <c r="F27" s="3">
        <f>SUM(F7:F26)</f>
        <v>0</v>
      </c>
      <c r="G27" s="2"/>
      <c r="H27" s="2"/>
      <c r="I27" s="2"/>
    </row>
    <row r="28" spans="1:9" ht="18" x14ac:dyDescent="0.35">
      <c r="A28" s="2"/>
      <c r="B28" s="4"/>
      <c r="C28" s="4"/>
      <c r="D28" s="28"/>
      <c r="E28" s="4"/>
      <c r="F28" s="4"/>
      <c r="G28" s="4"/>
      <c r="H28" s="2"/>
      <c r="I28" s="2"/>
    </row>
    <row r="29" spans="1:9" x14ac:dyDescent="0.3">
      <c r="B29" s="4" t="s">
        <v>8</v>
      </c>
    </row>
    <row r="30" spans="1:9" x14ac:dyDescent="0.3">
      <c r="B30" s="6" t="s">
        <v>11</v>
      </c>
      <c r="C30" s="7"/>
      <c r="D30" s="30"/>
      <c r="E30" s="7"/>
      <c r="F30" s="7"/>
    </row>
    <row r="31" spans="1:9" x14ac:dyDescent="0.3">
      <c r="B31" s="6" t="s">
        <v>14</v>
      </c>
      <c r="C31" s="7"/>
      <c r="D31" s="30"/>
      <c r="E31" s="7"/>
      <c r="F31" s="7"/>
    </row>
    <row r="32" spans="1:9" x14ac:dyDescent="0.3">
      <c r="B32" s="6" t="s">
        <v>13</v>
      </c>
      <c r="C32" s="7"/>
      <c r="D32" s="30"/>
      <c r="E32" s="7"/>
      <c r="F32" s="7"/>
    </row>
    <row r="33" spans="2:6" x14ac:dyDescent="0.3">
      <c r="B33" s="6" t="s">
        <v>12</v>
      </c>
      <c r="C33" s="7"/>
      <c r="D33" s="30"/>
      <c r="E33" s="7"/>
      <c r="F33" s="7"/>
    </row>
    <row r="34" spans="2:6" x14ac:dyDescent="0.3">
      <c r="B34" s="5" t="s">
        <v>9</v>
      </c>
    </row>
    <row r="35" spans="2:6" x14ac:dyDescent="0.3">
      <c r="B35" s="5" t="s">
        <v>10</v>
      </c>
    </row>
  </sheetData>
  <sortState ref="B7:I11">
    <sortCondition ref="B7"/>
  </sortState>
  <customSheetViews>
    <customSheetView guid="{EE1AD20C-1831-49F6-BB76-A0057F1F46DC}" fitToPage="1" topLeftCell="A2">
      <selection activeCell="B8" sqref="B8:I8"/>
      <pageMargins left="0.7" right="0.7" top="0.75" bottom="0.75" header="0.3" footer="0.3"/>
      <pageSetup scale="86" orientation="landscape" r:id="rId1"/>
    </customSheetView>
    <customSheetView guid="{764E197A-ED2B-44E8-AE74-A147CD840ADF}" fitToPage="1" topLeftCell="A2">
      <selection activeCell="B8" sqref="B8:I8"/>
      <pageMargins left="0.7" right="0.7" top="0.75" bottom="0.75" header="0.3" footer="0.3"/>
      <pageSetup scale="86" orientation="landscape" r:id="rId2"/>
    </customSheetView>
    <customSheetView guid="{1616C24E-F38B-4944-BE1B-EE2D6946597D}" fitToPage="1">
      <selection activeCell="C18" sqref="C18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topLeftCell="A5" workbookViewId="0">
      <selection activeCell="I15" sqref="I15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9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10" ht="18" x14ac:dyDescent="0.35">
      <c r="A1" s="2"/>
      <c r="B1" s="2"/>
      <c r="C1" s="2"/>
      <c r="D1" s="22"/>
      <c r="E1" s="2"/>
      <c r="F1" s="2"/>
      <c r="G1" s="2"/>
      <c r="H1" s="2"/>
      <c r="I1" s="2"/>
    </row>
    <row r="2" spans="1:10" ht="18" x14ac:dyDescent="0.35">
      <c r="A2" s="2"/>
      <c r="B2" s="2"/>
      <c r="C2" s="2"/>
      <c r="D2" s="22"/>
      <c r="E2" s="2"/>
      <c r="F2" s="2"/>
      <c r="G2" s="2"/>
      <c r="H2" s="2"/>
      <c r="I2" s="2"/>
    </row>
    <row r="3" spans="1:10" ht="18" x14ac:dyDescent="0.35">
      <c r="A3" s="2"/>
      <c r="B3" s="2"/>
      <c r="C3" s="2"/>
      <c r="D3" s="22"/>
      <c r="E3" s="2"/>
      <c r="F3" s="2"/>
      <c r="G3" s="2"/>
      <c r="H3" s="2"/>
      <c r="I3" s="2"/>
    </row>
    <row r="4" spans="1:10" ht="18" thickBot="1" x14ac:dyDescent="0.4">
      <c r="A4" s="1"/>
      <c r="B4" s="1"/>
      <c r="C4" s="1"/>
      <c r="D4" s="23"/>
      <c r="E4" s="1"/>
      <c r="F4" s="1"/>
      <c r="G4" s="1"/>
      <c r="H4" s="1"/>
      <c r="I4" s="1"/>
    </row>
    <row r="5" spans="1:10" ht="23.4" x14ac:dyDescent="0.45">
      <c r="A5" s="94" t="s">
        <v>18</v>
      </c>
      <c r="B5" s="95"/>
      <c r="C5" s="95"/>
      <c r="D5" s="95"/>
      <c r="E5" s="95"/>
      <c r="F5" s="95"/>
      <c r="G5" s="95"/>
      <c r="H5" s="15" t="s">
        <v>5</v>
      </c>
      <c r="I5" s="8" t="str">
        <f ca="1">CONCATENATE((MID(CELL("filename",I5),FIND("]",CELL("filename",I5))+1,255)),"/05/2026")</f>
        <v>15/05/2026</v>
      </c>
    </row>
    <row r="6" spans="1:10" ht="18.600000000000001" thickBot="1" x14ac:dyDescent="0.4">
      <c r="A6" s="16"/>
      <c r="B6" s="17" t="s">
        <v>16</v>
      </c>
      <c r="C6" s="17" t="s">
        <v>0</v>
      </c>
      <c r="D6" s="24" t="s">
        <v>15</v>
      </c>
      <c r="E6" s="17" t="s">
        <v>6</v>
      </c>
      <c r="F6" s="17" t="s">
        <v>3</v>
      </c>
      <c r="G6" s="17" t="s">
        <v>1</v>
      </c>
      <c r="H6" s="18" t="s">
        <v>7</v>
      </c>
      <c r="I6" s="19" t="s">
        <v>2</v>
      </c>
    </row>
    <row r="7" spans="1:10" ht="18" x14ac:dyDescent="0.35">
      <c r="A7" s="9">
        <v>1</v>
      </c>
      <c r="B7" s="9" t="s">
        <v>19</v>
      </c>
      <c r="C7" s="20" t="s">
        <v>22</v>
      </c>
      <c r="D7" s="25">
        <v>46160</v>
      </c>
      <c r="E7" s="9">
        <v>2</v>
      </c>
      <c r="F7" s="9"/>
      <c r="G7" s="9"/>
      <c r="H7" s="9">
        <v>3060452</v>
      </c>
      <c r="I7" s="9" t="s">
        <v>23</v>
      </c>
      <c r="J7" s="33" t="s">
        <v>28</v>
      </c>
    </row>
    <row r="8" spans="1:10" ht="18" x14ac:dyDescent="0.35">
      <c r="A8" s="14">
        <v>2</v>
      </c>
      <c r="B8" s="9" t="s">
        <v>19</v>
      </c>
      <c r="C8" s="39" t="s">
        <v>39</v>
      </c>
      <c r="D8" s="26">
        <v>46160</v>
      </c>
      <c r="E8" s="14">
        <v>2</v>
      </c>
      <c r="F8" s="14"/>
      <c r="G8" s="14"/>
      <c r="H8" s="14"/>
      <c r="I8" s="14" t="s">
        <v>40</v>
      </c>
    </row>
    <row r="9" spans="1:10" ht="18" x14ac:dyDescent="0.35">
      <c r="A9" s="14">
        <v>3</v>
      </c>
      <c r="B9" s="9" t="s">
        <v>19</v>
      </c>
      <c r="C9" s="14" t="s">
        <v>137</v>
      </c>
      <c r="D9" s="26">
        <v>46160</v>
      </c>
      <c r="E9" s="14" t="s">
        <v>164</v>
      </c>
      <c r="F9" s="14"/>
      <c r="G9" s="14"/>
      <c r="H9" s="14" t="s">
        <v>138</v>
      </c>
      <c r="I9" s="14" t="s">
        <v>139</v>
      </c>
    </row>
    <row r="10" spans="1:10" ht="18" x14ac:dyDescent="0.35">
      <c r="A10" s="14">
        <v>4</v>
      </c>
      <c r="B10" s="10">
        <v>613</v>
      </c>
      <c r="C10" s="10" t="s">
        <v>162</v>
      </c>
      <c r="D10" s="12">
        <v>46157</v>
      </c>
      <c r="E10" s="10">
        <v>2</v>
      </c>
      <c r="F10" s="90"/>
      <c r="G10" s="90"/>
      <c r="H10" s="90"/>
      <c r="I10" s="11" t="s">
        <v>96</v>
      </c>
    </row>
    <row r="11" spans="1:10" ht="18" x14ac:dyDescent="0.35">
      <c r="A11" s="14">
        <v>5</v>
      </c>
      <c r="B11" s="14">
        <v>602</v>
      </c>
      <c r="C11" s="10" t="s">
        <v>161</v>
      </c>
      <c r="D11" s="12">
        <v>46162</v>
      </c>
      <c r="E11" s="14">
        <v>1</v>
      </c>
      <c r="F11" s="14"/>
      <c r="G11" s="14"/>
      <c r="H11" s="14"/>
      <c r="I11" s="14" t="s">
        <v>160</v>
      </c>
    </row>
    <row r="12" spans="1:10" ht="18" x14ac:dyDescent="0.35">
      <c r="A12" s="14">
        <v>6</v>
      </c>
      <c r="B12" s="14">
        <v>842</v>
      </c>
      <c r="C12" s="21" t="s">
        <v>163</v>
      </c>
      <c r="D12" s="26">
        <v>46158</v>
      </c>
      <c r="E12" s="14">
        <v>2</v>
      </c>
      <c r="F12" s="14"/>
      <c r="G12" s="14"/>
      <c r="H12" s="14"/>
      <c r="I12" s="14" t="s">
        <v>96</v>
      </c>
    </row>
    <row r="13" spans="1:10" ht="18" x14ac:dyDescent="0.35">
      <c r="A13" s="14">
        <v>7</v>
      </c>
      <c r="B13" s="14">
        <v>129</v>
      </c>
      <c r="C13" s="21"/>
      <c r="D13" s="26"/>
      <c r="E13" s="14">
        <v>2</v>
      </c>
      <c r="F13" s="14"/>
      <c r="G13" s="14"/>
      <c r="H13" s="14"/>
      <c r="I13" s="14" t="s">
        <v>72</v>
      </c>
    </row>
    <row r="14" spans="1:10" ht="18" x14ac:dyDescent="0.35">
      <c r="A14" s="14">
        <v>8</v>
      </c>
      <c r="B14" s="10">
        <v>877</v>
      </c>
      <c r="C14" s="11"/>
      <c r="D14" s="12"/>
      <c r="E14" s="10">
        <v>2</v>
      </c>
      <c r="F14" s="10"/>
      <c r="G14" s="10"/>
      <c r="H14" s="13"/>
      <c r="I14" s="11" t="s">
        <v>72</v>
      </c>
    </row>
    <row r="15" spans="1:10" ht="18" x14ac:dyDescent="0.35">
      <c r="A15" s="14">
        <v>9</v>
      </c>
      <c r="B15" s="10"/>
      <c r="C15" s="11"/>
      <c r="D15" s="12"/>
      <c r="E15" s="10"/>
      <c r="F15" s="10"/>
      <c r="G15" s="10"/>
      <c r="H15" s="11"/>
      <c r="I15" s="11"/>
    </row>
    <row r="16" spans="1:10" ht="18" x14ac:dyDescent="0.35">
      <c r="A16" s="14">
        <v>10</v>
      </c>
      <c r="B16" s="10"/>
      <c r="C16" s="11"/>
      <c r="D16" s="12"/>
      <c r="E16" s="10"/>
      <c r="F16" s="10"/>
      <c r="G16" s="10"/>
      <c r="H16" s="11"/>
      <c r="I16" s="11"/>
    </row>
    <row r="17" spans="1:9" ht="18" x14ac:dyDescent="0.35">
      <c r="A17" s="14">
        <v>11</v>
      </c>
      <c r="B17" s="10"/>
      <c r="C17" s="11"/>
      <c r="D17" s="12"/>
      <c r="E17" s="10"/>
      <c r="F17" s="10"/>
      <c r="G17" s="10"/>
      <c r="H17" s="10"/>
      <c r="I17" s="11"/>
    </row>
    <row r="18" spans="1:9" ht="18" x14ac:dyDescent="0.35">
      <c r="A18" s="14">
        <v>12</v>
      </c>
      <c r="B18" s="10"/>
      <c r="C18" s="11"/>
      <c r="D18" s="12"/>
      <c r="E18" s="10"/>
      <c r="F18" s="10"/>
      <c r="G18" s="10"/>
      <c r="H18" s="10"/>
      <c r="I18" s="11"/>
    </row>
    <row r="19" spans="1:9" ht="18" x14ac:dyDescent="0.35">
      <c r="A19" s="14">
        <v>13</v>
      </c>
      <c r="B19" s="10"/>
      <c r="C19" s="11"/>
      <c r="D19" s="12"/>
      <c r="E19" s="10"/>
      <c r="F19" s="10"/>
      <c r="G19" s="10"/>
      <c r="H19" s="10"/>
      <c r="I19" s="11"/>
    </row>
    <row r="20" spans="1:9" ht="18" x14ac:dyDescent="0.35">
      <c r="A20" s="14">
        <v>14</v>
      </c>
      <c r="B20" s="10"/>
      <c r="C20" s="11"/>
      <c r="D20" s="12"/>
      <c r="E20" s="10"/>
      <c r="F20" s="10"/>
      <c r="G20" s="10"/>
      <c r="H20" s="10"/>
      <c r="I20" s="11"/>
    </row>
    <row r="21" spans="1:9" ht="18" x14ac:dyDescent="0.35">
      <c r="A21" s="14">
        <v>15</v>
      </c>
      <c r="B21" s="10"/>
      <c r="C21" s="11"/>
      <c r="D21" s="12"/>
      <c r="E21" s="10"/>
      <c r="F21" s="10"/>
      <c r="G21" s="10"/>
      <c r="H21" s="10"/>
      <c r="I21" s="11"/>
    </row>
    <row r="22" spans="1:9" ht="18" x14ac:dyDescent="0.35">
      <c r="A22" s="14">
        <v>16</v>
      </c>
      <c r="B22" s="10"/>
      <c r="C22" s="11"/>
      <c r="D22" s="12"/>
      <c r="E22" s="10"/>
      <c r="F22" s="10"/>
      <c r="G22" s="10"/>
      <c r="H22" s="10"/>
      <c r="I22" s="11"/>
    </row>
    <row r="23" spans="1:9" ht="18" x14ac:dyDescent="0.35">
      <c r="A23" s="14">
        <v>17</v>
      </c>
      <c r="B23" s="10"/>
      <c r="C23" s="11"/>
      <c r="D23" s="12"/>
      <c r="E23" s="10"/>
      <c r="F23" s="10"/>
      <c r="G23" s="10"/>
      <c r="H23" s="10"/>
      <c r="I23" s="11"/>
    </row>
    <row r="24" spans="1:9" ht="18" x14ac:dyDescent="0.35">
      <c r="A24" s="14">
        <v>18</v>
      </c>
      <c r="B24" s="10"/>
      <c r="C24" s="11"/>
      <c r="D24" s="12"/>
      <c r="E24" s="10"/>
      <c r="F24" s="10"/>
      <c r="G24" s="10"/>
      <c r="H24" s="10"/>
      <c r="I24" s="11"/>
    </row>
    <row r="25" spans="1:9" ht="18" x14ac:dyDescent="0.35">
      <c r="A25" s="14">
        <v>19</v>
      </c>
      <c r="B25" s="10"/>
      <c r="C25" s="11"/>
      <c r="D25" s="12"/>
      <c r="E25" s="10"/>
      <c r="F25" s="10"/>
      <c r="G25" s="10"/>
      <c r="H25" s="10"/>
      <c r="I25" s="11"/>
    </row>
    <row r="26" spans="1:9" ht="18" x14ac:dyDescent="0.35">
      <c r="A26" s="14">
        <v>20</v>
      </c>
      <c r="B26" s="10"/>
      <c r="C26" s="11"/>
      <c r="D26" s="12"/>
      <c r="E26" s="10"/>
      <c r="F26" s="10"/>
      <c r="G26" s="10"/>
      <c r="H26" s="10"/>
      <c r="I26" s="11"/>
    </row>
    <row r="27" spans="1:9" ht="18" x14ac:dyDescent="0.35">
      <c r="A27" s="2"/>
      <c r="B27" s="2"/>
      <c r="C27" s="2" t="s">
        <v>17</v>
      </c>
      <c r="D27" s="27" t="s">
        <v>4</v>
      </c>
      <c r="E27" s="3">
        <f>SUM(E7:E26)</f>
        <v>13</v>
      </c>
      <c r="F27" s="3">
        <f>SUM(F7:F26)</f>
        <v>0</v>
      </c>
      <c r="G27" s="2"/>
      <c r="H27" s="2"/>
      <c r="I27" s="2"/>
    </row>
    <row r="28" spans="1:9" ht="18" x14ac:dyDescent="0.35">
      <c r="A28" s="2"/>
      <c r="B28" s="4"/>
      <c r="C28" s="4"/>
      <c r="D28" s="28"/>
      <c r="E28" s="4"/>
      <c r="F28" s="4"/>
      <c r="G28" s="4"/>
      <c r="H28" s="2"/>
      <c r="I28" s="2"/>
    </row>
    <row r="29" spans="1:9" x14ac:dyDescent="0.3">
      <c r="B29" s="4" t="s">
        <v>8</v>
      </c>
    </row>
    <row r="30" spans="1:9" x14ac:dyDescent="0.3">
      <c r="B30" s="6" t="s">
        <v>11</v>
      </c>
      <c r="C30" s="7"/>
      <c r="D30" s="30"/>
      <c r="E30" s="7"/>
      <c r="F30" s="7"/>
    </row>
    <row r="31" spans="1:9" x14ac:dyDescent="0.3">
      <c r="B31" s="6" t="s">
        <v>14</v>
      </c>
      <c r="C31" s="7"/>
      <c r="D31" s="30"/>
      <c r="E31" s="7"/>
      <c r="F31" s="7"/>
    </row>
    <row r="32" spans="1:9" x14ac:dyDescent="0.3">
      <c r="B32" s="6" t="s">
        <v>13</v>
      </c>
      <c r="C32" s="7"/>
      <c r="D32" s="30"/>
      <c r="E32" s="7"/>
      <c r="F32" s="7"/>
    </row>
    <row r="33" spans="2:6" x14ac:dyDescent="0.3">
      <c r="B33" s="6" t="s">
        <v>12</v>
      </c>
      <c r="C33" s="7"/>
      <c r="D33" s="30"/>
      <c r="E33" s="7"/>
      <c r="F33" s="7"/>
    </row>
    <row r="34" spans="2:6" x14ac:dyDescent="0.3">
      <c r="B34" s="5" t="s">
        <v>9</v>
      </c>
    </row>
    <row r="35" spans="2:6" x14ac:dyDescent="0.3">
      <c r="B35" s="5" t="s">
        <v>10</v>
      </c>
    </row>
  </sheetData>
  <customSheetViews>
    <customSheetView guid="{EE1AD20C-1831-49F6-BB76-A0057F1F46DC}" fitToPage="1" topLeftCell="A2">
      <selection activeCell="E9" sqref="E9"/>
      <pageMargins left="0.7" right="0.7" top="0.75" bottom="0.75" header="0.3" footer="0.3"/>
      <pageSetup scale="86" orientation="landscape" r:id="rId1"/>
    </customSheetView>
    <customSheetView guid="{764E197A-ED2B-44E8-AE74-A147CD840ADF}" fitToPage="1" topLeftCell="A2">
      <selection activeCell="I8" sqref="B8:I8"/>
      <pageMargins left="0.7" right="0.7" top="0.75" bottom="0.75" header="0.3" footer="0.3"/>
      <pageSetup scale="86" orientation="landscape" r:id="rId2"/>
    </customSheetView>
    <customSheetView guid="{1616C24E-F38B-4944-BE1B-EE2D6946597D}" fitToPage="1" topLeftCell="A2">
      <selection activeCell="D12" sqref="D12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tabSelected="1" topLeftCell="A2" workbookViewId="0">
      <selection activeCell="D10" sqref="D10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9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10" ht="18" x14ac:dyDescent="0.35">
      <c r="A1" s="2"/>
      <c r="B1" s="2"/>
      <c r="C1" s="2"/>
      <c r="D1" s="22"/>
      <c r="E1" s="2"/>
      <c r="F1" s="2"/>
      <c r="G1" s="2"/>
      <c r="H1" s="2"/>
      <c r="I1" s="2"/>
    </row>
    <row r="2" spans="1:10" ht="18" x14ac:dyDescent="0.35">
      <c r="A2" s="2"/>
      <c r="B2" s="2"/>
      <c r="C2" s="2"/>
      <c r="D2" s="22"/>
      <c r="E2" s="2"/>
      <c r="F2" s="2"/>
      <c r="G2" s="2"/>
      <c r="H2" s="2"/>
      <c r="I2" s="2"/>
    </row>
    <row r="3" spans="1:10" ht="18" x14ac:dyDescent="0.35">
      <c r="A3" s="2"/>
      <c r="B3" s="2"/>
      <c r="C3" s="2"/>
      <c r="D3" s="22"/>
      <c r="E3" s="2"/>
      <c r="F3" s="2"/>
      <c r="G3" s="2"/>
      <c r="H3" s="2"/>
      <c r="I3" s="2"/>
    </row>
    <row r="4" spans="1:10" ht="18" thickBot="1" x14ac:dyDescent="0.4">
      <c r="A4" s="1"/>
      <c r="B4" s="1"/>
      <c r="C4" s="1"/>
      <c r="D4" s="23"/>
      <c r="E4" s="1"/>
      <c r="F4" s="1"/>
      <c r="G4" s="1"/>
      <c r="H4" s="1"/>
      <c r="I4" s="1"/>
    </row>
    <row r="5" spans="1:10" ht="23.4" x14ac:dyDescent="0.45">
      <c r="A5" s="94" t="s">
        <v>18</v>
      </c>
      <c r="B5" s="95"/>
      <c r="C5" s="95"/>
      <c r="D5" s="95"/>
      <c r="E5" s="95"/>
      <c r="F5" s="95"/>
      <c r="G5" s="95"/>
      <c r="H5" s="15" t="s">
        <v>5</v>
      </c>
      <c r="I5" s="8" t="str">
        <f ca="1">CONCATENATE((MID(CELL("filename",I5),FIND("]",CELL("filename",I5))+1,255)),"/05/2026")</f>
        <v>18/05/2026</v>
      </c>
    </row>
    <row r="6" spans="1:10" ht="18.600000000000001" thickBot="1" x14ac:dyDescent="0.4">
      <c r="A6" s="16"/>
      <c r="B6" s="17" t="s">
        <v>16</v>
      </c>
      <c r="C6" s="17" t="s">
        <v>0</v>
      </c>
      <c r="D6" s="24" t="s">
        <v>15</v>
      </c>
      <c r="E6" s="17" t="s">
        <v>6</v>
      </c>
      <c r="F6" s="17" t="s">
        <v>3</v>
      </c>
      <c r="G6" s="17" t="s">
        <v>1</v>
      </c>
      <c r="H6" s="18" t="s">
        <v>7</v>
      </c>
      <c r="I6" s="19" t="s">
        <v>2</v>
      </c>
    </row>
    <row r="7" spans="1:10" ht="18" x14ac:dyDescent="0.35">
      <c r="A7" s="9">
        <v>1</v>
      </c>
      <c r="B7" s="14" t="s">
        <v>19</v>
      </c>
      <c r="C7" s="32" t="s">
        <v>27</v>
      </c>
      <c r="D7" s="26">
        <v>46164</v>
      </c>
      <c r="E7" s="14">
        <v>2</v>
      </c>
      <c r="F7" s="14"/>
      <c r="G7" s="14"/>
      <c r="H7" s="14">
        <v>3142182</v>
      </c>
      <c r="I7" s="14" t="s">
        <v>26</v>
      </c>
      <c r="J7" s="33" t="s">
        <v>28</v>
      </c>
    </row>
    <row r="8" spans="1:10" ht="18" x14ac:dyDescent="0.35">
      <c r="A8" s="14">
        <v>2</v>
      </c>
      <c r="B8" s="14" t="s">
        <v>19</v>
      </c>
      <c r="C8" s="21" t="s">
        <v>100</v>
      </c>
      <c r="D8" s="26">
        <v>46161</v>
      </c>
      <c r="E8" s="14">
        <v>2</v>
      </c>
      <c r="F8" s="14"/>
      <c r="G8" s="14"/>
      <c r="H8" s="14" t="s">
        <v>102</v>
      </c>
      <c r="I8" s="14" t="s">
        <v>101</v>
      </c>
    </row>
    <row r="9" spans="1:10" ht="18" x14ac:dyDescent="0.35">
      <c r="A9" s="14">
        <v>3</v>
      </c>
      <c r="B9" s="9" t="s">
        <v>19</v>
      </c>
      <c r="C9" s="14" t="s">
        <v>135</v>
      </c>
      <c r="D9" s="26">
        <v>46162</v>
      </c>
      <c r="E9" s="14">
        <v>2</v>
      </c>
      <c r="F9" s="14"/>
      <c r="G9" s="14"/>
      <c r="H9" s="31" t="s">
        <v>136</v>
      </c>
      <c r="I9" s="14" t="s">
        <v>133</v>
      </c>
    </row>
    <row r="10" spans="1:10" ht="18" x14ac:dyDescent="0.35">
      <c r="A10" s="14">
        <v>4</v>
      </c>
      <c r="B10" s="14">
        <v>681</v>
      </c>
      <c r="C10" s="21" t="s">
        <v>167</v>
      </c>
      <c r="D10" s="26">
        <v>46159</v>
      </c>
      <c r="E10" s="14">
        <v>2</v>
      </c>
      <c r="F10" s="14"/>
      <c r="G10" s="14"/>
      <c r="H10" s="14"/>
      <c r="I10" s="14" t="s">
        <v>166</v>
      </c>
    </row>
    <row r="11" spans="1:10" ht="18" x14ac:dyDescent="0.35">
      <c r="A11" s="14">
        <v>5</v>
      </c>
      <c r="B11" s="14"/>
      <c r="C11" s="21"/>
      <c r="D11" s="26"/>
      <c r="E11" s="14"/>
      <c r="F11" s="14"/>
      <c r="G11" s="14"/>
      <c r="H11" s="14"/>
      <c r="I11" s="14"/>
    </row>
    <row r="12" spans="1:10" ht="18" x14ac:dyDescent="0.35">
      <c r="A12" s="14">
        <v>6</v>
      </c>
      <c r="B12" s="14"/>
      <c r="C12" s="21"/>
      <c r="D12" s="26"/>
      <c r="E12" s="14"/>
      <c r="F12" s="14"/>
      <c r="G12" s="14"/>
      <c r="H12" s="14"/>
      <c r="I12" s="14"/>
    </row>
    <row r="13" spans="1:10" ht="18" x14ac:dyDescent="0.35">
      <c r="A13" s="14">
        <v>7</v>
      </c>
      <c r="B13" s="14"/>
      <c r="C13" s="21"/>
      <c r="D13" s="26"/>
      <c r="E13" s="14"/>
      <c r="F13" s="14"/>
      <c r="G13" s="14"/>
      <c r="H13" s="14"/>
      <c r="I13" s="14"/>
    </row>
    <row r="14" spans="1:10" ht="18" x14ac:dyDescent="0.35">
      <c r="A14" s="14">
        <v>8</v>
      </c>
      <c r="B14" s="10"/>
      <c r="C14" s="11"/>
      <c r="D14" s="12"/>
      <c r="E14" s="10"/>
      <c r="F14" s="10"/>
      <c r="G14" s="10"/>
      <c r="H14" s="13"/>
      <c r="I14" s="11"/>
    </row>
    <row r="15" spans="1:10" ht="18" x14ac:dyDescent="0.35">
      <c r="A15" s="14">
        <v>9</v>
      </c>
      <c r="B15" s="10"/>
      <c r="C15" s="11"/>
      <c r="D15" s="12"/>
      <c r="E15" s="10"/>
      <c r="F15" s="10"/>
      <c r="G15" s="10"/>
      <c r="H15" s="11"/>
      <c r="I15" s="11"/>
    </row>
    <row r="16" spans="1:10" ht="18" x14ac:dyDescent="0.35">
      <c r="A16" s="14">
        <v>10</v>
      </c>
      <c r="B16" s="10"/>
      <c r="C16" s="11"/>
      <c r="D16" s="12"/>
      <c r="E16" s="10"/>
      <c r="F16" s="10"/>
      <c r="G16" s="10"/>
      <c r="H16" s="11"/>
      <c r="I16" s="11"/>
    </row>
    <row r="17" spans="1:9" ht="18" x14ac:dyDescent="0.35">
      <c r="A17" s="14">
        <v>11</v>
      </c>
      <c r="B17" s="10"/>
      <c r="C17" s="11"/>
      <c r="D17" s="12"/>
      <c r="E17" s="10"/>
      <c r="F17" s="10"/>
      <c r="G17" s="10"/>
      <c r="H17" s="10"/>
      <c r="I17" s="11"/>
    </row>
    <row r="18" spans="1:9" ht="18" x14ac:dyDescent="0.35">
      <c r="A18" s="14">
        <v>12</v>
      </c>
      <c r="B18" s="10"/>
      <c r="C18" s="11"/>
      <c r="D18" s="12"/>
      <c r="E18" s="10"/>
      <c r="F18" s="10"/>
      <c r="G18" s="10"/>
      <c r="H18" s="10"/>
      <c r="I18" s="11"/>
    </row>
    <row r="19" spans="1:9" ht="18" x14ac:dyDescent="0.35">
      <c r="A19" s="14">
        <v>13</v>
      </c>
      <c r="B19" s="10"/>
      <c r="C19" s="11"/>
      <c r="D19" s="12"/>
      <c r="E19" s="10"/>
      <c r="F19" s="10"/>
      <c r="G19" s="10"/>
      <c r="H19" s="10"/>
      <c r="I19" s="11"/>
    </row>
    <row r="20" spans="1:9" ht="18" x14ac:dyDescent="0.35">
      <c r="A20" s="14">
        <v>14</v>
      </c>
      <c r="B20" s="10"/>
      <c r="C20" s="11"/>
      <c r="D20" s="12"/>
      <c r="E20" s="10"/>
      <c r="F20" s="10"/>
      <c r="G20" s="10"/>
      <c r="H20" s="10"/>
      <c r="I20" s="11"/>
    </row>
    <row r="21" spans="1:9" ht="18" x14ac:dyDescent="0.35">
      <c r="A21" s="14">
        <v>15</v>
      </c>
      <c r="B21" s="10"/>
      <c r="C21" s="11"/>
      <c r="D21" s="12"/>
      <c r="E21" s="10"/>
      <c r="F21" s="10"/>
      <c r="G21" s="10"/>
      <c r="H21" s="10"/>
      <c r="I21" s="11"/>
    </row>
    <row r="22" spans="1:9" ht="18" x14ac:dyDescent="0.35">
      <c r="A22" s="14">
        <v>16</v>
      </c>
      <c r="B22" s="10"/>
      <c r="C22" s="11"/>
      <c r="D22" s="12"/>
      <c r="E22" s="10"/>
      <c r="F22" s="10"/>
      <c r="G22" s="10"/>
      <c r="H22" s="10"/>
      <c r="I22" s="11"/>
    </row>
    <row r="23" spans="1:9" ht="18" x14ac:dyDescent="0.35">
      <c r="A23" s="14">
        <v>17</v>
      </c>
      <c r="B23" s="10"/>
      <c r="C23" s="11"/>
      <c r="D23" s="12"/>
      <c r="E23" s="10"/>
      <c r="F23" s="10"/>
      <c r="G23" s="10"/>
      <c r="H23" s="10"/>
      <c r="I23" s="11"/>
    </row>
    <row r="24" spans="1:9" ht="18" x14ac:dyDescent="0.35">
      <c r="A24" s="14">
        <v>18</v>
      </c>
      <c r="B24" s="10"/>
      <c r="C24" s="11"/>
      <c r="D24" s="12"/>
      <c r="E24" s="10"/>
      <c r="F24" s="10"/>
      <c r="G24" s="10"/>
      <c r="H24" s="10"/>
      <c r="I24" s="11"/>
    </row>
    <row r="25" spans="1:9" ht="18" x14ac:dyDescent="0.35">
      <c r="A25" s="14">
        <v>19</v>
      </c>
      <c r="B25" s="10"/>
      <c r="C25" s="11"/>
      <c r="D25" s="12"/>
      <c r="E25" s="10"/>
      <c r="F25" s="10"/>
      <c r="G25" s="10"/>
      <c r="H25" s="10"/>
      <c r="I25" s="11"/>
    </row>
    <row r="26" spans="1:9" ht="18" x14ac:dyDescent="0.35">
      <c r="A26" s="14">
        <v>20</v>
      </c>
      <c r="B26" s="10"/>
      <c r="C26" s="11"/>
      <c r="D26" s="12"/>
      <c r="E26" s="10"/>
      <c r="F26" s="10"/>
      <c r="G26" s="10"/>
      <c r="H26" s="10"/>
      <c r="I26" s="11"/>
    </row>
    <row r="27" spans="1:9" ht="18" x14ac:dyDescent="0.35">
      <c r="A27" s="2"/>
      <c r="B27" s="2"/>
      <c r="C27" s="2" t="s">
        <v>17</v>
      </c>
      <c r="D27" s="27" t="s">
        <v>4</v>
      </c>
      <c r="E27" s="3">
        <f>SUM(E7:E26)</f>
        <v>8</v>
      </c>
      <c r="F27" s="3">
        <f>SUM(F7:F26)</f>
        <v>0</v>
      </c>
      <c r="G27" s="2"/>
      <c r="H27" s="2"/>
      <c r="I27" s="2"/>
    </row>
    <row r="28" spans="1:9" ht="18" x14ac:dyDescent="0.35">
      <c r="A28" s="2"/>
      <c r="B28" s="4"/>
      <c r="C28" s="4"/>
      <c r="D28" s="28"/>
      <c r="E28" s="4"/>
      <c r="F28" s="4"/>
      <c r="G28" s="4"/>
      <c r="H28" s="2"/>
      <c r="I28" s="2"/>
    </row>
    <row r="29" spans="1:9" x14ac:dyDescent="0.3">
      <c r="B29" s="4" t="s">
        <v>8</v>
      </c>
    </row>
    <row r="30" spans="1:9" x14ac:dyDescent="0.3">
      <c r="B30" s="6" t="s">
        <v>11</v>
      </c>
      <c r="C30" s="7"/>
      <c r="D30" s="30"/>
      <c r="E30" s="7"/>
      <c r="F30" s="7"/>
    </row>
    <row r="31" spans="1:9" x14ac:dyDescent="0.3">
      <c r="B31" s="6" t="s">
        <v>14</v>
      </c>
      <c r="C31" s="7"/>
      <c r="D31" s="30"/>
      <c r="E31" s="7"/>
      <c r="F31" s="7"/>
    </row>
    <row r="32" spans="1:9" x14ac:dyDescent="0.3">
      <c r="B32" s="6" t="s">
        <v>13</v>
      </c>
      <c r="C32" s="7"/>
      <c r="D32" s="30"/>
      <c r="E32" s="7"/>
      <c r="F32" s="7"/>
    </row>
    <row r="33" spans="2:6" x14ac:dyDescent="0.3">
      <c r="B33" s="6" t="s">
        <v>12</v>
      </c>
      <c r="C33" s="7"/>
      <c r="D33" s="30"/>
      <c r="E33" s="7"/>
      <c r="F33" s="7"/>
    </row>
    <row r="34" spans="2:6" x14ac:dyDescent="0.3">
      <c r="B34" s="5" t="s">
        <v>9</v>
      </c>
    </row>
    <row r="35" spans="2:6" x14ac:dyDescent="0.3">
      <c r="B35" s="5" t="s">
        <v>10</v>
      </c>
    </row>
  </sheetData>
  <customSheetViews>
    <customSheetView guid="{EE1AD20C-1831-49F6-BB76-A0057F1F46DC}" fitToPage="1" topLeftCell="A2">
      <selection activeCell="I10" sqref="I10"/>
      <pageMargins left="0.7" right="0.7" top="0.75" bottom="0.75" header="0.3" footer="0.3"/>
      <pageSetup scale="86" orientation="landscape" r:id="rId1"/>
    </customSheetView>
    <customSheetView guid="{764E197A-ED2B-44E8-AE74-A147CD840ADF}" fitToPage="1" topLeftCell="A2">
      <selection activeCell="I10" sqref="I10"/>
      <pageMargins left="0.7" right="0.7" top="0.75" bottom="0.75" header="0.3" footer="0.3"/>
      <pageSetup scale="86" orientation="landscape" r:id="rId2"/>
    </customSheetView>
    <customSheetView guid="{1616C24E-F38B-4944-BE1B-EE2D6946597D}" fitToPage="1" topLeftCell="A2">
      <selection activeCell="I10" sqref="I10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topLeftCell="A2" workbookViewId="0">
      <selection activeCell="C21" sqref="C21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9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22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22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22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23"/>
      <c r="E4" s="1"/>
      <c r="F4" s="1"/>
      <c r="G4" s="1"/>
      <c r="H4" s="1"/>
      <c r="I4" s="1"/>
    </row>
    <row r="5" spans="1:9" ht="23.4" x14ac:dyDescent="0.45">
      <c r="A5" s="94" t="s">
        <v>18</v>
      </c>
      <c r="B5" s="95"/>
      <c r="C5" s="95"/>
      <c r="D5" s="95"/>
      <c r="E5" s="95"/>
      <c r="F5" s="95"/>
      <c r="G5" s="95"/>
      <c r="H5" s="15" t="s">
        <v>5</v>
      </c>
      <c r="I5" s="8" t="str">
        <f ca="1">CONCATENATE((MID(CELL("filename",I5),FIND("]",CELL("filename",I5))+1,255)),"/05/2026")</f>
        <v>20/05/2026</v>
      </c>
    </row>
    <row r="6" spans="1:9" ht="18.600000000000001" thickBot="1" x14ac:dyDescent="0.4">
      <c r="A6" s="16"/>
      <c r="B6" s="17" t="s">
        <v>16</v>
      </c>
      <c r="C6" s="17" t="s">
        <v>0</v>
      </c>
      <c r="D6" s="24" t="s">
        <v>15</v>
      </c>
      <c r="E6" s="17" t="s">
        <v>6</v>
      </c>
      <c r="F6" s="17" t="s">
        <v>3</v>
      </c>
      <c r="G6" s="17" t="s">
        <v>1</v>
      </c>
      <c r="H6" s="18" t="s">
        <v>7</v>
      </c>
      <c r="I6" s="19" t="s">
        <v>2</v>
      </c>
    </row>
    <row r="7" spans="1:9" ht="18" x14ac:dyDescent="0.35">
      <c r="A7" s="9">
        <v>1</v>
      </c>
      <c r="B7" s="14" t="s">
        <v>19</v>
      </c>
      <c r="C7" s="43" t="s">
        <v>77</v>
      </c>
      <c r="D7" s="26">
        <v>46163</v>
      </c>
      <c r="E7" s="14">
        <v>2</v>
      </c>
      <c r="F7" s="14"/>
      <c r="G7" s="14"/>
      <c r="H7" s="44" t="s">
        <v>78</v>
      </c>
      <c r="I7" s="14" t="s">
        <v>79</v>
      </c>
    </row>
    <row r="8" spans="1:9" ht="18" x14ac:dyDescent="0.35">
      <c r="A8" s="14">
        <v>2</v>
      </c>
      <c r="B8" s="14" t="s">
        <v>19</v>
      </c>
      <c r="C8" s="78" t="s">
        <v>122</v>
      </c>
      <c r="D8" s="26">
        <v>46164</v>
      </c>
      <c r="E8" s="14">
        <v>1</v>
      </c>
      <c r="F8" s="14"/>
      <c r="G8" s="14"/>
      <c r="H8" s="14" t="s">
        <v>76</v>
      </c>
      <c r="I8" s="14" t="s">
        <v>123</v>
      </c>
    </row>
    <row r="9" spans="1:9" ht="18" x14ac:dyDescent="0.35">
      <c r="A9" s="14">
        <v>3</v>
      </c>
      <c r="B9" s="14" t="s">
        <v>19</v>
      </c>
      <c r="C9" s="78" t="s">
        <v>124</v>
      </c>
      <c r="D9" s="26">
        <v>46164</v>
      </c>
      <c r="E9" s="14">
        <v>1</v>
      </c>
      <c r="F9" s="14"/>
      <c r="G9" s="14"/>
      <c r="H9" s="14" t="s">
        <v>76</v>
      </c>
      <c r="I9" s="14" t="s">
        <v>123</v>
      </c>
    </row>
    <row r="10" spans="1:9" ht="18" x14ac:dyDescent="0.35">
      <c r="A10" s="14">
        <v>4</v>
      </c>
      <c r="B10" s="14" t="s">
        <v>19</v>
      </c>
      <c r="C10" s="78" t="s">
        <v>125</v>
      </c>
      <c r="D10" s="26">
        <v>46164</v>
      </c>
      <c r="E10" s="14">
        <v>1</v>
      </c>
      <c r="F10" s="14"/>
      <c r="G10" s="14"/>
      <c r="H10" s="14" t="s">
        <v>76</v>
      </c>
      <c r="I10" s="14" t="s">
        <v>123</v>
      </c>
    </row>
    <row r="11" spans="1:9" ht="18" x14ac:dyDescent="0.35">
      <c r="A11" s="14">
        <v>5</v>
      </c>
      <c r="B11" s="14" t="s">
        <v>19</v>
      </c>
      <c r="C11" s="78" t="s">
        <v>126</v>
      </c>
      <c r="D11" s="26">
        <v>46164</v>
      </c>
      <c r="E11" s="14">
        <v>1</v>
      </c>
      <c r="F11" s="14"/>
      <c r="G11" s="14"/>
      <c r="H11" s="14" t="s">
        <v>76</v>
      </c>
      <c r="I11" s="14" t="s">
        <v>123</v>
      </c>
    </row>
    <row r="12" spans="1:9" ht="18" x14ac:dyDescent="0.35">
      <c r="A12" s="14">
        <v>6</v>
      </c>
      <c r="B12" s="14" t="s">
        <v>19</v>
      </c>
      <c r="C12" s="78" t="s">
        <v>127</v>
      </c>
      <c r="D12" s="26">
        <v>46164</v>
      </c>
      <c r="E12" s="14">
        <v>1</v>
      </c>
      <c r="F12" s="14"/>
      <c r="G12" s="14"/>
      <c r="H12" s="14" t="s">
        <v>76</v>
      </c>
      <c r="I12" s="14" t="s">
        <v>123</v>
      </c>
    </row>
    <row r="13" spans="1:9" ht="18" x14ac:dyDescent="0.35">
      <c r="A13" s="14">
        <v>7</v>
      </c>
      <c r="B13" s="14" t="s">
        <v>19</v>
      </c>
      <c r="C13" s="78" t="s">
        <v>128</v>
      </c>
      <c r="D13" s="26">
        <v>46164</v>
      </c>
      <c r="E13" s="14">
        <v>1</v>
      </c>
      <c r="F13" s="14"/>
      <c r="G13" s="14"/>
      <c r="H13" s="14" t="s">
        <v>76</v>
      </c>
      <c r="I13" s="14" t="s">
        <v>123</v>
      </c>
    </row>
    <row r="14" spans="1:9" ht="18" x14ac:dyDescent="0.35">
      <c r="A14" s="14">
        <v>8</v>
      </c>
      <c r="B14" s="63" t="s">
        <v>19</v>
      </c>
      <c r="C14" s="78" t="s">
        <v>129</v>
      </c>
      <c r="D14" s="64">
        <v>46164</v>
      </c>
      <c r="E14" s="63">
        <v>1</v>
      </c>
      <c r="F14" s="63"/>
      <c r="G14" s="63"/>
      <c r="H14" s="63" t="s">
        <v>76</v>
      </c>
      <c r="I14" s="63" t="s">
        <v>123</v>
      </c>
    </row>
    <row r="15" spans="1:9" ht="18" x14ac:dyDescent="0.35">
      <c r="A15" s="14">
        <v>9</v>
      </c>
      <c r="B15" s="63" t="s">
        <v>19</v>
      </c>
      <c r="C15" s="78" t="s">
        <v>130</v>
      </c>
      <c r="D15" s="64">
        <v>46164</v>
      </c>
      <c r="E15" s="10">
        <v>1</v>
      </c>
      <c r="F15" s="10"/>
      <c r="G15" s="10"/>
      <c r="H15" s="63" t="s">
        <v>76</v>
      </c>
      <c r="I15" s="63" t="s">
        <v>123</v>
      </c>
    </row>
    <row r="16" spans="1:9" ht="18" x14ac:dyDescent="0.35">
      <c r="A16" s="14">
        <v>10</v>
      </c>
      <c r="B16" s="10"/>
      <c r="C16" s="11"/>
      <c r="D16" s="12"/>
      <c r="E16" s="10"/>
      <c r="F16" s="10"/>
      <c r="G16" s="10"/>
      <c r="H16" s="11"/>
      <c r="I16" s="11"/>
    </row>
    <row r="17" spans="1:9" ht="18" x14ac:dyDescent="0.35">
      <c r="A17" s="14">
        <v>11</v>
      </c>
      <c r="B17" s="10"/>
      <c r="C17" s="11"/>
      <c r="D17" s="12"/>
      <c r="E17" s="10"/>
      <c r="F17" s="10"/>
      <c r="G17" s="10"/>
      <c r="H17" s="10"/>
      <c r="I17" s="11"/>
    </row>
    <row r="18" spans="1:9" ht="18" x14ac:dyDescent="0.35">
      <c r="A18" s="14">
        <v>12</v>
      </c>
      <c r="B18" s="10"/>
      <c r="C18" s="11"/>
      <c r="D18" s="12"/>
      <c r="E18" s="10"/>
      <c r="F18" s="10"/>
      <c r="G18" s="10"/>
      <c r="H18" s="10"/>
      <c r="I18" s="11"/>
    </row>
    <row r="19" spans="1:9" ht="18" x14ac:dyDescent="0.35">
      <c r="A19" s="14">
        <v>13</v>
      </c>
      <c r="B19" s="10"/>
      <c r="C19" s="11"/>
      <c r="D19" s="12"/>
      <c r="E19" s="10"/>
      <c r="F19" s="10"/>
      <c r="G19" s="10"/>
      <c r="H19" s="10"/>
      <c r="I19" s="11"/>
    </row>
    <row r="20" spans="1:9" ht="18" x14ac:dyDescent="0.35">
      <c r="A20" s="14">
        <v>14</v>
      </c>
      <c r="B20" s="10"/>
      <c r="C20" s="11"/>
      <c r="D20" s="12"/>
      <c r="E20" s="10"/>
      <c r="F20" s="10"/>
      <c r="G20" s="10"/>
      <c r="H20" s="10"/>
      <c r="I20" s="11"/>
    </row>
    <row r="21" spans="1:9" ht="18" x14ac:dyDescent="0.35">
      <c r="A21" s="14">
        <v>15</v>
      </c>
      <c r="B21" s="10"/>
      <c r="C21" s="11"/>
      <c r="D21" s="12"/>
      <c r="E21" s="10"/>
      <c r="F21" s="10"/>
      <c r="G21" s="10"/>
      <c r="H21" s="10"/>
      <c r="I21" s="11"/>
    </row>
    <row r="22" spans="1:9" ht="18" x14ac:dyDescent="0.35">
      <c r="A22" s="14">
        <v>16</v>
      </c>
      <c r="B22" s="10"/>
      <c r="C22" s="11"/>
      <c r="D22" s="12"/>
      <c r="E22" s="10"/>
      <c r="F22" s="10"/>
      <c r="G22" s="10"/>
      <c r="H22" s="10"/>
      <c r="I22" s="11"/>
    </row>
    <row r="23" spans="1:9" ht="18" x14ac:dyDescent="0.35">
      <c r="A23" s="14">
        <v>17</v>
      </c>
      <c r="B23" s="10"/>
      <c r="C23" s="11"/>
      <c r="D23" s="12"/>
      <c r="E23" s="10"/>
      <c r="F23" s="10"/>
      <c r="G23" s="10"/>
      <c r="H23" s="10"/>
      <c r="I23" s="11"/>
    </row>
    <row r="24" spans="1:9" ht="18" x14ac:dyDescent="0.35">
      <c r="A24" s="14">
        <v>18</v>
      </c>
      <c r="B24" s="10"/>
      <c r="C24" s="11"/>
      <c r="D24" s="12"/>
      <c r="E24" s="10"/>
      <c r="F24" s="10"/>
      <c r="G24" s="10"/>
      <c r="H24" s="10"/>
      <c r="I24" s="11"/>
    </row>
    <row r="25" spans="1:9" ht="18" x14ac:dyDescent="0.35">
      <c r="A25" s="14">
        <v>19</v>
      </c>
      <c r="B25" s="10"/>
      <c r="C25" s="11"/>
      <c r="D25" s="12"/>
      <c r="E25" s="10"/>
      <c r="F25" s="10"/>
      <c r="G25" s="10"/>
      <c r="H25" s="10"/>
      <c r="I25" s="11"/>
    </row>
    <row r="26" spans="1:9" ht="18" x14ac:dyDescent="0.35">
      <c r="A26" s="14">
        <v>20</v>
      </c>
      <c r="B26" s="10"/>
      <c r="C26" s="11"/>
      <c r="D26" s="12"/>
      <c r="E26" s="10"/>
      <c r="F26" s="10"/>
      <c r="G26" s="10"/>
      <c r="H26" s="10"/>
      <c r="I26" s="11"/>
    </row>
    <row r="27" spans="1:9" ht="18" x14ac:dyDescent="0.35">
      <c r="A27" s="2"/>
      <c r="B27" s="2"/>
      <c r="C27" s="2" t="s">
        <v>17</v>
      </c>
      <c r="D27" s="27" t="s">
        <v>4</v>
      </c>
      <c r="E27" s="3">
        <f>SUM(E7:E26)</f>
        <v>10</v>
      </c>
      <c r="F27" s="3">
        <f>SUM(F7:F26)</f>
        <v>0</v>
      </c>
      <c r="G27" s="2"/>
      <c r="H27" s="2"/>
      <c r="I27" s="2"/>
    </row>
    <row r="28" spans="1:9" ht="18" x14ac:dyDescent="0.35">
      <c r="A28" s="2"/>
      <c r="B28" s="4"/>
      <c r="C28" s="4"/>
      <c r="D28" s="28"/>
      <c r="E28" s="4"/>
      <c r="F28" s="4"/>
      <c r="G28" s="4"/>
      <c r="H28" s="2"/>
      <c r="I28" s="2"/>
    </row>
    <row r="29" spans="1:9" x14ac:dyDescent="0.3">
      <c r="B29" s="4" t="s">
        <v>8</v>
      </c>
    </row>
    <row r="30" spans="1:9" x14ac:dyDescent="0.3">
      <c r="B30" s="6" t="s">
        <v>11</v>
      </c>
      <c r="C30" s="7"/>
      <c r="D30" s="30"/>
      <c r="E30" s="7"/>
      <c r="F30" s="7"/>
    </row>
    <row r="31" spans="1:9" x14ac:dyDescent="0.3">
      <c r="B31" s="6" t="s">
        <v>14</v>
      </c>
      <c r="C31" s="7"/>
      <c r="D31" s="30"/>
      <c r="E31" s="7"/>
      <c r="F31" s="7"/>
    </row>
    <row r="32" spans="1:9" x14ac:dyDescent="0.3">
      <c r="B32" s="6" t="s">
        <v>13</v>
      </c>
      <c r="C32" s="7"/>
      <c r="D32" s="30"/>
      <c r="E32" s="7"/>
      <c r="F32" s="7"/>
    </row>
    <row r="33" spans="2:6" x14ac:dyDescent="0.3">
      <c r="B33" s="6" t="s">
        <v>12</v>
      </c>
      <c r="C33" s="7"/>
      <c r="D33" s="30"/>
      <c r="E33" s="7"/>
      <c r="F33" s="7"/>
    </row>
    <row r="34" spans="2:6" x14ac:dyDescent="0.3">
      <c r="B34" s="5" t="s">
        <v>9</v>
      </c>
    </row>
    <row r="35" spans="2:6" x14ac:dyDescent="0.3">
      <c r="B35" s="5" t="s">
        <v>10</v>
      </c>
    </row>
  </sheetData>
  <customSheetViews>
    <customSheetView guid="{EE1AD20C-1831-49F6-BB76-A0057F1F46DC}" fitToPage="1" topLeftCell="A2">
      <selection activeCell="C21" sqref="C21"/>
      <pageMargins left="0.7" right="0.7" top="0.75" bottom="0.75" header="0.3" footer="0.3"/>
      <pageSetup scale="86" orientation="landscape" r:id="rId1"/>
    </customSheetView>
    <customSheetView guid="{764E197A-ED2B-44E8-AE74-A147CD840ADF}" fitToPage="1" topLeftCell="A2">
      <selection activeCell="C21" sqref="C21"/>
      <pageMargins left="0.7" right="0.7" top="0.75" bottom="0.75" header="0.3" footer="0.3"/>
      <pageSetup scale="86" orientation="landscape" r:id="rId2"/>
    </customSheetView>
    <customSheetView guid="{1616C24E-F38B-4944-BE1B-EE2D6946597D}" fitToPage="1" topLeftCell="A2">
      <selection activeCell="C21" sqref="C21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topLeftCell="A2" workbookViewId="0">
      <selection activeCell="G10" sqref="G10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9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10" ht="18" x14ac:dyDescent="0.35">
      <c r="A1" s="2"/>
      <c r="B1" s="2"/>
      <c r="C1" s="2"/>
      <c r="D1" s="22"/>
      <c r="E1" s="2"/>
      <c r="F1" s="2"/>
      <c r="G1" s="2"/>
      <c r="H1" s="2"/>
      <c r="I1" s="2"/>
    </row>
    <row r="2" spans="1:10" ht="18" x14ac:dyDescent="0.35">
      <c r="A2" s="2"/>
      <c r="B2" s="2"/>
      <c r="C2" s="2"/>
      <c r="D2" s="22"/>
      <c r="E2" s="2"/>
      <c r="F2" s="2"/>
      <c r="G2" s="2"/>
      <c r="H2" s="2"/>
      <c r="I2" s="2"/>
    </row>
    <row r="3" spans="1:10" ht="18" x14ac:dyDescent="0.35">
      <c r="A3" s="2"/>
      <c r="B3" s="2"/>
      <c r="C3" s="2"/>
      <c r="D3" s="22"/>
      <c r="E3" s="2"/>
      <c r="F3" s="2"/>
      <c r="G3" s="2"/>
      <c r="H3" s="2"/>
      <c r="I3" s="2"/>
    </row>
    <row r="4" spans="1:10" ht="18" thickBot="1" x14ac:dyDescent="0.4">
      <c r="A4" s="1"/>
      <c r="B4" s="1"/>
      <c r="C4" s="1"/>
      <c r="D4" s="23"/>
      <c r="E4" s="1"/>
      <c r="F4" s="1"/>
      <c r="G4" s="1"/>
      <c r="H4" s="1"/>
      <c r="I4" s="1"/>
    </row>
    <row r="5" spans="1:10" ht="23.4" x14ac:dyDescent="0.45">
      <c r="A5" s="94" t="s">
        <v>18</v>
      </c>
      <c r="B5" s="95"/>
      <c r="C5" s="95"/>
      <c r="D5" s="95"/>
      <c r="E5" s="95"/>
      <c r="F5" s="95"/>
      <c r="G5" s="95"/>
      <c r="H5" s="15" t="s">
        <v>5</v>
      </c>
      <c r="I5" s="8" t="str">
        <f ca="1">CONCATENATE((MID(CELL("filename",I5),FIND("]",CELL("filename",I5))+1,255)),"/05/2026")</f>
        <v>22/05/2026</v>
      </c>
    </row>
    <row r="6" spans="1:10" ht="18.600000000000001" thickBot="1" x14ac:dyDescent="0.4">
      <c r="A6" s="16"/>
      <c r="B6" s="17" t="s">
        <v>16</v>
      </c>
      <c r="C6" s="17" t="s">
        <v>0</v>
      </c>
      <c r="D6" s="24" t="s">
        <v>15</v>
      </c>
      <c r="E6" s="17" t="s">
        <v>6</v>
      </c>
      <c r="F6" s="17" t="s">
        <v>3</v>
      </c>
      <c r="G6" s="17" t="s">
        <v>1</v>
      </c>
      <c r="H6" s="18" t="s">
        <v>7</v>
      </c>
      <c r="I6" s="19" t="s">
        <v>2</v>
      </c>
    </row>
    <row r="7" spans="1:10" ht="18" x14ac:dyDescent="0.35">
      <c r="A7" s="9">
        <v>1</v>
      </c>
      <c r="B7" s="9" t="s">
        <v>19</v>
      </c>
      <c r="C7" s="20" t="s">
        <v>20</v>
      </c>
      <c r="D7" s="25">
        <v>46167</v>
      </c>
      <c r="E7" s="9">
        <v>2</v>
      </c>
      <c r="F7" s="9"/>
      <c r="G7" s="9"/>
      <c r="H7" s="9">
        <v>25851154</v>
      </c>
      <c r="I7" s="9" t="s">
        <v>21</v>
      </c>
      <c r="J7" s="33" t="s">
        <v>28</v>
      </c>
    </row>
    <row r="8" spans="1:10" ht="18" x14ac:dyDescent="0.35">
      <c r="A8" s="14">
        <v>2</v>
      </c>
      <c r="B8" s="9" t="s">
        <v>19</v>
      </c>
      <c r="C8" s="37" t="s">
        <v>45</v>
      </c>
      <c r="D8" s="26">
        <v>46169</v>
      </c>
      <c r="E8" s="14">
        <v>2</v>
      </c>
      <c r="F8" s="14"/>
      <c r="G8" s="14"/>
      <c r="H8" s="38" t="s">
        <v>46</v>
      </c>
      <c r="I8" s="14" t="s">
        <v>40</v>
      </c>
    </row>
    <row r="9" spans="1:10" ht="18" x14ac:dyDescent="0.35">
      <c r="A9" s="14">
        <v>3</v>
      </c>
      <c r="B9" s="9" t="s">
        <v>19</v>
      </c>
      <c r="C9" s="21" t="s">
        <v>54</v>
      </c>
      <c r="D9" s="26">
        <v>46166</v>
      </c>
      <c r="E9" s="14">
        <v>2</v>
      </c>
      <c r="F9" s="14"/>
      <c r="G9" s="14" t="s">
        <v>56</v>
      </c>
      <c r="H9" s="14" t="s">
        <v>55</v>
      </c>
      <c r="I9" s="14" t="s">
        <v>50</v>
      </c>
    </row>
    <row r="10" spans="1:10" ht="18" x14ac:dyDescent="0.35">
      <c r="A10" s="14">
        <v>4</v>
      </c>
      <c r="B10" s="14"/>
      <c r="C10" s="21"/>
      <c r="D10" s="26"/>
      <c r="E10" s="14"/>
      <c r="F10" s="14"/>
      <c r="G10" s="14"/>
      <c r="H10" s="14"/>
      <c r="I10" s="14"/>
    </row>
    <row r="11" spans="1:10" ht="18" x14ac:dyDescent="0.35">
      <c r="A11" s="14">
        <v>5</v>
      </c>
      <c r="B11" s="14"/>
      <c r="C11" s="21"/>
      <c r="D11" s="26"/>
      <c r="E11" s="14"/>
      <c r="F11" s="14"/>
      <c r="G11" s="14"/>
      <c r="H11" s="14"/>
      <c r="I11" s="14"/>
    </row>
    <row r="12" spans="1:10" ht="18" x14ac:dyDescent="0.35">
      <c r="A12" s="14">
        <v>6</v>
      </c>
      <c r="B12" s="14"/>
      <c r="C12" s="21"/>
      <c r="D12" s="26"/>
      <c r="E12" s="14"/>
      <c r="F12" s="14"/>
      <c r="G12" s="14"/>
      <c r="H12" s="14"/>
      <c r="I12" s="14"/>
    </row>
    <row r="13" spans="1:10" ht="18" x14ac:dyDescent="0.35">
      <c r="A13" s="14">
        <v>7</v>
      </c>
      <c r="B13" s="14"/>
      <c r="C13" s="21"/>
      <c r="D13" s="26"/>
      <c r="E13" s="14"/>
      <c r="F13" s="14"/>
      <c r="G13" s="14"/>
      <c r="H13" s="14"/>
      <c r="I13" s="14"/>
    </row>
    <row r="14" spans="1:10" ht="18" x14ac:dyDescent="0.35">
      <c r="A14" s="14">
        <v>8</v>
      </c>
      <c r="B14" s="10"/>
      <c r="C14" s="11"/>
      <c r="D14" s="12"/>
      <c r="E14" s="10"/>
      <c r="F14" s="10"/>
      <c r="G14" s="10"/>
      <c r="H14" s="13"/>
      <c r="I14" s="11"/>
    </row>
    <row r="15" spans="1:10" ht="18" x14ac:dyDescent="0.35">
      <c r="A15" s="14">
        <v>9</v>
      </c>
      <c r="B15" s="10"/>
      <c r="C15" s="11"/>
      <c r="D15" s="12"/>
      <c r="E15" s="10"/>
      <c r="F15" s="10"/>
      <c r="G15" s="10"/>
      <c r="H15" s="11"/>
      <c r="I15" s="11"/>
    </row>
    <row r="16" spans="1:10" ht="18" x14ac:dyDescent="0.35">
      <c r="A16" s="14">
        <v>10</v>
      </c>
      <c r="B16" s="10"/>
      <c r="C16" s="11"/>
      <c r="D16" s="12"/>
      <c r="E16" s="10"/>
      <c r="F16" s="10"/>
      <c r="G16" s="10"/>
      <c r="H16" s="11"/>
      <c r="I16" s="11"/>
    </row>
    <row r="17" spans="1:9" ht="18" x14ac:dyDescent="0.35">
      <c r="A17" s="14">
        <v>11</v>
      </c>
      <c r="B17" s="10"/>
      <c r="C17" s="11"/>
      <c r="D17" s="12"/>
      <c r="E17" s="10"/>
      <c r="F17" s="10"/>
      <c r="G17" s="10"/>
      <c r="H17" s="10"/>
      <c r="I17" s="11"/>
    </row>
    <row r="18" spans="1:9" ht="18" x14ac:dyDescent="0.35">
      <c r="A18" s="14">
        <v>12</v>
      </c>
      <c r="B18" s="10"/>
      <c r="C18" s="11"/>
      <c r="D18" s="12"/>
      <c r="E18" s="10"/>
      <c r="F18" s="10"/>
      <c r="G18" s="10"/>
      <c r="H18" s="10"/>
      <c r="I18" s="11"/>
    </row>
    <row r="19" spans="1:9" ht="18" x14ac:dyDescent="0.35">
      <c r="A19" s="14">
        <v>13</v>
      </c>
      <c r="B19" s="10"/>
      <c r="C19" s="11"/>
      <c r="D19" s="12"/>
      <c r="E19" s="10"/>
      <c r="F19" s="10"/>
      <c r="G19" s="10"/>
      <c r="H19" s="10"/>
      <c r="I19" s="11"/>
    </row>
    <row r="20" spans="1:9" ht="18" x14ac:dyDescent="0.35">
      <c r="A20" s="14">
        <v>14</v>
      </c>
      <c r="B20" s="10"/>
      <c r="C20" s="11"/>
      <c r="D20" s="12"/>
      <c r="E20" s="10"/>
      <c r="F20" s="10"/>
      <c r="G20" s="10"/>
      <c r="H20" s="10"/>
      <c r="I20" s="11"/>
    </row>
    <row r="21" spans="1:9" ht="18" x14ac:dyDescent="0.35">
      <c r="A21" s="14">
        <v>15</v>
      </c>
      <c r="B21" s="10"/>
      <c r="C21" s="11"/>
      <c r="D21" s="12"/>
      <c r="E21" s="10"/>
      <c r="F21" s="10"/>
      <c r="G21" s="10"/>
      <c r="H21" s="10"/>
      <c r="I21" s="11"/>
    </row>
    <row r="22" spans="1:9" ht="18" x14ac:dyDescent="0.35">
      <c r="A22" s="14">
        <v>16</v>
      </c>
      <c r="B22" s="10"/>
      <c r="C22" s="11"/>
      <c r="D22" s="12"/>
      <c r="E22" s="10"/>
      <c r="F22" s="10"/>
      <c r="G22" s="10"/>
      <c r="H22" s="10"/>
      <c r="I22" s="11"/>
    </row>
    <row r="23" spans="1:9" ht="18" x14ac:dyDescent="0.35">
      <c r="A23" s="14">
        <v>17</v>
      </c>
      <c r="B23" s="10"/>
      <c r="C23" s="11"/>
      <c r="D23" s="12"/>
      <c r="E23" s="10"/>
      <c r="F23" s="10"/>
      <c r="G23" s="10"/>
      <c r="H23" s="10"/>
      <c r="I23" s="11"/>
    </row>
    <row r="24" spans="1:9" ht="18" x14ac:dyDescent="0.35">
      <c r="A24" s="14">
        <v>18</v>
      </c>
      <c r="B24" s="10"/>
      <c r="C24" s="11"/>
      <c r="D24" s="12"/>
      <c r="E24" s="10"/>
      <c r="F24" s="10"/>
      <c r="G24" s="10"/>
      <c r="H24" s="10"/>
      <c r="I24" s="11"/>
    </row>
    <row r="25" spans="1:9" ht="18" x14ac:dyDescent="0.35">
      <c r="A25" s="14">
        <v>19</v>
      </c>
      <c r="B25" s="10"/>
      <c r="C25" s="11"/>
      <c r="D25" s="12"/>
      <c r="E25" s="10"/>
      <c r="F25" s="10"/>
      <c r="G25" s="10"/>
      <c r="H25" s="10"/>
      <c r="I25" s="11"/>
    </row>
    <row r="26" spans="1:9" ht="18" x14ac:dyDescent="0.35">
      <c r="A26" s="14">
        <v>20</v>
      </c>
      <c r="B26" s="10"/>
      <c r="C26" s="11"/>
      <c r="D26" s="12"/>
      <c r="E26" s="10"/>
      <c r="F26" s="10"/>
      <c r="G26" s="10"/>
      <c r="H26" s="10"/>
      <c r="I26" s="11"/>
    </row>
    <row r="27" spans="1:9" ht="18" x14ac:dyDescent="0.35">
      <c r="A27" s="2"/>
      <c r="B27" s="2"/>
      <c r="C27" s="2" t="s">
        <v>17</v>
      </c>
      <c r="D27" s="27" t="s">
        <v>4</v>
      </c>
      <c r="E27" s="3">
        <f>SUM(E7:E26)</f>
        <v>6</v>
      </c>
      <c r="F27" s="3">
        <f>SUM(F7:F26)</f>
        <v>0</v>
      </c>
      <c r="G27" s="2"/>
      <c r="H27" s="2"/>
      <c r="I27" s="2"/>
    </row>
    <row r="28" spans="1:9" ht="18" x14ac:dyDescent="0.35">
      <c r="A28" s="2"/>
      <c r="B28" s="4"/>
      <c r="C28" s="4"/>
      <c r="D28" s="28"/>
      <c r="E28" s="4"/>
      <c r="F28" s="4"/>
      <c r="G28" s="4"/>
      <c r="H28" s="2"/>
      <c r="I28" s="2"/>
    </row>
    <row r="29" spans="1:9" x14ac:dyDescent="0.3">
      <c r="B29" s="4" t="s">
        <v>8</v>
      </c>
    </row>
    <row r="30" spans="1:9" x14ac:dyDescent="0.3">
      <c r="B30" s="6" t="s">
        <v>11</v>
      </c>
      <c r="C30" s="7"/>
      <c r="D30" s="30"/>
      <c r="E30" s="7"/>
      <c r="F30" s="7"/>
    </row>
    <row r="31" spans="1:9" x14ac:dyDescent="0.3">
      <c r="B31" s="6" t="s">
        <v>14</v>
      </c>
      <c r="C31" s="7"/>
      <c r="D31" s="30"/>
      <c r="E31" s="7"/>
      <c r="F31" s="7"/>
    </row>
    <row r="32" spans="1:9" x14ac:dyDescent="0.3">
      <c r="B32" s="6" t="s">
        <v>13</v>
      </c>
      <c r="C32" s="7"/>
      <c r="D32" s="30"/>
      <c r="E32" s="7"/>
      <c r="F32" s="7"/>
    </row>
    <row r="33" spans="2:6" x14ac:dyDescent="0.3">
      <c r="B33" s="6" t="s">
        <v>12</v>
      </c>
      <c r="C33" s="7"/>
      <c r="D33" s="30"/>
      <c r="E33" s="7"/>
      <c r="F33" s="7"/>
    </row>
    <row r="34" spans="2:6" x14ac:dyDescent="0.3">
      <c r="B34" s="5" t="s">
        <v>9</v>
      </c>
    </row>
    <row r="35" spans="2:6" x14ac:dyDescent="0.3">
      <c r="B35" s="5" t="s">
        <v>10</v>
      </c>
    </row>
  </sheetData>
  <customSheetViews>
    <customSheetView guid="{EE1AD20C-1831-49F6-BB76-A0057F1F46DC}" fitToPage="1" topLeftCell="A2">
      <selection activeCell="G10" sqref="G10"/>
      <pageMargins left="0.7" right="0.7" top="0.75" bottom="0.75" header="0.3" footer="0.3"/>
      <pageSetup scale="86" orientation="landscape" r:id="rId1"/>
    </customSheetView>
    <customSheetView guid="{764E197A-ED2B-44E8-AE74-A147CD840ADF}" fitToPage="1" topLeftCell="A2">
      <selection activeCell="G10" sqref="G10"/>
      <pageMargins left="0.7" right="0.7" top="0.75" bottom="0.75" header="0.3" footer="0.3"/>
      <pageSetup scale="86" orientation="landscape" r:id="rId2"/>
    </customSheetView>
    <customSheetView guid="{1616C24E-F38B-4944-BE1B-EE2D6946597D}" fitToPage="1" topLeftCell="A2">
      <selection activeCell="G10" sqref="G10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zoomScaleNormal="100" workbookViewId="0">
      <selection activeCell="C19" sqref="C19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9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22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22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22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23"/>
      <c r="E4" s="1"/>
      <c r="F4" s="1"/>
      <c r="G4" s="1"/>
      <c r="H4" s="1"/>
      <c r="I4" s="1"/>
    </row>
    <row r="5" spans="1:9" ht="23.4" x14ac:dyDescent="0.45">
      <c r="A5" s="94" t="s">
        <v>18</v>
      </c>
      <c r="B5" s="95"/>
      <c r="C5" s="95"/>
      <c r="D5" s="95"/>
      <c r="E5" s="95"/>
      <c r="F5" s="95"/>
      <c r="G5" s="95"/>
      <c r="H5" s="15" t="s">
        <v>5</v>
      </c>
      <c r="I5" s="8" t="str">
        <f ca="1">CONCATENATE((MID(CELL("filename",I5),FIND("]",CELL("filename",I5))+1,255)),"/05/2026")</f>
        <v>25/05/2026</v>
      </c>
    </row>
    <row r="6" spans="1:9" ht="18.600000000000001" thickBot="1" x14ac:dyDescent="0.4">
      <c r="A6" s="16"/>
      <c r="B6" s="17" t="s">
        <v>16</v>
      </c>
      <c r="C6" s="17" t="s">
        <v>0</v>
      </c>
      <c r="D6" s="24" t="s">
        <v>15</v>
      </c>
      <c r="E6" s="17" t="s">
        <v>6</v>
      </c>
      <c r="F6" s="17" t="s">
        <v>3</v>
      </c>
      <c r="G6" s="17" t="s">
        <v>1</v>
      </c>
      <c r="H6" s="18" t="s">
        <v>7</v>
      </c>
      <c r="I6" s="19" t="s">
        <v>2</v>
      </c>
    </row>
    <row r="7" spans="1:9" ht="18" x14ac:dyDescent="0.35">
      <c r="A7" s="9">
        <v>1</v>
      </c>
      <c r="B7" s="14" t="s">
        <v>19</v>
      </c>
      <c r="C7" s="35" t="s">
        <v>33</v>
      </c>
      <c r="D7" s="26">
        <v>46169</v>
      </c>
      <c r="E7" s="14">
        <v>2</v>
      </c>
      <c r="F7" s="14"/>
      <c r="G7" s="14"/>
      <c r="H7" s="36">
        <v>32661983266200</v>
      </c>
      <c r="I7" s="14" t="s">
        <v>34</v>
      </c>
    </row>
    <row r="8" spans="1:9" ht="18" x14ac:dyDescent="0.35">
      <c r="A8" s="14">
        <v>2</v>
      </c>
      <c r="B8" s="14"/>
      <c r="C8" s="21"/>
      <c r="D8" s="26"/>
      <c r="E8" s="14"/>
      <c r="F8" s="14"/>
      <c r="G8" s="14"/>
      <c r="H8" s="14"/>
      <c r="I8" s="14"/>
    </row>
    <row r="9" spans="1:9" ht="18" x14ac:dyDescent="0.35">
      <c r="A9" s="14">
        <v>3</v>
      </c>
      <c r="B9" s="14"/>
      <c r="C9" s="21"/>
      <c r="D9" s="26"/>
      <c r="E9" s="14"/>
      <c r="F9" s="14"/>
      <c r="G9" s="14"/>
      <c r="H9" s="14"/>
      <c r="I9" s="14"/>
    </row>
    <row r="10" spans="1:9" ht="18" x14ac:dyDescent="0.35">
      <c r="A10" s="14">
        <v>4</v>
      </c>
      <c r="B10" s="14"/>
      <c r="C10" s="21"/>
      <c r="D10" s="26"/>
      <c r="E10" s="14"/>
      <c r="F10" s="14"/>
      <c r="G10" s="14"/>
      <c r="H10" s="14"/>
      <c r="I10" s="14"/>
    </row>
    <row r="11" spans="1:9" ht="18" x14ac:dyDescent="0.35">
      <c r="A11" s="14">
        <v>5</v>
      </c>
      <c r="B11" s="14"/>
      <c r="C11" s="21"/>
      <c r="D11" s="26"/>
      <c r="E11" s="14"/>
      <c r="F11" s="14"/>
      <c r="G11" s="14"/>
      <c r="H11" s="14"/>
      <c r="I11" s="14"/>
    </row>
    <row r="12" spans="1:9" ht="18" x14ac:dyDescent="0.35">
      <c r="A12" s="14">
        <v>6</v>
      </c>
      <c r="B12" s="14"/>
      <c r="C12" s="21"/>
      <c r="D12" s="26"/>
      <c r="E12" s="14"/>
      <c r="F12" s="14"/>
      <c r="G12" s="14"/>
      <c r="H12" s="14"/>
      <c r="I12" s="14"/>
    </row>
    <row r="13" spans="1:9" ht="18" x14ac:dyDescent="0.35">
      <c r="A13" s="14">
        <v>7</v>
      </c>
      <c r="B13" s="14"/>
      <c r="C13" s="21"/>
      <c r="D13" s="26"/>
      <c r="E13" s="14"/>
      <c r="F13" s="14"/>
      <c r="G13" s="14"/>
      <c r="H13" s="14"/>
      <c r="I13" s="14"/>
    </row>
    <row r="14" spans="1:9" ht="18" x14ac:dyDescent="0.35">
      <c r="A14" s="14">
        <v>8</v>
      </c>
      <c r="B14" s="10"/>
      <c r="C14" s="11"/>
      <c r="D14" s="12"/>
      <c r="E14" s="10"/>
      <c r="F14" s="10"/>
      <c r="G14" s="10"/>
      <c r="H14" s="13"/>
      <c r="I14" s="11"/>
    </row>
    <row r="15" spans="1:9" ht="18" x14ac:dyDescent="0.35">
      <c r="A15" s="14">
        <v>9</v>
      </c>
      <c r="B15" s="10"/>
      <c r="C15" s="11"/>
      <c r="D15" s="12"/>
      <c r="E15" s="10"/>
      <c r="F15" s="10"/>
      <c r="G15" s="10"/>
      <c r="H15" s="11"/>
      <c r="I15" s="11"/>
    </row>
    <row r="16" spans="1:9" ht="18" x14ac:dyDescent="0.35">
      <c r="A16" s="14">
        <v>10</v>
      </c>
      <c r="B16" s="10"/>
      <c r="C16" s="11"/>
      <c r="D16" s="12"/>
      <c r="E16" s="10"/>
      <c r="F16" s="10"/>
      <c r="G16" s="10"/>
      <c r="H16" s="11"/>
      <c r="I16" s="11"/>
    </row>
    <row r="17" spans="1:9" ht="18" x14ac:dyDescent="0.35">
      <c r="A17" s="14">
        <v>11</v>
      </c>
      <c r="B17" s="10"/>
      <c r="C17" s="11"/>
      <c r="D17" s="12"/>
      <c r="E17" s="10"/>
      <c r="F17" s="10"/>
      <c r="G17" s="10"/>
      <c r="H17" s="10"/>
      <c r="I17" s="11"/>
    </row>
    <row r="18" spans="1:9" ht="18" x14ac:dyDescent="0.35">
      <c r="A18" s="14">
        <v>12</v>
      </c>
      <c r="B18" s="10"/>
      <c r="C18" s="11"/>
      <c r="D18" s="12"/>
      <c r="E18" s="10"/>
      <c r="F18" s="10"/>
      <c r="G18" s="10"/>
      <c r="H18" s="10"/>
      <c r="I18" s="11"/>
    </row>
    <row r="19" spans="1:9" ht="18" x14ac:dyDescent="0.35">
      <c r="A19" s="14">
        <v>13</v>
      </c>
      <c r="B19" s="10"/>
      <c r="C19" s="11"/>
      <c r="D19" s="12"/>
      <c r="E19" s="10"/>
      <c r="F19" s="10"/>
      <c r="G19" s="10"/>
      <c r="H19" s="10"/>
      <c r="I19" s="11"/>
    </row>
    <row r="20" spans="1:9" ht="18" x14ac:dyDescent="0.35">
      <c r="A20" s="14">
        <v>14</v>
      </c>
      <c r="B20" s="10"/>
      <c r="C20" s="11"/>
      <c r="D20" s="12"/>
      <c r="E20" s="10"/>
      <c r="F20" s="10"/>
      <c r="G20" s="10"/>
      <c r="H20" s="10"/>
      <c r="I20" s="11"/>
    </row>
    <row r="21" spans="1:9" ht="18" x14ac:dyDescent="0.35">
      <c r="A21" s="14">
        <v>15</v>
      </c>
      <c r="B21" s="10"/>
      <c r="C21" s="11"/>
      <c r="D21" s="12"/>
      <c r="E21" s="10"/>
      <c r="F21" s="10"/>
      <c r="G21" s="10"/>
      <c r="H21" s="10"/>
      <c r="I21" s="11"/>
    </row>
    <row r="22" spans="1:9" ht="18" x14ac:dyDescent="0.35">
      <c r="A22" s="14">
        <v>16</v>
      </c>
      <c r="B22" s="10"/>
      <c r="C22" s="11"/>
      <c r="D22" s="12"/>
      <c r="E22" s="10"/>
      <c r="F22" s="10"/>
      <c r="G22" s="10"/>
      <c r="H22" s="10"/>
      <c r="I22" s="11"/>
    </row>
    <row r="23" spans="1:9" ht="18" x14ac:dyDescent="0.35">
      <c r="A23" s="14">
        <v>17</v>
      </c>
      <c r="B23" s="10"/>
      <c r="C23" s="11"/>
      <c r="D23" s="12"/>
      <c r="E23" s="10"/>
      <c r="F23" s="10"/>
      <c r="G23" s="10"/>
      <c r="H23" s="10"/>
      <c r="I23" s="11"/>
    </row>
    <row r="24" spans="1:9" ht="18" x14ac:dyDescent="0.35">
      <c r="A24" s="14">
        <v>18</v>
      </c>
      <c r="B24" s="10"/>
      <c r="C24" s="11"/>
      <c r="D24" s="12"/>
      <c r="E24" s="10"/>
      <c r="F24" s="10"/>
      <c r="G24" s="10"/>
      <c r="H24" s="10"/>
      <c r="I24" s="11"/>
    </row>
    <row r="25" spans="1:9" ht="18" x14ac:dyDescent="0.35">
      <c r="A25" s="14">
        <v>19</v>
      </c>
      <c r="B25" s="10"/>
      <c r="C25" s="11"/>
      <c r="D25" s="12"/>
      <c r="E25" s="10"/>
      <c r="F25" s="10"/>
      <c r="G25" s="10"/>
      <c r="H25" s="10"/>
      <c r="I25" s="11"/>
    </row>
    <row r="26" spans="1:9" ht="18" x14ac:dyDescent="0.35">
      <c r="A26" s="14">
        <v>20</v>
      </c>
      <c r="B26" s="10"/>
      <c r="C26" s="11"/>
      <c r="D26" s="12"/>
      <c r="E26" s="10"/>
      <c r="F26" s="10"/>
      <c r="G26" s="10"/>
      <c r="H26" s="10"/>
      <c r="I26" s="11"/>
    </row>
    <row r="27" spans="1:9" ht="18" x14ac:dyDescent="0.35">
      <c r="A27" s="2"/>
      <c r="B27" s="2"/>
      <c r="C27" s="2" t="s">
        <v>17</v>
      </c>
      <c r="D27" s="27" t="s">
        <v>4</v>
      </c>
      <c r="E27" s="3">
        <f>SUM(E7:E26)</f>
        <v>2</v>
      </c>
      <c r="F27" s="3">
        <f>SUM(F7:F26)</f>
        <v>0</v>
      </c>
      <c r="G27" s="2"/>
      <c r="H27" s="2"/>
      <c r="I27" s="2"/>
    </row>
    <row r="28" spans="1:9" ht="18" x14ac:dyDescent="0.35">
      <c r="A28" s="2"/>
      <c r="B28" s="4"/>
      <c r="C28" s="4"/>
      <c r="D28" s="28"/>
      <c r="E28" s="4"/>
      <c r="F28" s="4"/>
      <c r="G28" s="4"/>
      <c r="H28" s="2"/>
      <c r="I28" s="2"/>
    </row>
    <row r="29" spans="1:9" x14ac:dyDescent="0.3">
      <c r="B29" s="4" t="s">
        <v>8</v>
      </c>
    </row>
    <row r="30" spans="1:9" x14ac:dyDescent="0.3">
      <c r="B30" s="6" t="s">
        <v>11</v>
      </c>
      <c r="C30" s="7"/>
      <c r="D30" s="30"/>
      <c r="E30" s="7"/>
      <c r="F30" s="7"/>
    </row>
    <row r="31" spans="1:9" x14ac:dyDescent="0.3">
      <c r="B31" s="6" t="s">
        <v>14</v>
      </c>
      <c r="C31" s="7"/>
      <c r="D31" s="30"/>
      <c r="E31" s="7"/>
      <c r="F31" s="7"/>
    </row>
    <row r="32" spans="1:9" x14ac:dyDescent="0.3">
      <c r="B32" s="6" t="s">
        <v>13</v>
      </c>
      <c r="C32" s="7"/>
      <c r="D32" s="30"/>
      <c r="E32" s="7"/>
      <c r="F32" s="7"/>
    </row>
    <row r="33" spans="2:6" x14ac:dyDescent="0.3">
      <c r="B33" s="6" t="s">
        <v>12</v>
      </c>
      <c r="C33" s="7"/>
      <c r="D33" s="30"/>
      <c r="E33" s="7"/>
      <c r="F33" s="7"/>
    </row>
    <row r="34" spans="2:6" x14ac:dyDescent="0.3">
      <c r="B34" s="5" t="s">
        <v>9</v>
      </c>
    </row>
    <row r="35" spans="2:6" x14ac:dyDescent="0.3">
      <c r="B35" s="5" t="s">
        <v>10</v>
      </c>
    </row>
  </sheetData>
  <customSheetViews>
    <customSheetView guid="{EE1AD20C-1831-49F6-BB76-A0057F1F46DC}" fitToPage="1">
      <selection activeCell="C19" sqref="C19"/>
      <pageMargins left="0.7" right="0.7" top="0.75" bottom="0.75" header="0.3" footer="0.3"/>
      <pageSetup scale="81" orientation="landscape" r:id="rId1"/>
    </customSheetView>
    <customSheetView guid="{764E197A-ED2B-44E8-AE74-A147CD840ADF}" fitToPage="1">
      <selection activeCell="C19" sqref="C19"/>
      <pageMargins left="0.7" right="0.7" top="0.75" bottom="0.75" header="0.3" footer="0.3"/>
      <pageSetup scale="81" orientation="landscape" r:id="rId2"/>
    </customSheetView>
    <customSheetView guid="{1616C24E-F38B-4944-BE1B-EE2D6946597D}" fitToPage="1">
      <selection activeCell="C19" sqref="C19"/>
      <pageMargins left="0.7" right="0.7" top="0.75" bottom="0.75" header="0.3" footer="0.3"/>
      <pageSetup scale="81" orientation="landscape" r:id="rId3"/>
    </customSheetView>
  </customSheetViews>
  <mergeCells count="1">
    <mergeCell ref="A5:G5"/>
  </mergeCells>
  <pageMargins left="0.7" right="0.7" top="0.75" bottom="0.75" header="0.3" footer="0.3"/>
  <pageSetup scale="81" orientation="landscape" r:id="rId4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topLeftCell="A2" workbookViewId="0">
      <selection activeCell="D8" sqref="D8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9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22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22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22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23"/>
      <c r="E4" s="1"/>
      <c r="F4" s="1"/>
      <c r="G4" s="1"/>
      <c r="H4" s="1"/>
      <c r="I4" s="1"/>
    </row>
    <row r="5" spans="1:9" ht="23.4" x14ac:dyDescent="0.45">
      <c r="A5" s="94" t="s">
        <v>18</v>
      </c>
      <c r="B5" s="95"/>
      <c r="C5" s="95"/>
      <c r="D5" s="95"/>
      <c r="E5" s="95"/>
      <c r="F5" s="95"/>
      <c r="G5" s="95"/>
      <c r="H5" s="15" t="s">
        <v>5</v>
      </c>
      <c r="I5" s="8" t="str">
        <f ca="1">CONCATENATE((MID(CELL("filename",I5),FIND("]",CELL("filename",I5))+1,255)),"/05/2026")</f>
        <v>27/05/2026</v>
      </c>
    </row>
    <row r="6" spans="1:9" ht="18.600000000000001" thickBot="1" x14ac:dyDescent="0.4">
      <c r="A6" s="16"/>
      <c r="B6" s="17" t="s">
        <v>16</v>
      </c>
      <c r="C6" s="17" t="s">
        <v>0</v>
      </c>
      <c r="D6" s="24" t="s">
        <v>15</v>
      </c>
      <c r="E6" s="17" t="s">
        <v>6</v>
      </c>
      <c r="F6" s="17" t="s">
        <v>3</v>
      </c>
      <c r="G6" s="17" t="s">
        <v>1</v>
      </c>
      <c r="H6" s="18" t="s">
        <v>7</v>
      </c>
      <c r="I6" s="19" t="s">
        <v>2</v>
      </c>
    </row>
    <row r="7" spans="1:9" ht="18" x14ac:dyDescent="0.35">
      <c r="A7" s="9">
        <v>1</v>
      </c>
      <c r="B7" s="9" t="s">
        <v>19</v>
      </c>
      <c r="C7" s="40" t="s">
        <v>47</v>
      </c>
      <c r="D7" s="25">
        <v>46171</v>
      </c>
      <c r="E7" s="9">
        <v>2</v>
      </c>
      <c r="F7" s="9"/>
      <c r="G7" s="9"/>
      <c r="H7" s="41" t="s">
        <v>48</v>
      </c>
      <c r="I7" s="9" t="s">
        <v>44</v>
      </c>
    </row>
    <row r="8" spans="1:9" ht="18" x14ac:dyDescent="0.35">
      <c r="A8" s="14">
        <v>2</v>
      </c>
      <c r="B8" s="14"/>
      <c r="C8" s="21"/>
      <c r="D8" s="26"/>
      <c r="E8" s="14"/>
      <c r="F8" s="14"/>
      <c r="G8" s="14"/>
      <c r="H8" s="14"/>
      <c r="I8" s="14"/>
    </row>
    <row r="9" spans="1:9" ht="18" x14ac:dyDescent="0.35">
      <c r="A9" s="14">
        <v>3</v>
      </c>
      <c r="B9" s="14"/>
      <c r="C9" s="21"/>
      <c r="D9" s="26"/>
      <c r="E9" s="14"/>
      <c r="F9" s="14"/>
      <c r="G9" s="14"/>
      <c r="H9" s="14"/>
      <c r="I9" s="14"/>
    </row>
    <row r="10" spans="1:9" ht="18" x14ac:dyDescent="0.35">
      <c r="A10" s="14">
        <v>4</v>
      </c>
      <c r="B10" s="14"/>
      <c r="C10" s="21"/>
      <c r="D10" s="26"/>
      <c r="E10" s="14"/>
      <c r="F10" s="14"/>
      <c r="G10" s="14"/>
      <c r="H10" s="14"/>
      <c r="I10" s="14"/>
    </row>
    <row r="11" spans="1:9" ht="18" x14ac:dyDescent="0.35">
      <c r="A11" s="14">
        <v>5</v>
      </c>
      <c r="B11" s="14"/>
      <c r="C11" s="21"/>
      <c r="D11" s="26"/>
      <c r="E11" s="14"/>
      <c r="F11" s="14"/>
      <c r="G11" s="14"/>
      <c r="H11" s="14"/>
      <c r="I11" s="14"/>
    </row>
    <row r="12" spans="1:9" ht="18" x14ac:dyDescent="0.35">
      <c r="A12" s="14">
        <v>6</v>
      </c>
      <c r="B12" s="14"/>
      <c r="C12" s="21"/>
      <c r="D12" s="26"/>
      <c r="E12" s="14"/>
      <c r="F12" s="14"/>
      <c r="G12" s="14"/>
      <c r="H12" s="14"/>
      <c r="I12" s="14"/>
    </row>
    <row r="13" spans="1:9" ht="18" x14ac:dyDescent="0.35">
      <c r="A13" s="14">
        <v>7</v>
      </c>
      <c r="B13" s="14"/>
      <c r="C13" s="21"/>
      <c r="D13" s="26"/>
      <c r="E13" s="14"/>
      <c r="F13" s="14"/>
      <c r="G13" s="14"/>
      <c r="H13" s="14"/>
      <c r="I13" s="14"/>
    </row>
    <row r="14" spans="1:9" ht="18" x14ac:dyDescent="0.35">
      <c r="A14" s="14">
        <v>8</v>
      </c>
      <c r="B14" s="10"/>
      <c r="C14" s="11"/>
      <c r="D14" s="12"/>
      <c r="E14" s="10"/>
      <c r="F14" s="10"/>
      <c r="G14" s="10"/>
      <c r="H14" s="13"/>
      <c r="I14" s="11"/>
    </row>
    <row r="15" spans="1:9" ht="18" x14ac:dyDescent="0.35">
      <c r="A15" s="14">
        <v>9</v>
      </c>
      <c r="B15" s="10"/>
      <c r="C15" s="11"/>
      <c r="D15" s="12"/>
      <c r="E15" s="10"/>
      <c r="F15" s="10"/>
      <c r="G15" s="10"/>
      <c r="H15" s="11"/>
      <c r="I15" s="11"/>
    </row>
    <row r="16" spans="1:9" ht="18" x14ac:dyDescent="0.35">
      <c r="A16" s="14">
        <v>10</v>
      </c>
      <c r="B16" s="10"/>
      <c r="C16" s="11"/>
      <c r="D16" s="12"/>
      <c r="E16" s="10"/>
      <c r="F16" s="10"/>
      <c r="G16" s="10"/>
      <c r="H16" s="11"/>
      <c r="I16" s="11"/>
    </row>
    <row r="17" spans="1:9" ht="18" x14ac:dyDescent="0.35">
      <c r="A17" s="14">
        <v>11</v>
      </c>
      <c r="B17" s="10"/>
      <c r="C17" s="11"/>
      <c r="D17" s="12"/>
      <c r="E17" s="10"/>
      <c r="F17" s="10"/>
      <c r="G17" s="10"/>
      <c r="H17" s="10"/>
      <c r="I17" s="11"/>
    </row>
    <row r="18" spans="1:9" ht="18" x14ac:dyDescent="0.35">
      <c r="A18" s="14">
        <v>12</v>
      </c>
      <c r="B18" s="10"/>
      <c r="C18" s="11"/>
      <c r="D18" s="12"/>
      <c r="E18" s="10"/>
      <c r="F18" s="10"/>
      <c r="G18" s="10"/>
      <c r="H18" s="10"/>
      <c r="I18" s="11"/>
    </row>
    <row r="19" spans="1:9" ht="18" x14ac:dyDescent="0.35">
      <c r="A19" s="14">
        <v>13</v>
      </c>
      <c r="B19" s="10"/>
      <c r="C19" s="11"/>
      <c r="D19" s="12"/>
      <c r="E19" s="10"/>
      <c r="F19" s="10"/>
      <c r="G19" s="10"/>
      <c r="H19" s="10"/>
      <c r="I19" s="11"/>
    </row>
    <row r="20" spans="1:9" ht="18" x14ac:dyDescent="0.35">
      <c r="A20" s="14">
        <v>14</v>
      </c>
      <c r="B20" s="10"/>
      <c r="C20" s="11"/>
      <c r="D20" s="12"/>
      <c r="E20" s="10"/>
      <c r="F20" s="10"/>
      <c r="G20" s="10"/>
      <c r="H20" s="10"/>
      <c r="I20" s="11"/>
    </row>
    <row r="21" spans="1:9" ht="18" x14ac:dyDescent="0.35">
      <c r="A21" s="14">
        <v>15</v>
      </c>
      <c r="B21" s="10"/>
      <c r="C21" s="11"/>
      <c r="D21" s="12"/>
      <c r="E21" s="10"/>
      <c r="F21" s="10"/>
      <c r="G21" s="10"/>
      <c r="H21" s="10"/>
      <c r="I21" s="11"/>
    </row>
    <row r="22" spans="1:9" ht="18" x14ac:dyDescent="0.35">
      <c r="A22" s="14">
        <v>16</v>
      </c>
      <c r="B22" s="10"/>
      <c r="C22" s="11"/>
      <c r="D22" s="12"/>
      <c r="E22" s="10"/>
      <c r="F22" s="10"/>
      <c r="G22" s="10"/>
      <c r="H22" s="10"/>
      <c r="I22" s="11"/>
    </row>
    <row r="23" spans="1:9" ht="18" x14ac:dyDescent="0.35">
      <c r="A23" s="14">
        <v>17</v>
      </c>
      <c r="B23" s="10"/>
      <c r="C23" s="11"/>
      <c r="D23" s="12"/>
      <c r="E23" s="10"/>
      <c r="F23" s="10"/>
      <c r="G23" s="10"/>
      <c r="H23" s="10"/>
      <c r="I23" s="11"/>
    </row>
    <row r="24" spans="1:9" ht="18" x14ac:dyDescent="0.35">
      <c r="A24" s="14">
        <v>18</v>
      </c>
      <c r="B24" s="10"/>
      <c r="C24" s="11"/>
      <c r="D24" s="12"/>
      <c r="E24" s="10"/>
      <c r="F24" s="10"/>
      <c r="G24" s="10"/>
      <c r="H24" s="10"/>
      <c r="I24" s="11"/>
    </row>
    <row r="25" spans="1:9" ht="18" x14ac:dyDescent="0.35">
      <c r="A25" s="14">
        <v>19</v>
      </c>
      <c r="B25" s="10"/>
      <c r="C25" s="11"/>
      <c r="D25" s="12"/>
      <c r="E25" s="10"/>
      <c r="F25" s="10"/>
      <c r="G25" s="10"/>
      <c r="H25" s="10"/>
      <c r="I25" s="11"/>
    </row>
    <row r="26" spans="1:9" ht="18" x14ac:dyDescent="0.35">
      <c r="A26" s="14">
        <v>20</v>
      </c>
      <c r="B26" s="10"/>
      <c r="C26" s="11"/>
      <c r="D26" s="12"/>
      <c r="E26" s="10"/>
      <c r="F26" s="10"/>
      <c r="G26" s="10"/>
      <c r="H26" s="10"/>
      <c r="I26" s="11"/>
    </row>
    <row r="27" spans="1:9" ht="18" x14ac:dyDescent="0.35">
      <c r="A27" s="2"/>
      <c r="B27" s="2"/>
      <c r="C27" s="2" t="s">
        <v>17</v>
      </c>
      <c r="D27" s="27" t="s">
        <v>4</v>
      </c>
      <c r="E27" s="3">
        <f>SUM(E7:E26)</f>
        <v>2</v>
      </c>
      <c r="F27" s="3">
        <f>SUM(F7:F26)</f>
        <v>0</v>
      </c>
      <c r="G27" s="2"/>
      <c r="H27" s="2"/>
      <c r="I27" s="2"/>
    </row>
    <row r="28" spans="1:9" ht="18" x14ac:dyDescent="0.35">
      <c r="A28" s="2"/>
      <c r="B28" s="4"/>
      <c r="C28" s="4"/>
      <c r="D28" s="28"/>
      <c r="E28" s="4"/>
      <c r="F28" s="4"/>
      <c r="G28" s="4"/>
      <c r="H28" s="2"/>
      <c r="I28" s="2"/>
    </row>
    <row r="29" spans="1:9" x14ac:dyDescent="0.3">
      <c r="B29" s="4" t="s">
        <v>8</v>
      </c>
    </row>
    <row r="30" spans="1:9" x14ac:dyDescent="0.3">
      <c r="B30" s="6" t="s">
        <v>11</v>
      </c>
      <c r="C30" s="7"/>
      <c r="D30" s="30"/>
      <c r="E30" s="7"/>
      <c r="F30" s="7"/>
    </row>
    <row r="31" spans="1:9" x14ac:dyDescent="0.3">
      <c r="B31" s="6" t="s">
        <v>14</v>
      </c>
      <c r="C31" s="7"/>
      <c r="D31" s="30"/>
      <c r="E31" s="7"/>
      <c r="F31" s="7"/>
    </row>
    <row r="32" spans="1:9" x14ac:dyDescent="0.3">
      <c r="B32" s="6" t="s">
        <v>13</v>
      </c>
      <c r="C32" s="7"/>
      <c r="D32" s="30"/>
      <c r="E32" s="7"/>
      <c r="F32" s="7"/>
    </row>
    <row r="33" spans="2:6" x14ac:dyDescent="0.3">
      <c r="B33" s="6" t="s">
        <v>12</v>
      </c>
      <c r="C33" s="7"/>
      <c r="D33" s="30"/>
      <c r="E33" s="7"/>
      <c r="F33" s="7"/>
    </row>
    <row r="34" spans="2:6" x14ac:dyDescent="0.3">
      <c r="B34" s="5" t="s">
        <v>9</v>
      </c>
    </row>
    <row r="35" spans="2:6" x14ac:dyDescent="0.3">
      <c r="B35" s="5" t="s">
        <v>10</v>
      </c>
    </row>
  </sheetData>
  <customSheetViews>
    <customSheetView guid="{EE1AD20C-1831-49F6-BB76-A0057F1F46DC}" fitToPage="1" topLeftCell="A2">
      <selection activeCell="D8" sqref="D8"/>
      <pageMargins left="0.7" right="0.7" top="0.75" bottom="0.75" header="0.3" footer="0.3"/>
      <pageSetup scale="86" orientation="landscape" r:id="rId1"/>
    </customSheetView>
    <customSheetView guid="{764E197A-ED2B-44E8-AE74-A147CD840ADF}" fitToPage="1" topLeftCell="A2">
      <selection activeCell="D8" sqref="D8"/>
      <pageMargins left="0.7" right="0.7" top="0.75" bottom="0.75" header="0.3" footer="0.3"/>
      <pageSetup scale="86" orientation="landscape" r:id="rId2"/>
    </customSheetView>
    <customSheetView guid="{1616C24E-F38B-4944-BE1B-EE2D6946597D}" fitToPage="1" topLeftCell="A2">
      <selection activeCell="D8" sqref="D8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>
      <selection activeCell="D14" sqref="D14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9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22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22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22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23"/>
      <c r="E4" s="1"/>
      <c r="F4" s="1"/>
      <c r="G4" s="1"/>
      <c r="H4" s="1"/>
      <c r="I4" s="1"/>
    </row>
    <row r="5" spans="1:9" ht="23.4" x14ac:dyDescent="0.45">
      <c r="A5" s="94" t="s">
        <v>18</v>
      </c>
      <c r="B5" s="95"/>
      <c r="C5" s="95"/>
      <c r="D5" s="95"/>
      <c r="E5" s="95"/>
      <c r="F5" s="95"/>
      <c r="G5" s="95"/>
      <c r="H5" s="15" t="s">
        <v>5</v>
      </c>
      <c r="I5" s="8" t="str">
        <f ca="1">CONCATENATE((MID(CELL("filename",I5),FIND("]",CELL("filename",I5))+1,255)),"/05/2026")</f>
        <v>29/05/2026</v>
      </c>
    </row>
    <row r="6" spans="1:9" ht="18.600000000000001" thickBot="1" x14ac:dyDescent="0.4">
      <c r="A6" s="16"/>
      <c r="B6" s="17" t="s">
        <v>16</v>
      </c>
      <c r="C6" s="17" t="s">
        <v>0</v>
      </c>
      <c r="D6" s="24" t="s">
        <v>15</v>
      </c>
      <c r="E6" s="17" t="s">
        <v>6</v>
      </c>
      <c r="F6" s="17" t="s">
        <v>3</v>
      </c>
      <c r="G6" s="17" t="s">
        <v>1</v>
      </c>
      <c r="H6" s="18" t="s">
        <v>7</v>
      </c>
      <c r="I6" s="19" t="s">
        <v>2</v>
      </c>
    </row>
    <row r="7" spans="1:9" ht="18" x14ac:dyDescent="0.35">
      <c r="A7" s="9">
        <v>1</v>
      </c>
      <c r="B7" s="14" t="s">
        <v>19</v>
      </c>
      <c r="C7" s="14" t="s">
        <v>59</v>
      </c>
      <c r="D7" s="26">
        <v>46175</v>
      </c>
      <c r="E7" s="14">
        <v>2</v>
      </c>
      <c r="F7" s="14"/>
      <c r="G7" s="14"/>
      <c r="H7" s="14">
        <v>3276425</v>
      </c>
      <c r="I7" s="14" t="s">
        <v>50</v>
      </c>
    </row>
    <row r="8" spans="1:9" ht="18" x14ac:dyDescent="0.35">
      <c r="A8" s="14">
        <v>2</v>
      </c>
      <c r="B8" s="14" t="s">
        <v>19</v>
      </c>
      <c r="C8" s="14" t="s">
        <v>60</v>
      </c>
      <c r="D8" s="26">
        <v>46175</v>
      </c>
      <c r="E8" s="14">
        <v>2</v>
      </c>
      <c r="F8" s="14"/>
      <c r="G8" s="14"/>
      <c r="H8" s="14">
        <v>3276426</v>
      </c>
      <c r="I8" s="14" t="s">
        <v>50</v>
      </c>
    </row>
    <row r="9" spans="1:9" ht="18" x14ac:dyDescent="0.35">
      <c r="A9" s="14">
        <v>3</v>
      </c>
      <c r="B9" s="14" t="s">
        <v>19</v>
      </c>
      <c r="C9" s="14" t="s">
        <v>61</v>
      </c>
      <c r="D9" s="26">
        <v>46175</v>
      </c>
      <c r="E9" s="14">
        <v>2</v>
      </c>
      <c r="F9" s="14"/>
      <c r="G9" s="14"/>
      <c r="H9" s="14">
        <v>3276427</v>
      </c>
      <c r="I9" s="14" t="s">
        <v>50</v>
      </c>
    </row>
    <row r="10" spans="1:9" ht="18" x14ac:dyDescent="0.35">
      <c r="A10" s="14">
        <v>4</v>
      </c>
      <c r="B10" s="14" t="s">
        <v>19</v>
      </c>
      <c r="C10" s="39" t="s">
        <v>131</v>
      </c>
      <c r="D10" s="26">
        <v>46174</v>
      </c>
      <c r="E10" s="14">
        <v>2</v>
      </c>
      <c r="F10" s="14"/>
      <c r="G10" s="14"/>
      <c r="H10" s="38" t="s">
        <v>132</v>
      </c>
      <c r="I10" s="14" t="s">
        <v>133</v>
      </c>
    </row>
    <row r="11" spans="1:9" ht="18" x14ac:dyDescent="0.35">
      <c r="A11" s="14">
        <v>5</v>
      </c>
      <c r="B11" s="14" t="s">
        <v>19</v>
      </c>
      <c r="C11" s="97" t="s">
        <v>165</v>
      </c>
      <c r="D11" s="26">
        <v>46175</v>
      </c>
      <c r="E11" s="14">
        <v>2</v>
      </c>
      <c r="F11" s="14"/>
      <c r="G11" s="14"/>
      <c r="H11" s="14"/>
      <c r="I11" s="14" t="s">
        <v>30</v>
      </c>
    </row>
    <row r="12" spans="1:9" ht="18" x14ac:dyDescent="0.35">
      <c r="A12" s="14">
        <v>6</v>
      </c>
      <c r="B12" s="14"/>
      <c r="C12" s="21"/>
      <c r="D12" s="26"/>
      <c r="E12" s="14"/>
      <c r="F12" s="14"/>
      <c r="G12" s="14"/>
      <c r="H12" s="14"/>
      <c r="I12" s="14"/>
    </row>
    <row r="13" spans="1:9" ht="18" x14ac:dyDescent="0.35">
      <c r="A13" s="14">
        <v>7</v>
      </c>
      <c r="B13" s="14"/>
      <c r="C13" s="21"/>
      <c r="D13" s="26"/>
      <c r="E13" s="14"/>
      <c r="F13" s="14"/>
      <c r="G13" s="14"/>
      <c r="H13" s="14"/>
      <c r="I13" s="14"/>
    </row>
    <row r="14" spans="1:9" ht="18" x14ac:dyDescent="0.35">
      <c r="A14" s="14">
        <v>8</v>
      </c>
      <c r="B14" s="10"/>
      <c r="C14" s="11"/>
      <c r="D14" s="12"/>
      <c r="E14" s="10"/>
      <c r="F14" s="10"/>
      <c r="G14" s="10"/>
      <c r="H14" s="13"/>
      <c r="I14" s="11"/>
    </row>
    <row r="15" spans="1:9" ht="18" x14ac:dyDescent="0.35">
      <c r="A15" s="14">
        <v>9</v>
      </c>
      <c r="B15" s="10"/>
      <c r="C15" s="11"/>
      <c r="D15" s="12"/>
      <c r="E15" s="10"/>
      <c r="F15" s="10"/>
      <c r="G15" s="10"/>
      <c r="H15" s="11"/>
      <c r="I15" s="11"/>
    </row>
    <row r="16" spans="1:9" ht="18" x14ac:dyDescent="0.35">
      <c r="A16" s="14">
        <v>10</v>
      </c>
      <c r="B16" s="10"/>
      <c r="C16" s="11"/>
      <c r="D16" s="12"/>
      <c r="E16" s="10"/>
      <c r="F16" s="10"/>
      <c r="G16" s="10"/>
      <c r="H16" s="11"/>
      <c r="I16" s="11"/>
    </row>
    <row r="17" spans="1:9" ht="18" x14ac:dyDescent="0.35">
      <c r="A17" s="14">
        <v>11</v>
      </c>
      <c r="B17" s="10"/>
      <c r="C17" s="11"/>
      <c r="D17" s="12"/>
      <c r="E17" s="10"/>
      <c r="F17" s="10"/>
      <c r="G17" s="10"/>
      <c r="H17" s="10"/>
      <c r="I17" s="11"/>
    </row>
    <row r="18" spans="1:9" ht="18" x14ac:dyDescent="0.35">
      <c r="A18" s="14">
        <v>12</v>
      </c>
      <c r="B18" s="10"/>
      <c r="C18" s="11"/>
      <c r="D18" s="12"/>
      <c r="E18" s="10"/>
      <c r="F18" s="10"/>
      <c r="G18" s="10"/>
      <c r="H18" s="10"/>
      <c r="I18" s="11"/>
    </row>
    <row r="19" spans="1:9" ht="18" x14ac:dyDescent="0.35">
      <c r="A19" s="14">
        <v>13</v>
      </c>
      <c r="B19" s="10"/>
      <c r="C19" s="11"/>
      <c r="D19" s="12"/>
      <c r="E19" s="10"/>
      <c r="F19" s="10"/>
      <c r="G19" s="10"/>
      <c r="H19" s="10"/>
      <c r="I19" s="11"/>
    </row>
    <row r="20" spans="1:9" ht="18" x14ac:dyDescent="0.35">
      <c r="A20" s="14">
        <v>14</v>
      </c>
      <c r="B20" s="10"/>
      <c r="C20" s="11"/>
      <c r="D20" s="12"/>
      <c r="E20" s="10"/>
      <c r="F20" s="10"/>
      <c r="G20" s="10"/>
      <c r="H20" s="10"/>
      <c r="I20" s="11"/>
    </row>
    <row r="21" spans="1:9" ht="18" x14ac:dyDescent="0.35">
      <c r="A21" s="14">
        <v>15</v>
      </c>
      <c r="B21" s="10"/>
      <c r="C21" s="11"/>
      <c r="D21" s="12"/>
      <c r="E21" s="10"/>
      <c r="F21" s="10"/>
      <c r="G21" s="10"/>
      <c r="H21" s="10"/>
      <c r="I21" s="11"/>
    </row>
    <row r="22" spans="1:9" ht="18" x14ac:dyDescent="0.35">
      <c r="A22" s="14">
        <v>16</v>
      </c>
      <c r="B22" s="10"/>
      <c r="C22" s="11"/>
      <c r="D22" s="12"/>
      <c r="E22" s="10"/>
      <c r="F22" s="10"/>
      <c r="G22" s="10"/>
      <c r="H22" s="10"/>
      <c r="I22" s="11"/>
    </row>
    <row r="23" spans="1:9" ht="18" x14ac:dyDescent="0.35">
      <c r="A23" s="14">
        <v>17</v>
      </c>
      <c r="B23" s="10"/>
      <c r="C23" s="11"/>
      <c r="D23" s="12"/>
      <c r="E23" s="10"/>
      <c r="F23" s="10"/>
      <c r="G23" s="10"/>
      <c r="H23" s="10"/>
      <c r="I23" s="11"/>
    </row>
    <row r="24" spans="1:9" ht="18" x14ac:dyDescent="0.35">
      <c r="A24" s="14">
        <v>18</v>
      </c>
      <c r="B24" s="10"/>
      <c r="C24" s="11"/>
      <c r="D24" s="12"/>
      <c r="E24" s="10"/>
      <c r="F24" s="10"/>
      <c r="G24" s="10"/>
      <c r="H24" s="10"/>
      <c r="I24" s="11"/>
    </row>
    <row r="25" spans="1:9" ht="18" x14ac:dyDescent="0.35">
      <c r="A25" s="14">
        <v>19</v>
      </c>
      <c r="B25" s="10"/>
      <c r="C25" s="11"/>
      <c r="D25" s="12"/>
      <c r="E25" s="10"/>
      <c r="F25" s="10"/>
      <c r="G25" s="10"/>
      <c r="H25" s="10"/>
      <c r="I25" s="11"/>
    </row>
    <row r="26" spans="1:9" ht="18" x14ac:dyDescent="0.35">
      <c r="A26" s="14">
        <v>20</v>
      </c>
      <c r="B26" s="10"/>
      <c r="C26" s="11"/>
      <c r="D26" s="12"/>
      <c r="E26" s="10"/>
      <c r="F26" s="10"/>
      <c r="G26" s="10"/>
      <c r="H26" s="10"/>
      <c r="I26" s="11"/>
    </row>
    <row r="27" spans="1:9" ht="18" x14ac:dyDescent="0.35">
      <c r="A27" s="2"/>
      <c r="B27" s="2"/>
      <c r="C27" s="2" t="s">
        <v>17</v>
      </c>
      <c r="D27" s="27" t="s">
        <v>4</v>
      </c>
      <c r="E27" s="3">
        <f>SUM(E7:E26)</f>
        <v>10</v>
      </c>
      <c r="F27" s="3">
        <f>SUM(F7:F26)</f>
        <v>0</v>
      </c>
      <c r="G27" s="2"/>
      <c r="H27" s="2"/>
      <c r="I27" s="2"/>
    </row>
    <row r="28" spans="1:9" ht="18" x14ac:dyDescent="0.35">
      <c r="A28" s="2"/>
      <c r="B28" s="4"/>
      <c r="C28" s="4"/>
      <c r="D28" s="28"/>
      <c r="E28" s="4"/>
      <c r="F28" s="4"/>
      <c r="G28" s="4"/>
      <c r="H28" s="2"/>
      <c r="I28" s="2"/>
    </row>
    <row r="29" spans="1:9" x14ac:dyDescent="0.3">
      <c r="B29" s="4" t="s">
        <v>8</v>
      </c>
    </row>
    <row r="30" spans="1:9" x14ac:dyDescent="0.3">
      <c r="B30" s="6" t="s">
        <v>11</v>
      </c>
      <c r="C30" s="7"/>
      <c r="D30" s="30"/>
      <c r="E30" s="7"/>
      <c r="F30" s="7"/>
    </row>
    <row r="31" spans="1:9" x14ac:dyDescent="0.3">
      <c r="B31" s="6" t="s">
        <v>14</v>
      </c>
      <c r="C31" s="7"/>
      <c r="D31" s="30"/>
      <c r="E31" s="7"/>
      <c r="F31" s="7"/>
    </row>
    <row r="32" spans="1:9" x14ac:dyDescent="0.3">
      <c r="B32" s="6" t="s">
        <v>13</v>
      </c>
      <c r="C32" s="7"/>
      <c r="D32" s="30"/>
      <c r="E32" s="7"/>
      <c r="F32" s="7"/>
    </row>
    <row r="33" spans="2:6" x14ac:dyDescent="0.3">
      <c r="B33" s="6" t="s">
        <v>12</v>
      </c>
      <c r="C33" s="7"/>
      <c r="D33" s="30"/>
      <c r="E33" s="7"/>
      <c r="F33" s="7"/>
    </row>
    <row r="34" spans="2:6" x14ac:dyDescent="0.3">
      <c r="B34" s="5" t="s">
        <v>9</v>
      </c>
    </row>
    <row r="35" spans="2:6" x14ac:dyDescent="0.3">
      <c r="B35" s="5" t="s">
        <v>10</v>
      </c>
    </row>
  </sheetData>
  <customSheetViews>
    <customSheetView guid="{EE1AD20C-1831-49F6-BB76-A0057F1F46DC}" fitToPage="1">
      <selection activeCell="D18" sqref="D18"/>
      <pageMargins left="0.7" right="0.7" top="0.75" bottom="0.75" header="0.3" footer="0.3"/>
      <pageSetup scale="86" orientation="landscape" r:id="rId1"/>
    </customSheetView>
    <customSheetView guid="{764E197A-ED2B-44E8-AE74-A147CD840ADF}" fitToPage="1">
      <selection activeCell="D14" sqref="D14"/>
      <pageMargins left="0.7" right="0.7" top="0.75" bottom="0.75" header="0.3" footer="0.3"/>
      <pageSetup scale="86" orientation="landscape" r:id="rId2"/>
    </customSheetView>
    <customSheetView guid="{1616C24E-F38B-4944-BE1B-EE2D6946597D}" fitToPage="1">
      <selection activeCell="D14" sqref="D14"/>
      <pageMargins left="0.7" right="0.7" top="0.75" bottom="0.75" header="0.3" footer="0.3"/>
      <pageSetup scale="86" orientation="landscape" r:id="rId3"/>
    </customSheetView>
  </customSheetViews>
  <mergeCells count="1">
    <mergeCell ref="A5:G5"/>
  </mergeCells>
  <pageMargins left="0.7" right="0.7" top="0.75" bottom="0.75" header="0.3" footer="0.3"/>
  <pageSetup scale="86" orientation="landscape" r:id="rId4"/>
  <drawing r:id="rId5"/>
</worksheet>
</file>

<file path=xl/worksheets/wsSortMap1.xml><?xml version="1.0" encoding="utf-8"?>
<worksheetSortMap xmlns="http://schemas.microsoft.com/office/excel/2006/main">
  <rowSortMap ref="A7:XFD15" count="9">
    <row newVal="6" oldVal="14"/>
    <row newVal="7" oldVal="9"/>
    <row newVal="8" oldVal="10"/>
    <row newVal="9" oldVal="6"/>
    <row newVal="10" oldVal="11"/>
    <row newVal="11" oldVal="12"/>
    <row newVal="12" oldVal="13"/>
    <row newVal="13" oldVal="7"/>
    <row newVal="14" oldVal="8"/>
  </rowSortMap>
</worksheetSortMap>
</file>

<file path=xl/worksheets/wsSortMap2.xml><?xml version="1.0" encoding="utf-8"?>
<worksheetSortMap xmlns="http://schemas.microsoft.com/office/excel/2006/main">
  <rowSortMap ref="A7:XFD14" count="7">
    <row newVal="6" oldVal="12"/>
    <row newVal="7" oldVal="13"/>
    <row newVal="9" oldVal="7"/>
    <row newVal="10" oldVal="11"/>
    <row newVal="11" oldVal="9"/>
    <row newVal="12" oldVal="6"/>
    <row newVal="13" oldVal="10"/>
  </rowSortMap>
</worksheetSortMap>
</file>

<file path=xl/worksheets/wsSortMap3.xml><?xml version="1.0" encoding="utf-8"?>
<worksheetSortMap xmlns="http://schemas.microsoft.com/office/excel/2006/main">
  <rowSortMap ref="A7:XFD15" count="8">
    <row newVal="6" oldVal="11"/>
    <row newVal="8" oldVal="9"/>
    <row newVal="9" oldVal="8"/>
    <row newVal="10" oldVal="13"/>
    <row newVal="11" oldVal="6"/>
    <row newVal="12" oldVal="10"/>
    <row newVal="13" oldVal="14"/>
    <row newVal="14" oldVal="12"/>
  </rowSortMap>
</worksheetSortMap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</vt:lpstr>
      <vt:lpstr>4</vt:lpstr>
      <vt:lpstr>6</vt:lpstr>
      <vt:lpstr>8</vt:lpstr>
      <vt:lpstr>11</vt:lpstr>
      <vt:lpstr>13</vt:lpstr>
      <vt:lpstr>15</vt:lpstr>
      <vt:lpstr>18</vt:lpstr>
      <vt:lpstr>20</vt:lpstr>
      <vt:lpstr>22</vt:lpstr>
      <vt:lpstr>25</vt:lpstr>
      <vt:lpstr>27</vt:lpstr>
      <vt:lpstr>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Dive Center</dc:creator>
  <cp:lastModifiedBy>Dive Centre Office</cp:lastModifiedBy>
  <cp:lastPrinted>2026-05-06T08:41:18Z</cp:lastPrinted>
  <dcterms:created xsi:type="dcterms:W3CDTF">2019-12-25T05:56:10Z</dcterms:created>
  <dcterms:modified xsi:type="dcterms:W3CDTF">2026-05-15T05:25:26Z</dcterms:modified>
</cp:coreProperties>
</file>