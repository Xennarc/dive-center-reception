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11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10.xml" ContentType="application/vnd.openxmlformats-officedocument.spreadsheetml.revisionLog+xml"/>
  <Override PartName="/xl/revisions/revisionLog4.xml" ContentType="application/vnd.openxmlformats-officedocument.spreadsheetml.revisionLog+xml"/>
  <Override PartName="/xl/revisions/revisionLog9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BOOKINGS\2026\05- May\"/>
    </mc:Choice>
  </mc:AlternateContent>
  <bookViews>
    <workbookView xWindow="0" yWindow="0" windowWidth="23040" windowHeight="9072" activeTab="6"/>
  </bookViews>
  <sheets>
    <sheet name="2" sheetId="1" r:id="rId1"/>
    <sheet name="5" sheetId="2" r:id="rId2"/>
    <sheet name="7" sheetId="3" r:id="rId3"/>
    <sheet name="9" sheetId="4" r:id="rId4"/>
    <sheet name="12" sheetId="5" r:id="rId5"/>
    <sheet name="14" sheetId="6" r:id="rId6"/>
    <sheet name="16" sheetId="7" r:id="rId7"/>
    <sheet name="19" sheetId="8" r:id="rId8"/>
    <sheet name="21" sheetId="9" r:id="rId9"/>
    <sheet name="23" sheetId="10" r:id="rId10"/>
    <sheet name="26" sheetId="11" r:id="rId11"/>
    <sheet name="28" sheetId="12" r:id="rId12"/>
    <sheet name="30" sheetId="13" r:id="rId13"/>
    <sheet name="_BookingMeta" sheetId="14" state="hidden" r:id="rId14"/>
    <sheet name="_SheetMeta" sheetId="15" state="hidden" r:id="rId15"/>
  </sheets>
  <definedNames>
    <definedName name="_xlnm.Print_Area" localSheetId="4">'12'!$A$1:$J$39</definedName>
    <definedName name="_xlnm.Print_Area" localSheetId="5">'14'!$A$1:$J$39</definedName>
    <definedName name="_xlnm.Print_Area" localSheetId="6">'16'!$A$1:$J$39</definedName>
    <definedName name="_xlnm.Print_Area" localSheetId="7">'19'!$A$1:$J$39</definedName>
    <definedName name="_xlnm.Print_Area" localSheetId="0">'2'!$A$1:$J$39</definedName>
    <definedName name="_xlnm.Print_Area" localSheetId="8">'21'!$A$1:$J$39</definedName>
    <definedName name="_xlnm.Print_Area" localSheetId="9">'23'!$A$1:$J$39</definedName>
    <definedName name="_xlnm.Print_Area" localSheetId="10">'26'!$A$1:$J$39</definedName>
    <definedName name="_xlnm.Print_Area" localSheetId="11">'28'!$A$1:$J$39</definedName>
    <definedName name="_xlnm.Print_Area" localSheetId="12">'30'!$A$1:$J$39</definedName>
    <definedName name="_xlnm.Print_Area" localSheetId="1">'5'!$A$1:$J$39</definedName>
    <definedName name="_xlnm.Print_Area" localSheetId="2">'7'!$A$1:$J$39</definedName>
    <definedName name="_xlnm.Print_Area" localSheetId="3">'9'!$A$1:$J$39</definedName>
    <definedName name="Z_39C74AF7_84C5_495C_973D_5531F603C1A0_.wvu.PrintArea">'9'!$A$1:$J$39</definedName>
    <definedName name="Z_53B2FC21_0672_4C6E_B2BB_76D0B8FDB7A4_.wvu.PrintArea" localSheetId="4" hidden="1">'12'!$A$1:$J$39</definedName>
    <definedName name="Z_53B2FC21_0672_4C6E_B2BB_76D0B8FDB7A4_.wvu.PrintArea" localSheetId="5" hidden="1">'14'!$A$1:$J$39</definedName>
    <definedName name="Z_53B2FC21_0672_4C6E_B2BB_76D0B8FDB7A4_.wvu.PrintArea" localSheetId="6" hidden="1">'16'!$A$1:$J$39</definedName>
    <definedName name="Z_53B2FC21_0672_4C6E_B2BB_76D0B8FDB7A4_.wvu.PrintArea" localSheetId="7" hidden="1">'19'!$A$1:$J$39</definedName>
    <definedName name="Z_53B2FC21_0672_4C6E_B2BB_76D0B8FDB7A4_.wvu.PrintArea" localSheetId="0" hidden="1">'2'!$A$1:$J$39</definedName>
    <definedName name="Z_53B2FC21_0672_4C6E_B2BB_76D0B8FDB7A4_.wvu.PrintArea" localSheetId="8" hidden="1">'21'!$A$1:$J$39</definedName>
    <definedName name="Z_53B2FC21_0672_4C6E_B2BB_76D0B8FDB7A4_.wvu.PrintArea" localSheetId="9" hidden="1">'23'!$A$1:$J$39</definedName>
    <definedName name="Z_53B2FC21_0672_4C6E_B2BB_76D0B8FDB7A4_.wvu.PrintArea" localSheetId="10" hidden="1">'26'!$A$1:$J$39</definedName>
    <definedName name="Z_53B2FC21_0672_4C6E_B2BB_76D0B8FDB7A4_.wvu.PrintArea" localSheetId="11" hidden="1">'28'!$A$1:$J$39</definedName>
    <definedName name="Z_53B2FC21_0672_4C6E_B2BB_76D0B8FDB7A4_.wvu.PrintArea" localSheetId="12" hidden="1">'30'!$A$1:$J$39</definedName>
    <definedName name="Z_53B2FC21_0672_4C6E_B2BB_76D0B8FDB7A4_.wvu.PrintArea" localSheetId="1" hidden="1">'5'!$A$1:$J$39</definedName>
    <definedName name="Z_53B2FC21_0672_4C6E_B2BB_76D0B8FDB7A4_.wvu.PrintArea" localSheetId="2" hidden="1">'7'!$A$1:$J$39</definedName>
    <definedName name="Z_53B2FC21_0672_4C6E_B2BB_76D0B8FDB7A4_.wvu.PrintArea" localSheetId="3" hidden="1">'9'!$A$1:$J$39</definedName>
    <definedName name="Z_6EAF128A_4D2E_4FC0_8756_5127C44D8563_.wvu.PrintArea">'9'!$A$1:$J$39</definedName>
    <definedName name="Z_94EBE5FB_1A63_44CC_AE2C_375DFEC90C2A_.wvu.PrintArea">'9'!$A$1:$J$39</definedName>
    <definedName name="Z_97FEA1E7_B2E3_4EF8_8726_F2D182FB1341_.wvu.PrintArea" localSheetId="4" hidden="1">'12'!$A$1:$J$39</definedName>
    <definedName name="Z_97FEA1E7_B2E3_4EF8_8726_F2D182FB1341_.wvu.PrintArea" localSheetId="5" hidden="1">'14'!$A$1:$J$39</definedName>
    <definedName name="Z_97FEA1E7_B2E3_4EF8_8726_F2D182FB1341_.wvu.PrintArea" localSheetId="6" hidden="1">'16'!$A$1:$J$39</definedName>
    <definedName name="Z_97FEA1E7_B2E3_4EF8_8726_F2D182FB1341_.wvu.PrintArea" localSheetId="7" hidden="1">'19'!$A$1:$J$39</definedName>
    <definedName name="Z_97FEA1E7_B2E3_4EF8_8726_F2D182FB1341_.wvu.PrintArea" localSheetId="0" hidden="1">'2'!$A$1:$J$39</definedName>
    <definedName name="Z_97FEA1E7_B2E3_4EF8_8726_F2D182FB1341_.wvu.PrintArea" localSheetId="8" hidden="1">'21'!$A$1:$J$39</definedName>
    <definedName name="Z_97FEA1E7_B2E3_4EF8_8726_F2D182FB1341_.wvu.PrintArea" localSheetId="9" hidden="1">'23'!$A$1:$J$39</definedName>
    <definedName name="Z_97FEA1E7_B2E3_4EF8_8726_F2D182FB1341_.wvu.PrintArea" localSheetId="10" hidden="1">'26'!$A$1:$J$39</definedName>
    <definedName name="Z_97FEA1E7_B2E3_4EF8_8726_F2D182FB1341_.wvu.PrintArea" localSheetId="11" hidden="1">'28'!$A$1:$J$39</definedName>
    <definedName name="Z_97FEA1E7_B2E3_4EF8_8726_F2D182FB1341_.wvu.PrintArea" localSheetId="12" hidden="1">'30'!$A$1:$J$39</definedName>
    <definedName name="Z_97FEA1E7_B2E3_4EF8_8726_F2D182FB1341_.wvu.PrintArea" localSheetId="1" hidden="1">'5'!$A$1:$J$39</definedName>
    <definedName name="Z_97FEA1E7_B2E3_4EF8_8726_F2D182FB1341_.wvu.PrintArea" localSheetId="2" hidden="1">'7'!$A$1:$J$39</definedName>
    <definedName name="Z_97FEA1E7_B2E3_4EF8_8726_F2D182FB1341_.wvu.PrintArea" localSheetId="3" hidden="1">'9'!$A$1:$J$39</definedName>
  </definedNames>
  <calcPr calcId="162913" calcOnSave="0"/>
  <customWorkbookViews>
    <customWorkbookView name="Assistant DiveCenter Manager - Personal View" guid="{53B2FC21-0672-4C6E-B2BB-76D0B8FDB7A4}" mergeInterval="0" personalView="1" maximized="1" xWindow="-9" yWindow="-9" windowWidth="1938" windowHeight="1038" activeSheetId="4"/>
    <customWorkbookView name="Dive Centre Office - Personal View" guid="{97FEA1E7-B2E3-4EF8-8726-F2D182FB1341}" mergeInterval="0" personalView="1" maximized="1" xWindow="-9" yWindow="-9" windowWidth="1938" windowHeight="1038" activeSheetId="4"/>
  </customWorkbookViews>
</workbook>
</file>

<file path=xl/calcChain.xml><?xml version="1.0" encoding="utf-8"?>
<calcChain xmlns="http://schemas.openxmlformats.org/spreadsheetml/2006/main">
  <c r="J5" i="12" l="1"/>
  <c r="J5" i="13"/>
  <c r="J5" i="11"/>
  <c r="J5" i="10"/>
  <c r="J5" i="9"/>
  <c r="J5" i="8"/>
  <c r="J5" i="7"/>
  <c r="J5" i="6"/>
  <c r="J5" i="5"/>
  <c r="J5" i="4"/>
  <c r="J5" i="2"/>
  <c r="J5" i="1"/>
  <c r="J5" i="3"/>
  <c r="F27" i="13" l="1"/>
  <c r="E27" i="13"/>
  <c r="K26" i="13"/>
  <c r="K25" i="13"/>
  <c r="K24" i="13"/>
  <c r="K23" i="13"/>
  <c r="K22" i="13"/>
  <c r="K21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F27" i="12"/>
  <c r="E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F27" i="11"/>
  <c r="E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F27" i="10"/>
  <c r="E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F27" i="9"/>
  <c r="E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F27" i="8"/>
  <c r="E27" i="8"/>
  <c r="K26" i="8"/>
  <c r="K25" i="8"/>
  <c r="K24" i="8"/>
  <c r="K23" i="8"/>
  <c r="K22" i="8"/>
  <c r="K21" i="8"/>
  <c r="K20" i="8"/>
  <c r="K19" i="8"/>
  <c r="K18" i="8"/>
  <c r="K17" i="8"/>
  <c r="K16" i="8"/>
  <c r="K15" i="8"/>
  <c r="K14" i="8"/>
  <c r="K13" i="8"/>
  <c r="K12" i="8"/>
  <c r="K11" i="8"/>
  <c r="K10" i="8"/>
  <c r="K9" i="8"/>
  <c r="K8" i="8"/>
  <c r="K7" i="8"/>
  <c r="F27" i="7"/>
  <c r="E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F27" i="6"/>
  <c r="E27" i="6"/>
  <c r="K26" i="6"/>
  <c r="K25" i="6"/>
  <c r="K24" i="6"/>
  <c r="K23" i="6"/>
  <c r="K22" i="6"/>
  <c r="K21" i="6"/>
  <c r="K20" i="6"/>
  <c r="K19" i="6"/>
  <c r="K18" i="6"/>
  <c r="K17" i="6"/>
  <c r="K16" i="6"/>
  <c r="K15" i="6"/>
  <c r="K14" i="6"/>
  <c r="K13" i="6"/>
  <c r="K12" i="6"/>
  <c r="K11" i="6"/>
  <c r="K10" i="6"/>
  <c r="K9" i="6"/>
  <c r="K8" i="6"/>
  <c r="K7" i="6"/>
  <c r="F27" i="5"/>
  <c r="E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F27" i="4"/>
  <c r="E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F27" i="3"/>
  <c r="E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F27" i="2"/>
  <c r="E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F27" i="1"/>
  <c r="E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</calcChain>
</file>

<file path=xl/sharedStrings.xml><?xml version="1.0" encoding="utf-8"?>
<sst xmlns="http://schemas.openxmlformats.org/spreadsheetml/2006/main" count="377" uniqueCount="72">
  <si>
    <t xml:space="preserve">Note :  we require a booking  of 4 guests minimum </t>
  </si>
  <si>
    <t>SNORKELING EXCURSION  (MAX 10PAX)  USD$50PP  14:00 TO 15:30</t>
  </si>
  <si>
    <r>
      <rPr>
        <b/>
        <sz val="18"/>
        <color theme="1"/>
        <rFont val="Calibri"/>
        <family val="2"/>
        <scheme val="minor"/>
      </rPr>
      <t xml:space="preserve">Date: </t>
    </r>
    <r>
      <rPr>
        <sz val="18"/>
        <color theme="1"/>
        <rFont val="Calibri"/>
        <family val="2"/>
        <scheme val="minor"/>
      </rPr>
      <t xml:space="preserve">                 </t>
    </r>
  </si>
  <si>
    <t>Room No:</t>
  </si>
  <si>
    <t>Guest Name</t>
  </si>
  <si>
    <t>Departure</t>
  </si>
  <si>
    <t>Adults</t>
  </si>
  <si>
    <t>Child</t>
  </si>
  <si>
    <t>Liability</t>
  </si>
  <si>
    <t>Bill No:</t>
  </si>
  <si>
    <t>Remarks</t>
  </si>
  <si>
    <t>Staff</t>
  </si>
  <si>
    <t>Prebooking</t>
  </si>
  <si>
    <t>Ms Shrey Agarwal</t>
  </si>
  <si>
    <t>PP 2</t>
  </si>
  <si>
    <t>Carl/Faiha</t>
  </si>
  <si>
    <t>Pierce, Christina Lynn</t>
  </si>
  <si>
    <t>CXL2</t>
  </si>
  <si>
    <t>Xuan</t>
  </si>
  <si>
    <t>Tianan Liu</t>
  </si>
  <si>
    <t>Habil/Faiha</t>
  </si>
  <si>
    <t>TOTAL</t>
  </si>
  <si>
    <r>
      <t xml:space="preserve">   </t>
    </r>
    <r>
      <rPr>
        <b/>
        <sz val="11"/>
        <color theme="1"/>
        <rFont val="Calibri"/>
        <family val="2"/>
        <scheme val="minor"/>
      </rPr>
      <t xml:space="preserve">General Policies </t>
    </r>
  </si>
  <si>
    <t xml:space="preserve">All prices are per person, in US $ and subject to 10% Service Charge and 12% GST </t>
  </si>
  <si>
    <t xml:space="preserve">All activity programs are subject to weather conditions and might be cancelled on short notice </t>
  </si>
  <si>
    <t xml:space="preserve">It is mandatory to complete a liability release and to wear a life vest for all water based activities </t>
  </si>
  <si>
    <t xml:space="preserve">We reserve the right to cancel any activities or excursion at any given time </t>
  </si>
  <si>
    <t xml:space="preserve">Any lost or damaged equipment will be charged </t>
  </si>
  <si>
    <t xml:space="preserve">Sunset Activities: Please make your booking latest the same day before 12 O'clock </t>
  </si>
  <si>
    <t xml:space="preserve">Please note the following cancellation fees:  </t>
  </si>
  <si>
    <t xml:space="preserve"> A cancellation charge of 100% of the activity price will apply for NO SHOW. </t>
  </si>
  <si>
    <t xml:space="preserve"> Thank you for your understanding </t>
  </si>
  <si>
    <t>Emilio Pena Bonilla</t>
  </si>
  <si>
    <t>Astrid/Faiha</t>
  </si>
  <si>
    <t>Ms Mary L Lord</t>
  </si>
  <si>
    <t>Faiha/Shamrath</t>
  </si>
  <si>
    <t>OLD</t>
  </si>
  <si>
    <t>sheetName</t>
  </si>
  <si>
    <t>rowIdx</t>
  </si>
  <si>
    <t>status</t>
  </si>
  <si>
    <t>cancelReason</t>
  </si>
  <si>
    <t>cancelledAt</t>
  </si>
  <si>
    <t>postponedTo</t>
  </si>
  <si>
    <t>postponedRef</t>
  </si>
  <si>
    <t>attended</t>
  </si>
  <si>
    <t>paid</t>
  </si>
  <si>
    <t>paidAt</t>
  </si>
  <si>
    <t>5</t>
  </si>
  <si>
    <t>postponed</t>
  </si>
  <si>
    <t/>
  </si>
  <si>
    <t>2026-05-05T06:24:17.395Z</t>
  </si>
  <si>
    <t>2026-05-07</t>
  </si>
  <si>
    <t>7::8</t>
  </si>
  <si>
    <t>7</t>
  </si>
  <si>
    <t>cancelled</t>
  </si>
  <si>
    <t>2026-05-05T06:24:39.308Z</t>
  </si>
  <si>
    <t>activityCancelled</t>
  </si>
  <si>
    <t>cancelReasonCat</t>
  </si>
  <si>
    <t>cancelReasonNote</t>
  </si>
  <si>
    <t>guestsInformed</t>
  </si>
  <si>
    <t>customCapacity</t>
  </si>
  <si>
    <t>true</t>
  </si>
  <si>
    <t>weather</t>
  </si>
  <si>
    <t>2026-05-05T06:23:35.183Z</t>
  </si>
  <si>
    <t>Kihoko Kawai</t>
  </si>
  <si>
    <t>Faiha</t>
  </si>
  <si>
    <t>Yolisa Heshula</t>
  </si>
  <si>
    <t>Maaji</t>
  </si>
  <si>
    <t>HB</t>
  </si>
  <si>
    <t>Simon Hayes</t>
  </si>
  <si>
    <t>Shunya Kajigaya</t>
  </si>
  <si>
    <t>PP2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</si>
</sst>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4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2" borderId="0" xfId="0" applyFont="1" applyFill="1" applyAlignment="1">
      <alignment horizontal="left" indent="14"/>
    </xf>
    <xf numFmtId="14" fontId="1" fillId="2" borderId="0" xfId="0" applyNumberFormat="1" applyFont="1" applyFill="1"/>
    <xf numFmtId="0" fontId="1" fillId="2" borderId="0" xfId="0" applyFont="1" applyFill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/>
    <xf numFmtId="0" fontId="3" fillId="0" borderId="0" xfId="0" applyFont="1"/>
    <xf numFmtId="0" fontId="4" fillId="0" borderId="1" xfId="0" applyFont="1" applyBorder="1"/>
    <xf numFmtId="0" fontId="4" fillId="0" borderId="2" xfId="0" applyFont="1" applyBorder="1"/>
    <xf numFmtId="14" fontId="4" fillId="0" borderId="2" xfId="0" applyNumberFormat="1" applyFont="1" applyBorder="1"/>
    <xf numFmtId="0" fontId="3" fillId="0" borderId="2" xfId="0" applyFont="1" applyBorder="1"/>
    <xf numFmtId="14" fontId="5" fillId="0" borderId="3" xfId="0" applyNumberFormat="1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14" fontId="1" fillId="3" borderId="7" xfId="0" applyNumberFormat="1" applyFont="1" applyFill="1" applyBorder="1" applyAlignment="1">
      <alignment horizontal="center" vertical="center"/>
    </xf>
    <xf numFmtId="0" fontId="6" fillId="0" borderId="0" xfId="0" applyFont="1"/>
    <xf numFmtId="0" fontId="1" fillId="0" borderId="7" xfId="0" applyFont="1" applyBorder="1"/>
    <xf numFmtId="14" fontId="1" fillId="3" borderId="8" xfId="0" applyNumberFormat="1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14" fontId="1" fillId="3" borderId="7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left" vertical="center"/>
    </xf>
    <xf numFmtId="14" fontId="7" fillId="3" borderId="7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14" fontId="1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14" fontId="1" fillId="0" borderId="7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8" fillId="0" borderId="0" xfId="0" applyFont="1"/>
    <xf numFmtId="0" fontId="7" fillId="0" borderId="7" xfId="0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1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4" fontId="0" fillId="0" borderId="0" xfId="0" applyNumberFormat="1"/>
    <xf numFmtId="0" fontId="10" fillId="0" borderId="0" xfId="0" applyFont="1"/>
    <xf numFmtId="14" fontId="10" fillId="0" borderId="0" xfId="0" applyNumberFormat="1" applyFont="1"/>
    <xf numFmtId="0" fontId="11" fillId="0" borderId="0" xfId="0" applyFont="1"/>
    <xf numFmtId="0" fontId="11" fillId="2" borderId="0" xfId="0" applyFont="1" applyFill="1"/>
    <xf numFmtId="14" fontId="11" fillId="2" borderId="0" xfId="0" applyNumberFormat="1" applyFont="1" applyFill="1"/>
    <xf numFmtId="0" fontId="7" fillId="0" borderId="0" xfId="0" applyFont="1"/>
    <xf numFmtId="0" fontId="7" fillId="2" borderId="0" xfId="0" applyFont="1" applyFill="1"/>
    <xf numFmtId="14" fontId="7" fillId="0" borderId="0" xfId="0" applyNumberFormat="1" applyFont="1"/>
    <xf numFmtId="0" fontId="12" fillId="0" borderId="0" xfId="0" applyFont="1"/>
    <xf numFmtId="14" fontId="2" fillId="0" borderId="0" xfId="0" applyNumberFormat="1" applyFont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14" fontId="1" fillId="3" borderId="8" xfId="0" applyNumberFormat="1" applyFont="1" applyFill="1" applyBorder="1" applyAlignment="1">
      <alignment horizontal="center"/>
    </xf>
    <xf numFmtId="0" fontId="13" fillId="0" borderId="0" xfId="0" applyFont="1" applyAlignment="1">
      <alignment vertical="center"/>
    </xf>
  </cellXfs>
  <cellStyles count="1">
    <cellStyle name="Normal" xfId="0" builtinId="0"/>
  </cellStyles>
  <dxfs count="1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usernames" Target="revisions/userNam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revisionHeaders" Target="revisions/revisionHeader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259081</xdr:colOff>
      <xdr:row>0</xdr:row>
      <xdr:rowOff>80010</xdr:rowOff>
    </xdr:from>
    <xdr:to>
      <xdr:col>2</xdr:col>
      <xdr:colOff>281941</xdr:colOff>
      <xdr:row>3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1200151</xdr:colOff>
      <xdr:row>0</xdr:row>
      <xdr:rowOff>152401</xdr:rowOff>
    </xdr:from>
    <xdr:to>
      <xdr:col>8</xdr:col>
      <xdr:colOff>68908</xdr:colOff>
      <xdr:row>3</xdr:row>
      <xdr:rowOff>205741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11" Type="http://schemas.openxmlformats.org/officeDocument/2006/relationships/revisionLog" Target="revisionLog11.xml"/><Relationship Id="rId5" Type="http://schemas.openxmlformats.org/officeDocument/2006/relationships/revisionLog" Target="revisionLog5.xml"/><Relationship Id="rId10" Type="http://schemas.openxmlformats.org/officeDocument/2006/relationships/revisionLog" Target="revisionLog10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404B655-5FBA-4B3B-8108-C3893D6D6BFB}" diskRevisions="1" revisionId="57" version="11">
  <header guid="{5D7E3975-76BC-40EA-A9D2-3C388E9BB3B5}" dateTime="2026-05-08T14:23:41" maxSheetId="16" userName="Assistant DiveCenter Manager" r:id="rId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3236818-A00C-4258-98BF-F0D6B5CA8E64}" dateTime="2026-05-08T14:24:14" maxSheetId="16" userName="Assistant DiveCenter Manager" r:id="rId2" minRId="1" maxRId="1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CD6B18E7-CE15-42E9-A407-D660BC3B896F}" dateTime="2026-05-08T15:14:34" maxSheetId="16" userName="Dive Centre Office" r:id="rId3" minRId="14" maxRId="1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0EE2A41-EE0A-46F1-805E-A00F0A7BC933}" dateTime="2026-05-10T11:58:36" maxSheetId="16" userName="Dive Centre Office" r:id="rId4" minRId="33" maxRId="3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E217CE2C-A6FB-489D-A239-F12CC430320F}" dateTime="2026-05-11T11:02:07" maxSheetId="16" userName="Dive Centre Office" r:id="rId5" minRId="38" maxRId="42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C3102BB-56CD-4230-B0E6-DF61232CB5C5}" dateTime="2026-05-11T13:30:47" maxSheetId="16" userName="Dive Centre Office" r:id="rId6" minRId="43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AAEE7DA6-2A28-4600-94BF-884715DF72D6}" dateTime="2026-05-12T10:42:44" maxSheetId="16" userName="Assistant DiveCenter Manager" r:id="rId7" minRId="44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17976D8A-A7A6-4C3B-B1A2-669988D92406}" dateTime="2026-05-12T10:44:51" maxSheetId="16" userName="Dive Centre Office" r:id="rId8" minRId="45" maxRId="49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EEF207E-9A83-4FEA-96DB-260943D911D3}" dateTime="2026-05-12T10:45:09" maxSheetId="16" userName="Dive Centre Office" r:id="rId9" minRId="50" maxRId="51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4FADABD8-D4EE-483F-838B-9422F8EE6FEA}" dateTime="2026-05-14T10:20:17" maxSheetId="16" userName="Dive Centre Office" r:id="rId10" minRId="52" maxRId="56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  <header guid="{7404B655-5FBA-4B3B-8108-C3893D6D6BFB}" dateTime="2026-05-14T10:39:52" maxSheetId="16" userName="Dive Centre Office" r:id="rId11" minRId="57">
    <sheetIdMap count="15">
      <sheetId val="1"/>
      <sheetId val="2"/>
      <sheetId val="3"/>
      <sheetId val="4"/>
      <sheetId val="5"/>
      <sheetId val="6"/>
      <sheetId val="7"/>
      <sheetId val="8"/>
      <sheetId val="9"/>
      <sheetId val="10"/>
      <sheetId val="11"/>
      <sheetId val="12"/>
      <sheetId val="13"/>
      <sheetId val="14"/>
      <sheetId val="15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3">
    <oc r="J5">
      <f>CONCATENATE((MID(CELL("filename",J5),FIND("]",CELL("filename",J5))+1,255)),"/05/2026")</f>
    </oc>
    <nc r="J5">
      <f>CONCATENATE((MID(CELL("filename",J5),FIND("]",CELL("filename",J5))+1,25)),"/05/2026")</f>
    </nc>
  </rcc>
  <rcc rId="2" sId="1">
    <oc r="J5">
      <f>CONCATENATE((MID(CELL("filename",J5),FIND("]",CELL("filename",J5))+1,255)),"/05/2026")</f>
    </oc>
    <nc r="J5">
      <f>CONCATENATE((MID(CELL("filename",J5),FIND("]",CELL("filename",J5))+1,25)),"/05/2026")</f>
    </nc>
  </rcc>
  <rcc rId="3" sId="2">
    <oc r="J5">
      <f>CONCATENATE((MID(CELL("filename",J5),FIND("]",CELL("filename",J5))+1,255)),"/05/2026")</f>
    </oc>
    <nc r="J5">
      <f>CONCATENATE((MID(CELL("filename",J5),FIND("]",CELL("filename",J5))+1,25)),"/05/2026")</f>
    </nc>
  </rcc>
  <rcc rId="4" sId="4">
    <oc r="J5">
      <f>CONCATENATE((MID(CELL("filename",J5),FIND("]",CELL("filename",J5))+1,255)),"/05/2026")</f>
    </oc>
    <nc r="J5">
      <f>CONCATENATE((MID(CELL("filename",J5),FIND("]",CELL("filename",J5))+1,25)),"/05/2026")</f>
    </nc>
  </rcc>
  <rcc rId="5" sId="5">
    <oc r="J5">
      <f>CONCATENATE((MID(CELL("filename",J5),FIND("]",CELL("filename",J5))+1,255)),"/05/2026")</f>
    </oc>
    <nc r="J5">
      <f>CONCATENATE((MID(CELL("filename",J5),FIND("]",CELL("filename",J5))+1,25)),"/05/2026")</f>
    </nc>
  </rcc>
  <rcc rId="6" sId="6">
    <oc r="J5">
      <f>CONCATENATE((MID(CELL("filename",J5),FIND("]",CELL("filename",J5))+1,255)),"/05/2026")</f>
    </oc>
    <nc r="J5">
      <f>CONCATENATE((MID(CELL("filename",J5),FIND("]",CELL("filename",J5))+1,25)),"/05/2026")</f>
    </nc>
  </rcc>
  <rcc rId="7" sId="7">
    <oc r="J5">
      <f>CONCATENATE((MID(CELL("filename",J5),FIND("]",CELL("filename",J5))+1,255)),"/05/2026")</f>
    </oc>
    <nc r="J5">
      <f>CONCATENATE((MID(CELL("filename",J5),FIND("]",CELL("filename",J5))+1,25)),"/05/2026")</f>
    </nc>
  </rcc>
  <rcc rId="8" sId="8">
    <oc r="J5">
      <f>CONCATENATE((MID(CELL("filename",J5),FIND("]",CELL("filename",J5))+1,255)),"/05/2026")</f>
    </oc>
    <nc r="J5">
      <f>CONCATENATE((MID(CELL("filename",J5),FIND("]",CELL("filename",J5))+1,25)),"/05/2026")</f>
    </nc>
  </rcc>
  <rcc rId="9" sId="9">
    <oc r="J5">
      <f>CONCATENATE((MID(CELL("filename",J5),FIND("]",CELL("filename",J5))+1,255)),"/05/2026")</f>
    </oc>
    <nc r="J5">
      <f>CONCATENATE((MID(CELL("filename",J5),FIND("]",CELL("filename",J5))+1,25)),"/05/2026")</f>
    </nc>
  </rcc>
  <rcc rId="10" sId="10">
    <oc r="J5">
      <f>CONCATENATE((MID(CELL("filename",J5),FIND("]",CELL("filename",J5))+1,255)),"/05/2026")</f>
    </oc>
    <nc r="J5">
      <f>CONCATENATE((MID(CELL("filename",J5),FIND("]",CELL("filename",J5))+1,25)),"/05/2026")</f>
    </nc>
  </rcc>
  <rcc rId="11" sId="11">
    <oc r="J5">
      <f>CONCATENATE((MID(CELL("filename",J5),FIND("]",CELL("filename",J5))+1,255)),"/05/2026")</f>
    </oc>
    <nc r="J5">
      <f>CONCATENATE((MID(CELL("filename",J5),FIND("]",CELL("filename",J5))+1,25)),"/05/2026")</f>
    </nc>
  </rcc>
  <rcc rId="12" sId="13">
    <oc r="J5">
      <f>CONCATENATE((MID(CELL("filename",J5),FIND("]",CELL("filename",J5))+1,255)),"/05/2026")</f>
    </oc>
    <nc r="J5">
      <f>CONCATENATE((MID(CELL("filename",J5),FIND("]",CELL("filename",J5))+1,25)),"/05/2026")</f>
    </nc>
  </rcc>
  <rcc rId="13" sId="12">
    <oc r="J5">
      <f>CONCATENATE((MID(CELL("filename",J5),FIND("]",CELL("filename",J5))+1,255)),"/05/2026")</f>
    </oc>
    <nc r="J5">
      <f>CONCATENATE((MID(CELL("filename",J5),FIND("]",CELL("filename",J5))+1,255)),"/05/2026")</f>
    </nc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4" sId="4" odxf="1" dxf="1">
    <nc r="B7">
      <v>216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15" sId="4" odxf="1" dxf="1">
    <nc r="C7" t="inlineStr">
      <is>
        <t>Yolisa Heshula</t>
      </is>
    </nc>
    <odxf>
      <alignment horizontal="left" vertical="top" readingOrder="0"/>
      <border outline="0">
        <top/>
      </border>
    </odxf>
    <ndxf>
      <alignment horizontal="general" vertical="center" readingOrder="0"/>
      <border outline="0">
        <top style="thin">
          <color indexed="64"/>
        </top>
      </border>
    </ndxf>
  </rcc>
  <rcc rId="16" sId="4" odxf="1" dxf="1" numFmtId="19">
    <nc r="D7">
      <v>46154</v>
    </nc>
    <odxf>
      <alignment vertical="top" readingOrder="0"/>
      <border outline="0">
        <top/>
      </border>
    </odxf>
    <ndxf>
      <alignment vertical="center" readingOrder="0"/>
      <border outline="0">
        <top style="thin">
          <color indexed="64"/>
        </top>
      </border>
    </ndxf>
  </rcc>
  <rcc rId="17" sId="4" odxf="1" dxf="1">
    <nc r="E7">
      <v>2</v>
    </nc>
    <odxf>
      <alignment horizontal="center" vertical="top" readingOrder="0"/>
      <border outline="0">
        <top/>
      </border>
    </odxf>
    <ndxf>
      <alignment horizontal="general" vertical="center" readingOrder="0"/>
      <border outline="0">
        <top style="thin">
          <color indexed="64"/>
        </top>
      </border>
    </ndxf>
  </rcc>
  <rfmt sheetId="4" sqref="F7" start="0" length="0">
    <dxf>
      <alignment horizontal="general" vertical="center" readingOrder="0"/>
      <border outline="0">
        <top style="thin">
          <color indexed="64"/>
        </top>
      </border>
    </dxf>
  </rfmt>
  <rfmt sheetId="4" sqref="G7" start="0" length="0">
    <dxf>
      <alignment horizontal="general" vertical="center" readingOrder="0"/>
      <border outline="0">
        <top style="thin">
          <color indexed="64"/>
        </top>
      </border>
    </dxf>
  </rfmt>
  <rfmt sheetId="4" sqref="H7" start="0" length="0">
    <dxf>
      <alignment horizontal="general" vertical="center" readingOrder="0"/>
      <border outline="0">
        <top style="thin">
          <color indexed="64"/>
        </top>
      </border>
    </dxf>
  </rfmt>
  <rfmt sheetId="4" sqref="I7" start="0" length="0">
    <dxf>
      <alignment horizontal="left" vertical="center" readingOrder="0"/>
      <border outline="0">
        <top style="thin">
          <color indexed="64"/>
        </top>
      </border>
    </dxf>
  </rfmt>
  <rcc rId="18" sId="4">
    <nc r="J7" t="inlineStr">
      <is>
        <t>Maaji</t>
      </is>
    </nc>
  </rcc>
  <rcc rId="19" sId="4">
    <nc r="I7" t="inlineStr">
      <is>
        <t>HB</t>
      </is>
    </nc>
  </rcc>
  <rdn rId="0" localSheetId="1" customView="1" name="Z_97FEA1E7_B2E3_4EF8_8726_F2D182FB1341_.wvu.PrintArea" hidden="1" oldHidden="1">
    <formula>'2'!$A$1:$J$39</formula>
  </rdn>
  <rdn rId="0" localSheetId="2" customView="1" name="Z_97FEA1E7_B2E3_4EF8_8726_F2D182FB1341_.wvu.PrintArea" hidden="1" oldHidden="1">
    <formula>'5'!$A$1:$J$39</formula>
  </rdn>
  <rdn rId="0" localSheetId="3" customView="1" name="Z_97FEA1E7_B2E3_4EF8_8726_F2D182FB1341_.wvu.PrintArea" hidden="1" oldHidden="1">
    <formula>'7'!$A$1:$J$39</formula>
  </rdn>
  <rdn rId="0" localSheetId="4" customView="1" name="Z_97FEA1E7_B2E3_4EF8_8726_F2D182FB1341_.wvu.PrintArea" hidden="1" oldHidden="1">
    <formula>'9'!$A$1:$J$39</formula>
  </rdn>
  <rdn rId="0" localSheetId="5" customView="1" name="Z_97FEA1E7_B2E3_4EF8_8726_F2D182FB1341_.wvu.PrintArea" hidden="1" oldHidden="1">
    <formula>'12'!$A$1:$J$39</formula>
  </rdn>
  <rdn rId="0" localSheetId="6" customView="1" name="Z_97FEA1E7_B2E3_4EF8_8726_F2D182FB1341_.wvu.PrintArea" hidden="1" oldHidden="1">
    <formula>'14'!$A$1:$J$39</formula>
  </rdn>
  <rdn rId="0" localSheetId="7" customView="1" name="Z_97FEA1E7_B2E3_4EF8_8726_F2D182FB1341_.wvu.PrintArea" hidden="1" oldHidden="1">
    <formula>'16'!$A$1:$J$39</formula>
  </rdn>
  <rdn rId="0" localSheetId="8" customView="1" name="Z_97FEA1E7_B2E3_4EF8_8726_F2D182FB1341_.wvu.PrintArea" hidden="1" oldHidden="1">
    <formula>'19'!$A$1:$J$39</formula>
  </rdn>
  <rdn rId="0" localSheetId="9" customView="1" name="Z_97FEA1E7_B2E3_4EF8_8726_F2D182FB1341_.wvu.PrintArea" hidden="1" oldHidden="1">
    <formula>'21'!$A$1:$J$39</formula>
  </rdn>
  <rdn rId="0" localSheetId="10" customView="1" name="Z_97FEA1E7_B2E3_4EF8_8726_F2D182FB1341_.wvu.PrintArea" hidden="1" oldHidden="1">
    <formula>'23'!$A$1:$J$39</formula>
  </rdn>
  <rdn rId="0" localSheetId="11" customView="1" name="Z_97FEA1E7_B2E3_4EF8_8726_F2D182FB1341_.wvu.PrintArea" hidden="1" oldHidden="1">
    <formula>'26'!$A$1:$J$39</formula>
  </rdn>
  <rdn rId="0" localSheetId="12" customView="1" name="Z_97FEA1E7_B2E3_4EF8_8726_F2D182FB1341_.wvu.PrintArea" hidden="1" oldHidden="1">
    <formula>'28'!$A$1:$J$39</formula>
  </rdn>
  <rdn rId="0" localSheetId="13" customView="1" name="Z_97FEA1E7_B2E3_4EF8_8726_F2D182FB1341_.wvu.PrintArea" hidden="1" oldHidden="1">
    <formula>'30'!$A$1:$J$39</formula>
  </rdn>
  <rcv guid="{97FEA1E7-B2E3-4EF8-8726-F2D182FB1341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3" sId="5">
    <nc r="B7">
      <v>125</v>
    </nc>
  </rcc>
  <rcc rId="34" sId="5">
    <nc r="E7">
      <v>2</v>
    </nc>
  </rcc>
  <rcc rId="35" sId="5">
    <nc r="C7" t="inlineStr">
      <is>
        <t>Simon Hayes</t>
      </is>
    </nc>
  </rcc>
  <rcc rId="36" sId="5" numFmtId="19">
    <nc r="D7">
      <v>46164</v>
    </nc>
  </rcc>
  <rcc rId="37" sId="5">
    <nc r="J7" t="inlineStr">
      <is>
        <t>Maaji</t>
      </is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38" sId="5" odxf="1" dxf="1">
    <nc r="B8">
      <v>880</v>
    </nc>
    <odxf>
      <alignment vertical="top" readingOrder="0"/>
    </odxf>
    <ndxf>
      <alignment vertical="center" readingOrder="0"/>
    </ndxf>
  </rcc>
  <rcc rId="39" sId="5" odxf="1" dxf="1">
    <nc r="C8" t="inlineStr">
      <is>
        <t>Shunya Kajigaya</t>
      </is>
    </nc>
    <odxf>
      <alignment vertical="top" readingOrder="0"/>
    </odxf>
    <ndxf>
      <alignment vertical="center" readingOrder="0"/>
    </ndxf>
  </rcc>
  <rcc rId="40" sId="5" odxf="1" dxf="1" numFmtId="19">
    <nc r="D8">
      <v>46156</v>
    </nc>
    <odxf>
      <alignment vertical="top" readingOrder="0"/>
    </odxf>
    <ndxf>
      <alignment vertical="center" readingOrder="0"/>
    </ndxf>
  </rcc>
  <rcc rId="41" sId="5" odxf="1" dxf="1">
    <nc r="E8">
      <v>2</v>
    </nc>
    <odxf>
      <alignment vertical="top" readingOrder="0"/>
    </odxf>
    <ndxf>
      <alignment vertical="center" readingOrder="0"/>
    </ndxf>
  </rcc>
  <rcc rId="42" sId="5">
    <nc r="J8" t="inlineStr">
      <is>
        <t>Maaji</t>
      </is>
    </nc>
  </rcc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3" sId="5">
    <nc r="J9" t="inlineStr">
      <is>
        <t>j n8iiiiii</t>
      </is>
    </nc>
  </rcc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4" sId="5">
    <oc r="J9" t="inlineStr">
      <is>
        <t>j n8iiiiii</t>
      </is>
    </oc>
    <nc r="J9"/>
  </rcc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45" sId="6">
    <nc r="B7">
      <v>125</v>
    </nc>
  </rcc>
  <rcc rId="46" sId="6">
    <nc r="C7" t="inlineStr">
      <is>
        <t>Simon Hayes</t>
      </is>
    </nc>
  </rcc>
  <rcc rId="47" sId="6" numFmtId="19">
    <nc r="D7">
      <v>46164</v>
    </nc>
  </rcc>
  <rcc rId="48" sId="6">
    <nc r="E7">
      <v>2</v>
    </nc>
  </rcc>
  <rcc rId="49" sId="6">
    <nc r="J7" t="inlineStr">
      <is>
        <t>Faiha</t>
      </is>
    </nc>
  </rcc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0" sId="5">
    <oc r="E7">
      <v>2</v>
    </oc>
    <nc r="E7" t="inlineStr">
      <is>
        <t>PP2</t>
      </is>
    </nc>
  </rcc>
  <rcc rId="51" sId="5">
    <oc r="E8">
      <v>2</v>
    </oc>
    <nc r="E8" t="inlineStr">
      <is>
        <t>CXL2</t>
      </is>
    </nc>
  </rcc>
</revisions>
</file>

<file path=xl/revisions/revisionLog10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2" sId="7">
    <nc r="B7">
      <v>125</v>
    </nc>
  </rcc>
  <rcc rId="53" sId="7">
    <nc r="C7" t="inlineStr">
      <is>
        <t>Simon Hayes</t>
      </is>
    </nc>
  </rcc>
  <rcc rId="54" sId="7" numFmtId="19">
    <nc r="D7">
      <v>46164</v>
    </nc>
  </rcc>
  <rcc rId="55" sId="7">
    <nc r="E7">
      <v>2</v>
    </nc>
  </rcc>
  <rcc rId="56" sId="7">
    <nc r="J7" t="inlineStr">
      <is>
        <t>Faiha</t>
      </is>
    </nc>
  </rcc>
</revisions>
</file>

<file path=xl/revisions/revisionLog1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57" sId="7">
    <oc r="E7">
      <v>2</v>
    </oc>
    <nc r="E7" t="inlineStr">
      <is>
        <t>PP2</t>
      </is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3">
  <userInfo guid="{A0EE2A41-EE0A-46F1-805E-A00F0A7BC933}" name="Dive Centre Office" id="-387593720" dateTime="2026-05-08T15:06:19"/>
  <userInfo guid="{4EEF207E-9A83-4FEA-96DB-260943D911D3}" name="Dive Centre Office" id="-387630456" dateTime="2026-05-12T08:37:57"/>
  <userInfo guid="{7404B655-5FBA-4B3B-8108-C3893D6D6BFB}" name="Dive Centre Office" id="-387616890" dateTime="2026-05-14T08:57:39"/>
</us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8" sqref="B8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2/05/2026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22" t="s">
        <v>12</v>
      </c>
      <c r="C7" s="23" t="s">
        <v>13</v>
      </c>
      <c r="D7" s="24">
        <v>46147</v>
      </c>
      <c r="E7" s="23" t="s">
        <v>14</v>
      </c>
      <c r="F7" s="23"/>
      <c r="G7" s="23"/>
      <c r="H7" s="23"/>
      <c r="I7" s="23">
        <v>3329178</v>
      </c>
      <c r="J7" s="23" t="s">
        <v>15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2">
        <v>337</v>
      </c>
      <c r="C8" s="22" t="s">
        <v>16</v>
      </c>
      <c r="D8" s="27">
        <v>46145</v>
      </c>
      <c r="E8" s="22" t="s">
        <v>17</v>
      </c>
      <c r="F8" s="22"/>
      <c r="G8" s="22"/>
      <c r="H8" s="22"/>
      <c r="I8" s="22"/>
      <c r="J8" s="22" t="s">
        <v>18</v>
      </c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3">
        <v>623</v>
      </c>
      <c r="C9" s="23" t="s">
        <v>19</v>
      </c>
      <c r="D9" s="24">
        <v>46145</v>
      </c>
      <c r="E9" s="23" t="s">
        <v>17</v>
      </c>
      <c r="F9" s="23"/>
      <c r="G9" s="23"/>
      <c r="H9" s="23"/>
      <c r="I9" s="23"/>
      <c r="J9" s="23" t="s">
        <v>20</v>
      </c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8" sqref="B8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8" sqref="B8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50CF958-F1FE-4AF7-A733-43928768FFD1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C11" sqref="C11:C12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5/05/2026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>
        <v>852</v>
      </c>
      <c r="C7" s="28" t="s">
        <v>13</v>
      </c>
      <c r="D7" s="30">
        <v>46147</v>
      </c>
      <c r="E7" s="28" t="s">
        <v>17</v>
      </c>
      <c r="F7" s="28"/>
      <c r="G7" s="28"/>
      <c r="H7" s="28"/>
      <c r="I7" s="28">
        <v>3329178</v>
      </c>
      <c r="J7" s="28" t="s">
        <v>15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>
        <v>819</v>
      </c>
      <c r="C8" s="28" t="s">
        <v>32</v>
      </c>
      <c r="D8" s="30">
        <v>46149</v>
      </c>
      <c r="E8" s="28" t="s">
        <v>17</v>
      </c>
      <c r="F8" s="28"/>
      <c r="G8" s="28"/>
      <c r="H8" s="28"/>
      <c r="I8" s="28"/>
      <c r="J8" s="28" t="s">
        <v>33</v>
      </c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8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SUM(E7:E26)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C11" sqref="C11:C12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C11" sqref="C11:C12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B8B0537-A651-4368-B576-45FA43BB59BF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I12" sqref="I12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7/05/2026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>
        <v>885</v>
      </c>
      <c r="C7" s="23" t="s">
        <v>64</v>
      </c>
      <c r="D7" s="24">
        <v>46150</v>
      </c>
      <c r="E7" s="23">
        <v>2</v>
      </c>
      <c r="F7" s="57"/>
      <c r="G7" s="57"/>
      <c r="H7" s="57"/>
      <c r="I7" s="57"/>
      <c r="J7" s="57" t="s">
        <v>65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C16" sqref="C16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I12" sqref="I12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0EE5AB01-1BAD-49D9-ABAE-2A0624EC38BC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I8" sqref="I8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9/05/2026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23">
        <v>216</v>
      </c>
      <c r="C7" s="34" t="s">
        <v>66</v>
      </c>
      <c r="D7" s="24">
        <v>46154</v>
      </c>
      <c r="E7" s="34">
        <v>2</v>
      </c>
      <c r="F7" s="34"/>
      <c r="G7" s="34"/>
      <c r="H7" s="34"/>
      <c r="I7" s="31" t="s">
        <v>68</v>
      </c>
      <c r="J7" s="57" t="s">
        <v>67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E12" sqref="E12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I8" sqref="I8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928147F6-8A53-4B8D-8C55-B0408055943F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7" sqref="B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12/05/2026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>
        <v>125</v>
      </c>
      <c r="C7" s="58" t="s">
        <v>69</v>
      </c>
      <c r="D7" s="59">
        <v>46164</v>
      </c>
      <c r="E7" s="57" t="s">
        <v>71</v>
      </c>
      <c r="F7" s="57"/>
      <c r="G7" s="57"/>
      <c r="H7" s="57"/>
      <c r="I7" s="57"/>
      <c r="J7" s="57" t="s">
        <v>67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3">
        <v>880</v>
      </c>
      <c r="C8" s="31" t="s">
        <v>70</v>
      </c>
      <c r="D8" s="24">
        <v>46156</v>
      </c>
      <c r="E8" s="23" t="s">
        <v>17</v>
      </c>
      <c r="F8" s="28"/>
      <c r="G8" s="28"/>
      <c r="H8" s="28"/>
      <c r="I8" s="28"/>
      <c r="J8" s="28" t="s">
        <v>67</v>
      </c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F945E3C-128D-49FB-8E00-4B5E81D862A2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7" sqref="B7:J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14/05/2026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>
        <v>125</v>
      </c>
      <c r="C7" s="58" t="s">
        <v>69</v>
      </c>
      <c r="D7" s="59">
        <v>46164</v>
      </c>
      <c r="E7" s="57">
        <v>2</v>
      </c>
      <c r="F7" s="57"/>
      <c r="G7" s="57"/>
      <c r="H7" s="57"/>
      <c r="I7" s="57"/>
      <c r="J7" s="57" t="s">
        <v>65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A49F01D2-5D5B-48F5-967D-88B5F96BD68C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tabSelected="1" zoomScaleNormal="100" workbookViewId="0">
      <selection activeCell="F7" sqref="F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16/05/2026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>
        <v>125</v>
      </c>
      <c r="C7" s="58" t="s">
        <v>69</v>
      </c>
      <c r="D7" s="59">
        <v>46164</v>
      </c>
      <c r="E7" s="57" t="s">
        <v>71</v>
      </c>
      <c r="F7" s="57"/>
      <c r="G7" s="57"/>
      <c r="H7" s="57"/>
      <c r="I7" s="57"/>
      <c r="J7" s="57" t="s">
        <v>65</v>
      </c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1051971-3CCF-4D27-9453-158BE9BAF6DD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7" sqref="B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19/05/2026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/>
      <c r="C7" s="58"/>
      <c r="D7" s="59"/>
      <c r="E7" s="57"/>
      <c r="F7" s="57"/>
      <c r="G7" s="57"/>
      <c r="H7" s="57"/>
      <c r="I7" s="57"/>
      <c r="J7" s="57"/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8CFB0C93-BCB7-41EB-8A59-E9FF7A740C33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K7" sqref="K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21/05/2026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 t="s">
        <v>12</v>
      </c>
      <c r="C7" s="58" t="s">
        <v>34</v>
      </c>
      <c r="D7" s="59">
        <v>46167</v>
      </c>
      <c r="E7" s="57">
        <v>2</v>
      </c>
      <c r="F7" s="57"/>
      <c r="G7" s="57"/>
      <c r="H7" s="57"/>
      <c r="I7" s="57">
        <v>25851154</v>
      </c>
      <c r="J7" s="57" t="s">
        <v>35</v>
      </c>
      <c r="K7" s="60" t="s">
        <v>36</v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K7" sqref="K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K7" sqref="K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C99B045D-EBFE-400C-B8DB-A71403FFF0B8}">
            <xm:f>NOT(ISERROR(SEARCH("No Post",K8)))</xm:f>
            <x14:dxf>
              <fill>
                <patternFill>
                  <bgColor rgb="FFFF0000"/>
                </patternFill>
              </fill>
            </x14:dxf>
          </x14:cfRule>
          <xm:sqref>K8:K26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7" sqref="B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23/05/2026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/>
      <c r="C7" s="58"/>
      <c r="D7" s="59"/>
      <c r="E7" s="57"/>
      <c r="F7" s="57"/>
      <c r="G7" s="57"/>
      <c r="H7" s="57"/>
      <c r="I7" s="57"/>
      <c r="J7" s="57"/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727D718F-2BCD-4060-8BC0-06378A06AC31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G15" sqref="G15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26/05/2026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/>
      <c r="C7" s="58"/>
      <c r="D7" s="59"/>
      <c r="E7" s="57"/>
      <c r="F7" s="57"/>
      <c r="G7" s="57"/>
      <c r="H7" s="57"/>
      <c r="I7" s="57"/>
      <c r="J7" s="57"/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G15" sqref="G15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G15" sqref="G15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D2DDEEA-758A-4FCA-828B-E62AD54EEB66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J6" sqref="J6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CONCATENATE((MID(CELL("filename",J5),FIND("]",CELL("filename",J5))+1,255)),"/05/2026")</f>
        <v>28/05/2026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/>
      <c r="C7" s="58"/>
      <c r="D7" s="59"/>
      <c r="E7" s="57"/>
      <c r="F7" s="57"/>
      <c r="G7" s="57"/>
      <c r="H7" s="57"/>
      <c r="I7" s="57"/>
      <c r="J7" s="57"/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J6" sqref="J6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EEA5784A-9683-4D28-97C0-CA540F4B66D9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63"/>
  <sheetViews>
    <sheetView zoomScaleNormal="100" workbookViewId="0">
      <selection activeCell="B7" sqref="B7"/>
    </sheetView>
  </sheetViews>
  <sheetFormatPr defaultColWidth="9.109375" defaultRowHeight="18" customHeight="1" x14ac:dyDescent="0.35"/>
  <cols>
    <col min="1" max="1" width="4.109375" style="1" customWidth="1"/>
    <col min="2" max="2" width="13.44140625" style="1" customWidth="1"/>
    <col min="3" max="3" width="41.33203125" style="1" customWidth="1"/>
    <col min="4" max="4" width="14.88671875" style="2" customWidth="1"/>
    <col min="5" max="6" width="10.6640625" style="1" customWidth="1"/>
    <col min="7" max="7" width="8.6640625" style="1" customWidth="1"/>
    <col min="8" max="8" width="10.33203125" style="1" customWidth="1"/>
    <col min="9" max="9" width="20.33203125" style="1" customWidth="1"/>
    <col min="10" max="10" width="20.6640625" style="1" customWidth="1"/>
    <col min="11" max="11" width="9.109375" style="1" customWidth="1"/>
    <col min="12" max="16384" width="9.109375" style="1"/>
  </cols>
  <sheetData>
    <row r="2" spans="1:11" x14ac:dyDescent="0.35">
      <c r="C2" s="3" t="s">
        <v>0</v>
      </c>
      <c r="D2" s="4"/>
      <c r="E2" s="5"/>
      <c r="F2" s="5"/>
      <c r="G2" s="5"/>
    </row>
    <row r="3" spans="1:11" x14ac:dyDescent="0.35">
      <c r="G3" s="6"/>
    </row>
    <row r="4" spans="1:11" s="7" customFormat="1" ht="17.399999999999999" x14ac:dyDescent="0.35">
      <c r="C4" s="8"/>
      <c r="D4" s="9"/>
    </row>
    <row r="5" spans="1:11" s="10" customFormat="1" ht="23.4" customHeight="1" x14ac:dyDescent="0.45">
      <c r="A5" s="11" t="s">
        <v>1</v>
      </c>
      <c r="B5" s="12"/>
      <c r="C5" s="12"/>
      <c r="D5" s="13"/>
      <c r="E5" s="12"/>
      <c r="F5" s="12"/>
      <c r="G5" s="12"/>
      <c r="H5" s="12"/>
      <c r="I5" s="14" t="s">
        <v>2</v>
      </c>
      <c r="J5" s="15" t="str">
        <f ca="1">CONCATENATE((MID(CELL("filename",J5),FIND("]",CELL("filename",J5))+1,25)),"/05/2026")</f>
        <v>30/05/2026</v>
      </c>
    </row>
    <row r="6" spans="1:11" ht="18.600000000000001" customHeight="1" x14ac:dyDescent="0.35">
      <c r="A6" s="16"/>
      <c r="B6" s="17" t="s">
        <v>3</v>
      </c>
      <c r="C6" s="17" t="s">
        <v>4</v>
      </c>
      <c r="D6" s="18" t="s">
        <v>5</v>
      </c>
      <c r="E6" s="17" t="s">
        <v>6</v>
      </c>
      <c r="F6" s="17" t="s">
        <v>7</v>
      </c>
      <c r="G6" s="17" t="s">
        <v>8</v>
      </c>
      <c r="H6" s="19" t="s">
        <v>9</v>
      </c>
      <c r="I6" s="19" t="s">
        <v>10</v>
      </c>
      <c r="J6" s="20" t="s">
        <v>11</v>
      </c>
    </row>
    <row r="7" spans="1:11" x14ac:dyDescent="0.35">
      <c r="A7" s="21">
        <v>1</v>
      </c>
      <c r="B7" s="57"/>
      <c r="C7" s="58"/>
      <c r="D7" s="59"/>
      <c r="E7" s="57"/>
      <c r="F7" s="57"/>
      <c r="G7" s="57"/>
      <c r="H7" s="57"/>
      <c r="I7" s="57"/>
      <c r="J7" s="57"/>
      <c r="K7" s="25" t="str">
        <f>IF(OR(NOT(ISERROR(MATCH(RIGHT(B7,3)+0,#REF!,0))),NOT(ISERROR(MATCH(LEFT(B7,3)+0,#REF!,0)))),"No Post","")</f>
        <v/>
      </c>
    </row>
    <row r="8" spans="1:11" x14ac:dyDescent="0.35">
      <c r="A8" s="26">
        <v>2</v>
      </c>
      <c r="B8" s="28"/>
      <c r="C8" s="29"/>
      <c r="D8" s="30"/>
      <c r="E8" s="28"/>
      <c r="F8" s="28"/>
      <c r="G8" s="28"/>
      <c r="H8" s="28"/>
      <c r="I8" s="28"/>
      <c r="J8" s="28"/>
      <c r="K8" s="25" t="str">
        <f>IF(OR(NOT(ISERROR(MATCH(RIGHT(B8,3)+0,#REF!,0))),NOT(ISERROR(MATCH(LEFT(B8,3)+0,#REF!,0)))),"No Post","")</f>
        <v/>
      </c>
    </row>
    <row r="9" spans="1:11" x14ac:dyDescent="0.35">
      <c r="A9" s="26">
        <v>3</v>
      </c>
      <c r="B9" s="28"/>
      <c r="C9" s="29"/>
      <c r="D9" s="30"/>
      <c r="E9" s="28"/>
      <c r="F9" s="28"/>
      <c r="G9" s="28"/>
      <c r="H9" s="28"/>
      <c r="I9" s="28"/>
      <c r="J9" s="28"/>
      <c r="K9" s="25" t="str">
        <f>IF(OR(NOT(ISERROR(MATCH(RIGHT(B9,3)+0,#REF!,0))),NOT(ISERROR(MATCH(LEFT(B9,3)+0,#REF!,0)))),"No Post","")</f>
        <v/>
      </c>
    </row>
    <row r="10" spans="1:11" x14ac:dyDescent="0.35">
      <c r="A10" s="26">
        <v>4</v>
      </c>
      <c r="B10" s="28"/>
      <c r="C10" s="29"/>
      <c r="D10" s="30"/>
      <c r="E10" s="28"/>
      <c r="F10" s="28"/>
      <c r="G10" s="28"/>
      <c r="H10" s="28"/>
      <c r="I10" s="28"/>
      <c r="J10" s="28"/>
      <c r="K10" s="25" t="str">
        <f>IF(OR(NOT(ISERROR(MATCH(RIGHT(B10,3)+0,#REF!,0))),NOT(ISERROR(MATCH(LEFT(B10,3)+0,#REF!,0)))),"No Post","")</f>
        <v/>
      </c>
    </row>
    <row r="11" spans="1:11" x14ac:dyDescent="0.35">
      <c r="A11" s="26">
        <v>5</v>
      </c>
      <c r="B11" s="28"/>
      <c r="C11" s="29"/>
      <c r="D11" s="30"/>
      <c r="E11" s="28"/>
      <c r="F11" s="28"/>
      <c r="G11" s="28"/>
      <c r="H11" s="28"/>
      <c r="I11" s="28"/>
      <c r="J11" s="28"/>
      <c r="K11" s="25" t="str">
        <f>IF(OR(NOT(ISERROR(MATCH(RIGHT(B11,3)+0,#REF!,0))),NOT(ISERROR(MATCH(LEFT(B11,3)+0,#REF!,0)))),"No Post","")</f>
        <v/>
      </c>
    </row>
    <row r="12" spans="1:11" x14ac:dyDescent="0.35">
      <c r="A12" s="21">
        <v>6</v>
      </c>
      <c r="B12" s="28"/>
      <c r="C12" s="29"/>
      <c r="D12" s="30"/>
      <c r="E12" s="28"/>
      <c r="F12" s="28"/>
      <c r="G12" s="28"/>
      <c r="H12" s="28"/>
      <c r="I12" s="28"/>
      <c r="J12" s="28"/>
      <c r="K12" s="25" t="str">
        <f>IF(OR(NOT(ISERROR(MATCH(RIGHT(B12,3)+0,#REF!,0))),NOT(ISERROR(MATCH(LEFT(B12,3)+0,#REF!,0)))),"No Post","")</f>
        <v/>
      </c>
    </row>
    <row r="13" spans="1:11" x14ac:dyDescent="0.35">
      <c r="A13" s="26">
        <v>7</v>
      </c>
      <c r="B13" s="28"/>
      <c r="C13" s="29"/>
      <c r="D13" s="30"/>
      <c r="E13" s="28"/>
      <c r="F13" s="28"/>
      <c r="G13" s="28"/>
      <c r="H13" s="28"/>
      <c r="I13" s="28"/>
      <c r="J13" s="28"/>
      <c r="K13" s="25" t="str">
        <f>IF(OR(NOT(ISERROR(MATCH(RIGHT(B13,3)+0,#REF!,0))),NOT(ISERROR(MATCH(LEFT(B13,3)+0,#REF!,0)))),"No Post","")</f>
        <v/>
      </c>
    </row>
    <row r="14" spans="1:11" x14ac:dyDescent="0.35">
      <c r="A14" s="26">
        <v>8</v>
      </c>
      <c r="B14" s="28"/>
      <c r="C14" s="29"/>
      <c r="D14" s="30"/>
      <c r="E14" s="28"/>
      <c r="F14" s="28"/>
      <c r="G14" s="28"/>
      <c r="H14" s="28"/>
      <c r="I14" s="28"/>
      <c r="J14" s="28"/>
      <c r="K14" s="25" t="str">
        <f>IF(OR(NOT(ISERROR(MATCH(RIGHT(B14,3)+0,#REF!,0))),NOT(ISERROR(MATCH(LEFT(B14,3)+0,#REF!,0)))),"No Post","")</f>
        <v/>
      </c>
    </row>
    <row r="15" spans="1:11" x14ac:dyDescent="0.35">
      <c r="A15" s="26">
        <v>9</v>
      </c>
      <c r="B15" s="28"/>
      <c r="C15" s="29"/>
      <c r="D15" s="30"/>
      <c r="E15" s="28"/>
      <c r="F15" s="28"/>
      <c r="G15" s="28"/>
      <c r="H15" s="28"/>
      <c r="I15" s="28"/>
      <c r="J15" s="28"/>
      <c r="K15" s="25" t="str">
        <f>IF(OR(NOT(ISERROR(MATCH(RIGHT(B15,3)+0,#REF!,0))),NOT(ISERROR(MATCH(LEFT(B15,3)+0,#REF!,0)))),"No Post","")</f>
        <v/>
      </c>
    </row>
    <row r="16" spans="1:11" x14ac:dyDescent="0.35">
      <c r="A16" s="26">
        <v>10</v>
      </c>
      <c r="B16" s="28"/>
      <c r="C16" s="29"/>
      <c r="D16" s="30"/>
      <c r="E16" s="28"/>
      <c r="F16" s="28"/>
      <c r="G16" s="28"/>
      <c r="H16" s="28"/>
      <c r="I16" s="28"/>
      <c r="J16" s="28"/>
      <c r="K16" s="25" t="str">
        <f>IF(OR(NOT(ISERROR(MATCH(RIGHT(B16,3)+0,#REF!,0))),NOT(ISERROR(MATCH(LEFT(B16,3)+0,#REF!,0)))),"No Post","")</f>
        <v/>
      </c>
    </row>
    <row r="17" spans="1:11" x14ac:dyDescent="0.35">
      <c r="A17" s="21">
        <v>11</v>
      </c>
      <c r="B17" s="28"/>
      <c r="C17" s="29"/>
      <c r="D17" s="30"/>
      <c r="E17" s="28"/>
      <c r="F17" s="28"/>
      <c r="G17" s="28"/>
      <c r="H17" s="28"/>
      <c r="I17" s="28"/>
      <c r="J17" s="28"/>
      <c r="K17" s="25" t="str">
        <f>IF(OR(NOT(ISERROR(MATCH(RIGHT(B17,3)+0,#REF!,0))),NOT(ISERROR(MATCH(LEFT(B17,3)+0,#REF!,0)))),"No Post","")</f>
        <v/>
      </c>
    </row>
    <row r="18" spans="1:11" x14ac:dyDescent="0.35">
      <c r="A18" s="26">
        <v>12</v>
      </c>
      <c r="B18" s="28"/>
      <c r="C18" s="29"/>
      <c r="D18" s="30"/>
      <c r="E18" s="28"/>
      <c r="F18" s="28"/>
      <c r="G18" s="28"/>
      <c r="H18" s="28"/>
      <c r="I18" s="28"/>
      <c r="J18" s="28"/>
      <c r="K18" s="25" t="str">
        <f>IF(OR(NOT(ISERROR(MATCH(RIGHT(B18,3)+0,#REF!,0))),NOT(ISERROR(MATCH(LEFT(B18,3)+0,#REF!,0)))),"No Post","")</f>
        <v/>
      </c>
    </row>
    <row r="19" spans="1:11" x14ac:dyDescent="0.35">
      <c r="A19" s="26">
        <v>13</v>
      </c>
      <c r="B19" s="28"/>
      <c r="C19" s="29"/>
      <c r="D19" s="30"/>
      <c r="E19" s="28"/>
      <c r="F19" s="28"/>
      <c r="G19" s="28"/>
      <c r="H19" s="28"/>
      <c r="I19" s="28"/>
      <c r="J19" s="28"/>
      <c r="K19" s="25" t="str">
        <f>IF(OR(NOT(ISERROR(MATCH(RIGHT(B19,3)+0,#REF!,0))),NOT(ISERROR(MATCH(LEFT(B19,3)+0,#REF!,0)))),"No Post","")</f>
        <v/>
      </c>
    </row>
    <row r="20" spans="1:11" x14ac:dyDescent="0.35">
      <c r="A20" s="26">
        <v>14</v>
      </c>
      <c r="B20" s="28"/>
      <c r="C20" s="29"/>
      <c r="D20" s="30"/>
      <c r="E20" s="28"/>
      <c r="F20" s="28"/>
      <c r="G20" s="28"/>
      <c r="H20" s="28"/>
      <c r="I20" s="28"/>
      <c r="J20" s="28"/>
      <c r="K20" s="25" t="str">
        <f>IF(OR(NOT(ISERROR(MATCH(RIGHT(B20,3)+0,#REF!,0))),NOT(ISERROR(MATCH(LEFT(B20,3)+0,#REF!,0)))),"No Post","")</f>
        <v/>
      </c>
    </row>
    <row r="21" spans="1:11" x14ac:dyDescent="0.35">
      <c r="A21" s="26">
        <v>15</v>
      </c>
      <c r="B21" s="28"/>
      <c r="C21" s="29"/>
      <c r="D21" s="30"/>
      <c r="E21" s="28"/>
      <c r="F21" s="28"/>
      <c r="G21" s="28"/>
      <c r="H21" s="28"/>
      <c r="I21" s="28"/>
      <c r="J21" s="28"/>
      <c r="K21" s="25" t="str">
        <f>IF(OR(NOT(ISERROR(MATCH(RIGHT(B21,3)+0,#REF!,0))),NOT(ISERROR(MATCH(LEFT(B21,3)+0,#REF!,0)))),"No Post","")</f>
        <v/>
      </c>
    </row>
    <row r="22" spans="1:11" x14ac:dyDescent="0.35">
      <c r="A22" s="21">
        <v>16</v>
      </c>
      <c r="B22" s="23"/>
      <c r="C22" s="31"/>
      <c r="D22" s="32"/>
      <c r="E22" s="33"/>
      <c r="F22" s="33"/>
      <c r="G22" s="34"/>
      <c r="H22" s="28"/>
      <c r="I22" s="31"/>
      <c r="J22" s="31"/>
      <c r="K22" s="25" t="str">
        <f>IF(OR(NOT(ISERROR(MATCH(RIGHT(B22,3)+0,#REF!,0))),NOT(ISERROR(MATCH(LEFT(B22,3)+0,#REF!,0)))),"No Post","")</f>
        <v/>
      </c>
    </row>
    <row r="23" spans="1:11" x14ac:dyDescent="0.35">
      <c r="A23" s="26">
        <v>17</v>
      </c>
      <c r="B23" s="35"/>
      <c r="C23" s="36"/>
      <c r="D23" s="37"/>
      <c r="E23" s="38"/>
      <c r="F23" s="39"/>
      <c r="G23" s="40"/>
      <c r="H23" s="26"/>
      <c r="I23" s="36"/>
      <c r="J23" s="36"/>
      <c r="K23" s="25" t="str">
        <f>IF(OR(NOT(ISERROR(MATCH(RIGHT(B23,3)+0,#REF!,0))),NOT(ISERROR(MATCH(LEFT(B23,3)+0,#REF!,0)))),"No Post","")</f>
        <v/>
      </c>
    </row>
    <row r="24" spans="1:11" s="41" customFormat="1" ht="19.8" customHeight="1" x14ac:dyDescent="0.4">
      <c r="A24" s="26">
        <v>18</v>
      </c>
      <c r="B24" s="35"/>
      <c r="C24" s="36"/>
      <c r="D24" s="37"/>
      <c r="E24" s="40"/>
      <c r="F24" s="40"/>
      <c r="G24" s="40"/>
      <c r="H24" s="26"/>
      <c r="I24" s="42"/>
      <c r="J24" s="42"/>
      <c r="K24" s="25" t="str">
        <f>IF(OR(NOT(ISERROR(MATCH(RIGHT(B24,3)+0,#REF!,0))),NOT(ISERROR(MATCH(LEFT(B24,3)+0,#REF!,0)))),"No Post","")</f>
        <v/>
      </c>
    </row>
    <row r="25" spans="1:11" x14ac:dyDescent="0.35">
      <c r="A25" s="26">
        <v>19</v>
      </c>
      <c r="B25" s="35"/>
      <c r="C25" s="36"/>
      <c r="D25" s="37"/>
      <c r="E25" s="40"/>
      <c r="F25" s="40"/>
      <c r="G25" s="40"/>
      <c r="H25" s="26"/>
      <c r="I25" s="36"/>
      <c r="J25" s="36"/>
      <c r="K25" s="25" t="str">
        <f>IF(OR(NOT(ISERROR(MATCH(RIGHT(B25,3)+0,#REF!,0))),NOT(ISERROR(MATCH(LEFT(B25,3)+0,#REF!,0)))),"No Post","")</f>
        <v/>
      </c>
    </row>
    <row r="26" spans="1:11" s="43" customFormat="1" x14ac:dyDescent="0.35">
      <c r="A26" s="26">
        <v>20</v>
      </c>
      <c r="B26" s="35"/>
      <c r="C26" s="36"/>
      <c r="D26" s="37"/>
      <c r="E26" s="40"/>
      <c r="F26" s="40"/>
      <c r="G26" s="40"/>
      <c r="H26" s="26"/>
      <c r="I26" s="36"/>
      <c r="J26" s="36"/>
      <c r="K26" s="25" t="str">
        <f>IF(OR(NOT(ISERROR(MATCH(RIGHT(B26,3)+0,#REF!,0))),NOT(ISERROR(MATCH(LEFT(B26,3)+0,#REF!,0)))),"No Post","")</f>
        <v/>
      </c>
    </row>
    <row r="27" spans="1:11" s="43" customFormat="1" ht="23.25" customHeight="1" x14ac:dyDescent="0.35">
      <c r="A27" s="1"/>
      <c r="B27" s="1"/>
      <c r="C27" s="1"/>
      <c r="D27" s="44" t="s">
        <v>21</v>
      </c>
      <c r="E27" s="45">
        <f>SUM(E22:E26)</f>
        <v>0</v>
      </c>
      <c r="F27" s="45">
        <f>SUM(F22:F26)</f>
        <v>0</v>
      </c>
      <c r="G27" s="1"/>
      <c r="H27" s="1"/>
    </row>
    <row r="28" spans="1:11" s="43" customFormat="1" ht="23.25" customHeight="1" x14ac:dyDescent="0.35">
      <c r="A28" s="1"/>
      <c r="B28" s="1"/>
      <c r="C28" s="1"/>
      <c r="D28" s="2"/>
      <c r="E28" s="1"/>
      <c r="F28" s="1"/>
      <c r="G28" s="1"/>
      <c r="H28" s="1"/>
    </row>
    <row r="29" spans="1:11" ht="20.25" customHeight="1" x14ac:dyDescent="0.35">
      <c r="B29" t="s">
        <v>22</v>
      </c>
      <c r="D29" s="46"/>
    </row>
    <row r="30" spans="1:11" ht="20.25" customHeight="1" x14ac:dyDescent="0.35">
      <c r="B30" s="47" t="s">
        <v>23</v>
      </c>
      <c r="C30" s="47"/>
      <c r="D30" s="48"/>
      <c r="E30" s="47"/>
      <c r="F30" s="47"/>
      <c r="G30" s="47"/>
      <c r="H30" s="47"/>
    </row>
    <row r="31" spans="1:11" ht="20.25" customHeight="1" x14ac:dyDescent="0.35">
      <c r="B31" s="47" t="s">
        <v>24</v>
      </c>
      <c r="C31" s="47"/>
      <c r="D31" s="48"/>
      <c r="E31" s="47"/>
      <c r="F31" s="47"/>
      <c r="G31" s="47"/>
      <c r="H31" s="47"/>
    </row>
    <row r="32" spans="1:11" ht="20.25" customHeight="1" x14ac:dyDescent="0.35">
      <c r="B32" s="47" t="s">
        <v>25</v>
      </c>
      <c r="C32" s="47"/>
      <c r="D32" s="48"/>
      <c r="E32" s="47"/>
      <c r="F32" s="47"/>
      <c r="G32" s="47"/>
      <c r="H32" s="47"/>
    </row>
    <row r="33" spans="2:8" x14ac:dyDescent="0.35">
      <c r="B33" s="47" t="s">
        <v>26</v>
      </c>
      <c r="C33" s="47"/>
      <c r="D33" s="48"/>
      <c r="E33" s="47"/>
      <c r="F33" s="47"/>
      <c r="G33" s="47"/>
      <c r="H33" s="47"/>
    </row>
    <row r="34" spans="2:8" x14ac:dyDescent="0.35">
      <c r="B34" s="47" t="s">
        <v>27</v>
      </c>
      <c r="C34" s="47"/>
      <c r="D34" s="48"/>
      <c r="E34" s="47"/>
      <c r="F34" s="47"/>
      <c r="G34" s="47"/>
      <c r="H34" s="47"/>
    </row>
    <row r="35" spans="2:8" x14ac:dyDescent="0.35">
      <c r="B35" s="47" t="s">
        <v>28</v>
      </c>
      <c r="C35" s="47"/>
      <c r="D35" s="48"/>
      <c r="E35" s="47"/>
      <c r="F35" s="47"/>
      <c r="G35" s="47"/>
      <c r="H35" s="47"/>
    </row>
    <row r="36" spans="2:8" s="49" customFormat="1" ht="15.6" customHeight="1" x14ac:dyDescent="0.3">
      <c r="B36" s="50" t="s">
        <v>29</v>
      </c>
      <c r="C36" s="50"/>
      <c r="D36" s="51"/>
      <c r="E36" s="50"/>
      <c r="F36" s="50"/>
      <c r="G36" s="50"/>
    </row>
    <row r="37" spans="2:8" s="49" customFormat="1" ht="15.6" customHeight="1" x14ac:dyDescent="0.3">
      <c r="B37" s="50" t="s">
        <v>30</v>
      </c>
      <c r="C37" s="50"/>
      <c r="D37" s="51"/>
      <c r="E37" s="50"/>
      <c r="F37" s="50"/>
      <c r="G37" s="50"/>
    </row>
    <row r="38" spans="2:8" s="52" customFormat="1" ht="20.25" customHeight="1" x14ac:dyDescent="0.35">
      <c r="B38" s="53" t="s">
        <v>31</v>
      </c>
      <c r="C38" s="53"/>
      <c r="D38" s="54"/>
    </row>
    <row r="39" spans="2:8" ht="14.4" customHeight="1" x14ac:dyDescent="0.35">
      <c r="B39" s="55"/>
      <c r="C39" s="47"/>
      <c r="D39" s="48"/>
      <c r="E39" s="47"/>
      <c r="F39" s="47"/>
      <c r="G39" s="47"/>
      <c r="H39" s="47"/>
    </row>
    <row r="40" spans="2:8" x14ac:dyDescent="0.35">
      <c r="B40" s="47"/>
      <c r="C40" s="47"/>
      <c r="D40" s="48"/>
      <c r="E40" s="47"/>
      <c r="F40" s="47"/>
      <c r="G40" s="47"/>
      <c r="H40" s="47"/>
    </row>
    <row r="41" spans="2:8" x14ac:dyDescent="0.35">
      <c r="B41" s="55"/>
      <c r="C41" s="47"/>
      <c r="D41" s="48"/>
      <c r="E41" s="47"/>
      <c r="F41" s="47"/>
      <c r="G41" s="47"/>
      <c r="H41" s="47"/>
    </row>
    <row r="42" spans="2:8" x14ac:dyDescent="0.35">
      <c r="B42" s="47"/>
      <c r="C42" s="47"/>
      <c r="D42" s="48"/>
      <c r="E42" s="47"/>
      <c r="F42" s="47"/>
      <c r="G42" s="47"/>
      <c r="H42" s="47"/>
    </row>
    <row r="44" spans="2:8" x14ac:dyDescent="0.35">
      <c r="B44" s="43"/>
      <c r="C44" s="43"/>
      <c r="D44" s="56"/>
      <c r="E44" s="43"/>
      <c r="F44" s="43"/>
      <c r="G44" s="43"/>
      <c r="H44" s="43"/>
    </row>
    <row r="59" spans="2:8" x14ac:dyDescent="0.35">
      <c r="B59" s="47"/>
      <c r="C59" s="47"/>
      <c r="D59" s="48"/>
      <c r="E59" s="47"/>
      <c r="F59" s="47"/>
      <c r="G59" s="47"/>
      <c r="H59" s="47"/>
    </row>
    <row r="60" spans="2:8" x14ac:dyDescent="0.35">
      <c r="B60" s="47"/>
      <c r="C60" s="47"/>
      <c r="D60" s="48"/>
      <c r="E60" s="47"/>
      <c r="F60" s="47"/>
      <c r="G60" s="47"/>
      <c r="H60" s="47"/>
    </row>
    <row r="61" spans="2:8" x14ac:dyDescent="0.35">
      <c r="B61" s="47"/>
      <c r="C61" s="47"/>
      <c r="D61" s="48"/>
      <c r="E61" s="47"/>
      <c r="F61" s="47"/>
      <c r="G61" s="47"/>
      <c r="H61" s="47"/>
    </row>
    <row r="62" spans="2:8" x14ac:dyDescent="0.35">
      <c r="B62" s="55"/>
      <c r="C62" s="47"/>
      <c r="D62" s="48"/>
      <c r="E62" s="47"/>
      <c r="F62" s="47"/>
      <c r="G62" s="47"/>
      <c r="H62" s="47"/>
    </row>
    <row r="63" spans="2:8" x14ac:dyDescent="0.35">
      <c r="B63" s="47"/>
      <c r="C63" s="47"/>
      <c r="D63" s="48"/>
      <c r="E63" s="47"/>
      <c r="F63" s="47"/>
      <c r="G63" s="47"/>
      <c r="H63" s="47"/>
    </row>
  </sheetData>
  <customSheetViews>
    <customSheetView guid="{53B2FC21-0672-4C6E-B2BB-76D0B8FDB7A4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  <customSheetView guid="{97FEA1E7-B2E3-4EF8-8726-F2D182FB1341}" fitToPage="1">
      <selection activeCell="B7" sqref="B7"/>
      <pageMargins left="0.7" right="0.7" top="0.75" bottom="0.75" header="0.3" footer="0.3"/>
      <printOptions horizontalCentered="1"/>
      <pageSetup paperSize="9" scale="84" fitToHeight="0" orientation="landscape" useFirstPageNumber="1" horizontalDpi="4294967295" verticalDpi="4294967295"/>
    </customSheetView>
  </customSheetViews>
  <printOptions horizontalCentered="1"/>
  <pageMargins left="0.7" right="0.7" top="0.75" bottom="0.75" header="0.3" footer="0.3"/>
  <pageSetup paperSize="9" scale="84" fitToHeight="0" orientation="landscape" useFirstPageNumber="1" horizontalDpi="4294967295" verticalDpi="4294967295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40F4ACF1-9839-42A2-A44F-939D635A892D}">
            <xm:f>NOT(ISERROR(SEARCH("No Post",K7)))</xm:f>
            <x14:dxf>
              <fill>
                <patternFill>
                  <bgColor rgb="FFFF0000"/>
                </patternFill>
              </fill>
            </x14:dxf>
          </x14:cfRule>
          <xm:sqref>K7:K26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/>
  </sheetViews>
  <sheetFormatPr defaultRowHeight="14.4" x14ac:dyDescent="0.3"/>
  <sheetData>
    <row r="1" spans="1:10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 spans="1:10" x14ac:dyDescent="0.3">
      <c r="A2" t="s">
        <v>47</v>
      </c>
      <c r="B2">
        <v>7</v>
      </c>
      <c r="C2" t="s">
        <v>48</v>
      </c>
      <c r="D2" t="s">
        <v>49</v>
      </c>
      <c r="E2" t="s">
        <v>50</v>
      </c>
      <c r="F2" t="s">
        <v>51</v>
      </c>
      <c r="G2" t="s">
        <v>52</v>
      </c>
      <c r="H2" t="s">
        <v>49</v>
      </c>
      <c r="I2" t="s">
        <v>49</v>
      </c>
      <c r="J2" t="s">
        <v>49</v>
      </c>
    </row>
    <row r="3" spans="1:10" x14ac:dyDescent="0.3">
      <c r="A3" t="s">
        <v>53</v>
      </c>
      <c r="B3">
        <v>8</v>
      </c>
      <c r="C3" t="s">
        <v>54</v>
      </c>
      <c r="D3" t="s">
        <v>49</v>
      </c>
      <c r="E3" t="s">
        <v>55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</row>
  </sheetData>
  <customSheetViews>
    <customSheetView guid="{53B2FC21-0672-4C6E-B2BB-76D0B8FDB7A4}" state="hidden">
      <pageMargins left="0.7" right="0.7" top="0.75" bottom="0.75" header="0.3" footer="0.3"/>
      <pageSetup orientation="portrait" horizontalDpi="4294967295" verticalDpi="4294967295"/>
    </customSheetView>
    <customSheetView guid="{97FEA1E7-B2E3-4EF8-8726-F2D182FB1341}" state="hidden">
      <pageMargins left="0.7" right="0.7" top="0.75" bottom="0.75" header="0.3" footer="0.3"/>
      <pageSetup orientation="portrait" horizontalDpi="4294967295" verticalDpi="4294967295"/>
    </customSheetView>
  </customSheetView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4.4" x14ac:dyDescent="0.3"/>
  <sheetData>
    <row r="1" spans="1:7" x14ac:dyDescent="0.3">
      <c r="A1" t="s">
        <v>37</v>
      </c>
      <c r="B1" t="s">
        <v>56</v>
      </c>
      <c r="C1" t="s">
        <v>57</v>
      </c>
      <c r="D1" t="s">
        <v>58</v>
      </c>
      <c r="E1" t="s">
        <v>59</v>
      </c>
      <c r="F1" t="s">
        <v>41</v>
      </c>
      <c r="G1" t="s">
        <v>60</v>
      </c>
    </row>
    <row r="2" spans="1:7" x14ac:dyDescent="0.3">
      <c r="A2" t="s">
        <v>47</v>
      </c>
      <c r="B2" t="s">
        <v>61</v>
      </c>
      <c r="C2" t="s">
        <v>62</v>
      </c>
      <c r="D2" t="s">
        <v>49</v>
      </c>
      <c r="E2" t="s">
        <v>61</v>
      </c>
      <c r="F2" t="s">
        <v>63</v>
      </c>
      <c r="G2" t="s">
        <v>49</v>
      </c>
    </row>
  </sheetData>
  <customSheetViews>
    <customSheetView guid="{53B2FC21-0672-4C6E-B2BB-76D0B8FDB7A4}" state="hidden">
      <pageMargins left="0.7" right="0.7" top="0.75" bottom="0.75" header="0.3" footer="0.3"/>
      <pageSetup orientation="portrait" horizontalDpi="4294967295" verticalDpi="4294967295"/>
    </customSheetView>
    <customSheetView guid="{97FEA1E7-B2E3-4EF8-8726-F2D182FB1341}" state="hidden">
      <pageMargins left="0.7" right="0.7" top="0.75" bottom="0.75" header="0.3" footer="0.3"/>
      <pageSetup orientation="portrait" horizontalDpi="4294967295" verticalDpi="4294967295"/>
    </customSheetView>
  </customSheetView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16</vt:i4>
      </vt:variant>
    </vt:vector>
  </HeadingPairs>
  <TitlesOfParts>
    <vt:vector size="31" baseType="lpstr">
      <vt:lpstr>2</vt:lpstr>
      <vt:lpstr>5</vt:lpstr>
      <vt:lpstr>7</vt:lpstr>
      <vt:lpstr>9</vt:lpstr>
      <vt:lpstr>12</vt:lpstr>
      <vt:lpstr>14</vt:lpstr>
      <vt:lpstr>16</vt:lpstr>
      <vt:lpstr>19</vt:lpstr>
      <vt:lpstr>21</vt:lpstr>
      <vt:lpstr>23</vt:lpstr>
      <vt:lpstr>26</vt:lpstr>
      <vt:lpstr>28</vt:lpstr>
      <vt:lpstr>30</vt:lpstr>
      <vt:lpstr>_BookingMeta</vt:lpstr>
      <vt:lpstr>_SheetMeta</vt:lpstr>
      <vt:lpstr>'12'!Print_Area</vt:lpstr>
      <vt:lpstr>'14'!Print_Area</vt:lpstr>
      <vt:lpstr>'16'!Print_Area</vt:lpstr>
      <vt:lpstr>'19'!Print_Area</vt:lpstr>
      <vt:lpstr>'2'!Print_Area</vt:lpstr>
      <vt:lpstr>'21'!Print_Area</vt:lpstr>
      <vt:lpstr>'23'!Print_Area</vt:lpstr>
      <vt:lpstr>'26'!Print_Area</vt:lpstr>
      <vt:lpstr>'28'!Print_Area</vt:lpstr>
      <vt:lpstr>'30'!Print_Area</vt:lpstr>
      <vt:lpstr>'5'!Print_Area</vt:lpstr>
      <vt:lpstr>'7'!Print_Area</vt:lpstr>
      <vt:lpstr>'9'!Print_Area</vt:lpstr>
      <vt:lpstr>Z_39C74AF7_84C5_495C_973D_5531F603C1A0_.wvu.PrintArea</vt:lpstr>
      <vt:lpstr>Z_6EAF128A_4D2E_4FC0_8756_5127C44D8563_.wvu.PrintArea</vt:lpstr>
      <vt:lpstr>Z_94EBE5FB_1A63_44CC_AE2C_375DFEC90C2A_.wvu.PrintArea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Dive Centre Office</cp:lastModifiedBy>
  <cp:lastPrinted>2021-08-16T08:15:57Z</cp:lastPrinted>
  <dcterms:created xsi:type="dcterms:W3CDTF">2019-01-14T09:07:47Z</dcterms:created>
  <dcterms:modified xsi:type="dcterms:W3CDTF">2026-05-14T05:39:52Z</dcterms:modified>
</cp:coreProperties>
</file>