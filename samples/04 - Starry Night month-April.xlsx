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9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BOOKINGS\2026\04- April\"/>
    </mc:Choice>
  </mc:AlternateContent>
  <xr:revisionPtr revIDLastSave="0" documentId="13_ncr:81_{F98272BB-D669-4975-B773-4E31DB0E91B0}" xr6:coauthVersionLast="47" xr6:coauthVersionMax="47" xr10:uidLastSave="{00000000-0000-0000-0000-000000000000}"/>
  <bookViews>
    <workbookView xWindow="-108" yWindow="-108" windowWidth="23256" windowHeight="12456" activeTab="16" xr2:uid="{00000000-000D-0000-FFFF-FFFF00000000}"/>
  </bookViews>
  <sheets>
    <sheet name="1" sheetId="1" r:id="rId1"/>
    <sheet name="3" sheetId="2" r:id="rId2"/>
    <sheet name="5" sheetId="3" r:id="rId3"/>
    <sheet name="6" sheetId="4" r:id="rId4"/>
    <sheet name="8" sheetId="5" r:id="rId5"/>
    <sheet name="10" sheetId="6" r:id="rId6"/>
    <sheet name="12" sheetId="7" r:id="rId7"/>
    <sheet name="13" sheetId="8" r:id="rId8"/>
    <sheet name="15" sheetId="9" r:id="rId9"/>
    <sheet name="17" sheetId="10" r:id="rId10"/>
    <sheet name="19" sheetId="11" r:id="rId11"/>
    <sheet name="20" sheetId="12" r:id="rId12"/>
    <sheet name="22" sheetId="13" r:id="rId13"/>
    <sheet name="24" sheetId="14" r:id="rId14"/>
    <sheet name="26" sheetId="15" r:id="rId15"/>
    <sheet name="27" sheetId="16" r:id="rId16"/>
    <sheet name="29" sheetId="17" r:id="rId17"/>
  </sheets>
  <definedNames>
    <definedName name="_xlnm.Print_Area" localSheetId="0">'1'!$A$1:$J$30</definedName>
    <definedName name="_xlnm.Print_Area" localSheetId="5">'10'!$A$1:$J$30</definedName>
    <definedName name="_xlnm.Print_Area" localSheetId="6">'12'!$A$1:$J$30</definedName>
    <definedName name="_xlnm.Print_Area" localSheetId="7">'13'!$A$1:$J$30</definedName>
    <definedName name="_xlnm.Print_Area" localSheetId="8">'15'!$A$1:$J$30</definedName>
    <definedName name="_xlnm.Print_Area" localSheetId="9">'17'!$A$1:$J$30</definedName>
    <definedName name="_xlnm.Print_Area" localSheetId="10">'19'!$A$1:$J$30</definedName>
    <definedName name="_xlnm.Print_Area" localSheetId="11">'20'!$A$1:$J$30</definedName>
    <definedName name="_xlnm.Print_Area" localSheetId="12">'22'!$A$1:$J$30</definedName>
    <definedName name="_xlnm.Print_Area" localSheetId="13">'24'!$A$1:$J$30</definedName>
    <definedName name="_xlnm.Print_Area" localSheetId="14">'26'!$A$1:$J$30</definedName>
    <definedName name="_xlnm.Print_Area" localSheetId="15">'27'!$A$1:$J$30</definedName>
    <definedName name="_xlnm.Print_Area" localSheetId="16">'29'!$A$1:$J$30</definedName>
    <definedName name="_xlnm.Print_Area" localSheetId="1">'3'!$A$1:$J$30</definedName>
    <definedName name="_xlnm.Print_Area" localSheetId="2">'5'!$A$1:$J$30</definedName>
    <definedName name="_xlnm.Print_Area" localSheetId="3">'6'!$A$1:$J$30</definedName>
    <definedName name="_xlnm.Print_Area" localSheetId="4">'8'!$A$1:$J$30</definedName>
    <definedName name="Z_2326BBD2_BB0A_45F4_AB1D_3FBB27200534_.wvu.PrintArea" localSheetId="0" hidden="1">'1'!$A$1:$J$30</definedName>
    <definedName name="Z_2326BBD2_BB0A_45F4_AB1D_3FBB27200534_.wvu.PrintArea" localSheetId="5" hidden="1">'10'!$A$1:$J$30</definedName>
    <definedName name="Z_2326BBD2_BB0A_45F4_AB1D_3FBB27200534_.wvu.PrintArea" localSheetId="6" hidden="1">'12'!$A$1:$J$30</definedName>
    <definedName name="Z_2326BBD2_BB0A_45F4_AB1D_3FBB27200534_.wvu.PrintArea" localSheetId="7" hidden="1">'13'!$A$1:$J$30</definedName>
    <definedName name="Z_2326BBD2_BB0A_45F4_AB1D_3FBB27200534_.wvu.PrintArea" localSheetId="8" hidden="1">'15'!$A$1:$J$30</definedName>
    <definedName name="Z_2326BBD2_BB0A_45F4_AB1D_3FBB27200534_.wvu.PrintArea" localSheetId="9" hidden="1">'17'!$A$1:$J$30</definedName>
    <definedName name="Z_2326BBD2_BB0A_45F4_AB1D_3FBB27200534_.wvu.PrintArea" localSheetId="10" hidden="1">'19'!$A$1:$J$30</definedName>
    <definedName name="Z_2326BBD2_BB0A_45F4_AB1D_3FBB27200534_.wvu.PrintArea" localSheetId="11" hidden="1">'20'!$A$1:$J$30</definedName>
    <definedName name="Z_2326BBD2_BB0A_45F4_AB1D_3FBB27200534_.wvu.PrintArea" localSheetId="12" hidden="1">'22'!$A$1:$J$30</definedName>
    <definedName name="Z_2326BBD2_BB0A_45F4_AB1D_3FBB27200534_.wvu.PrintArea" localSheetId="13" hidden="1">'24'!$A$1:$J$30</definedName>
    <definedName name="Z_2326BBD2_BB0A_45F4_AB1D_3FBB27200534_.wvu.PrintArea" localSheetId="14" hidden="1">'26'!$A$1:$J$30</definedName>
    <definedName name="Z_2326BBD2_BB0A_45F4_AB1D_3FBB27200534_.wvu.PrintArea" localSheetId="15" hidden="1">'27'!$A$1:$J$30</definedName>
    <definedName name="Z_2326BBD2_BB0A_45F4_AB1D_3FBB27200534_.wvu.PrintArea" localSheetId="16" hidden="1">'29'!$A$1:$J$30</definedName>
    <definedName name="Z_2326BBD2_BB0A_45F4_AB1D_3FBB27200534_.wvu.PrintArea" localSheetId="1" hidden="1">'3'!$A$1:$J$30</definedName>
    <definedName name="Z_2326BBD2_BB0A_45F4_AB1D_3FBB27200534_.wvu.PrintArea" localSheetId="2" hidden="1">'5'!$A$1:$J$30</definedName>
    <definedName name="Z_2326BBD2_BB0A_45F4_AB1D_3FBB27200534_.wvu.PrintArea" localSheetId="3" hidden="1">'6'!$A$1:$J$30</definedName>
    <definedName name="Z_2326BBD2_BB0A_45F4_AB1D_3FBB27200534_.wvu.PrintArea" localSheetId="4" hidden="1">'8'!$A$1:$J$30</definedName>
    <definedName name="Z_58621584_C13D_47C7_BBB8_0E14741A7E96_.wvu.PrintArea" localSheetId="0" hidden="1">'1'!$A$1:$J$30</definedName>
    <definedName name="Z_58621584_C13D_47C7_BBB8_0E14741A7E96_.wvu.PrintArea" localSheetId="5" hidden="1">'10'!$A$1:$J$30</definedName>
    <definedName name="Z_58621584_C13D_47C7_BBB8_0E14741A7E96_.wvu.PrintArea" localSheetId="6" hidden="1">'12'!$A$1:$J$30</definedName>
    <definedName name="Z_58621584_C13D_47C7_BBB8_0E14741A7E96_.wvu.PrintArea" localSheetId="7" hidden="1">'13'!$A$1:$J$30</definedName>
    <definedName name="Z_58621584_C13D_47C7_BBB8_0E14741A7E96_.wvu.PrintArea" localSheetId="8" hidden="1">'15'!$A$1:$J$30</definedName>
    <definedName name="Z_58621584_C13D_47C7_BBB8_0E14741A7E96_.wvu.PrintArea" localSheetId="9" hidden="1">'17'!$A$1:$J$30</definedName>
    <definedName name="Z_58621584_C13D_47C7_BBB8_0E14741A7E96_.wvu.PrintArea" localSheetId="10" hidden="1">'19'!$A$1:$J$30</definedName>
    <definedName name="Z_58621584_C13D_47C7_BBB8_0E14741A7E96_.wvu.PrintArea" localSheetId="11" hidden="1">'20'!$A$1:$J$30</definedName>
    <definedName name="Z_58621584_C13D_47C7_BBB8_0E14741A7E96_.wvu.PrintArea" localSheetId="12" hidden="1">'22'!$A$1:$J$30</definedName>
    <definedName name="Z_58621584_C13D_47C7_BBB8_0E14741A7E96_.wvu.PrintArea" localSheetId="13" hidden="1">'24'!$A$1:$J$30</definedName>
    <definedName name="Z_58621584_C13D_47C7_BBB8_0E14741A7E96_.wvu.PrintArea" localSheetId="14" hidden="1">'26'!$A$1:$J$30</definedName>
    <definedName name="Z_58621584_C13D_47C7_BBB8_0E14741A7E96_.wvu.PrintArea" localSheetId="15" hidden="1">'27'!$A$1:$J$30</definedName>
    <definedName name="Z_58621584_C13D_47C7_BBB8_0E14741A7E96_.wvu.PrintArea" localSheetId="16" hidden="1">'29'!$A$1:$J$30</definedName>
    <definedName name="Z_58621584_C13D_47C7_BBB8_0E14741A7E96_.wvu.PrintArea" localSheetId="1" hidden="1">'3'!$A$1:$J$30</definedName>
    <definedName name="Z_58621584_C13D_47C7_BBB8_0E14741A7E96_.wvu.PrintArea" localSheetId="2" hidden="1">'5'!$A$1:$J$30</definedName>
    <definedName name="Z_58621584_C13D_47C7_BBB8_0E14741A7E96_.wvu.PrintArea" localSheetId="3" hidden="1">'6'!$A$1:$J$30</definedName>
    <definedName name="Z_58621584_C13D_47C7_BBB8_0E14741A7E96_.wvu.PrintArea" localSheetId="4" hidden="1">'8'!$A$1:$J$30</definedName>
    <definedName name="Z_59BEB36F_3673_4FB8_AB31_6A0A1EE06DAE_.wvu.PrintArea" localSheetId="0" hidden="1">'1'!$A$1:$J$30</definedName>
    <definedName name="Z_59BEB36F_3673_4FB8_AB31_6A0A1EE06DAE_.wvu.PrintArea" localSheetId="5" hidden="1">'10'!$A$1:$J$30</definedName>
    <definedName name="Z_59BEB36F_3673_4FB8_AB31_6A0A1EE06DAE_.wvu.PrintArea" localSheetId="6" hidden="1">'12'!$A$1:$J$30</definedName>
    <definedName name="Z_59BEB36F_3673_4FB8_AB31_6A0A1EE06DAE_.wvu.PrintArea" localSheetId="7" hidden="1">'13'!$A$1:$J$30</definedName>
    <definedName name="Z_59BEB36F_3673_4FB8_AB31_6A0A1EE06DAE_.wvu.PrintArea" localSheetId="8" hidden="1">'15'!$A$1:$J$30</definedName>
    <definedName name="Z_59BEB36F_3673_4FB8_AB31_6A0A1EE06DAE_.wvu.PrintArea" localSheetId="9" hidden="1">'17'!$A$1:$J$30</definedName>
    <definedName name="Z_59BEB36F_3673_4FB8_AB31_6A0A1EE06DAE_.wvu.PrintArea" localSheetId="10" hidden="1">'19'!$A$1:$J$30</definedName>
    <definedName name="Z_59BEB36F_3673_4FB8_AB31_6A0A1EE06DAE_.wvu.PrintArea" localSheetId="11" hidden="1">'20'!$A$1:$J$30</definedName>
    <definedName name="Z_59BEB36F_3673_4FB8_AB31_6A0A1EE06DAE_.wvu.PrintArea" localSheetId="12" hidden="1">'22'!$A$1:$J$30</definedName>
    <definedName name="Z_59BEB36F_3673_4FB8_AB31_6A0A1EE06DAE_.wvu.PrintArea" localSheetId="13" hidden="1">'24'!$A$1:$J$30</definedName>
    <definedName name="Z_59BEB36F_3673_4FB8_AB31_6A0A1EE06DAE_.wvu.PrintArea" localSheetId="14" hidden="1">'26'!$A$1:$J$30</definedName>
    <definedName name="Z_59BEB36F_3673_4FB8_AB31_6A0A1EE06DAE_.wvu.PrintArea" localSheetId="15" hidden="1">'27'!$A$1:$J$30</definedName>
    <definedName name="Z_59BEB36F_3673_4FB8_AB31_6A0A1EE06DAE_.wvu.PrintArea" localSheetId="16" hidden="1">'29'!$A$1:$J$30</definedName>
    <definedName name="Z_59BEB36F_3673_4FB8_AB31_6A0A1EE06DAE_.wvu.PrintArea" localSheetId="1" hidden="1">'3'!$A$1:$J$30</definedName>
    <definedName name="Z_59BEB36F_3673_4FB8_AB31_6A0A1EE06DAE_.wvu.PrintArea" localSheetId="2" hidden="1">'5'!$A$1:$J$30</definedName>
    <definedName name="Z_59BEB36F_3673_4FB8_AB31_6A0A1EE06DAE_.wvu.PrintArea" localSheetId="3" hidden="1">'6'!$A$1:$J$30</definedName>
    <definedName name="Z_59BEB36F_3673_4FB8_AB31_6A0A1EE06DAE_.wvu.PrintArea" localSheetId="4" hidden="1">'8'!$A$1:$J$30</definedName>
    <definedName name="Z_803A2874_D024_4BF6_8A62_1761EB45461C_.wvu.PrintArea" localSheetId="0" hidden="1">'1'!$A$1:$J$30</definedName>
    <definedName name="Z_803A2874_D024_4BF6_8A62_1761EB45461C_.wvu.PrintArea" localSheetId="5" hidden="1">'10'!$A$1:$J$30</definedName>
    <definedName name="Z_803A2874_D024_4BF6_8A62_1761EB45461C_.wvu.PrintArea" localSheetId="6" hidden="1">'12'!$A$1:$J$30</definedName>
    <definedName name="Z_803A2874_D024_4BF6_8A62_1761EB45461C_.wvu.PrintArea" localSheetId="7" hidden="1">'13'!$A$1:$J$30</definedName>
    <definedName name="Z_803A2874_D024_4BF6_8A62_1761EB45461C_.wvu.PrintArea" localSheetId="8" hidden="1">'15'!$A$1:$J$30</definedName>
    <definedName name="Z_803A2874_D024_4BF6_8A62_1761EB45461C_.wvu.PrintArea" localSheetId="9" hidden="1">'17'!$A$1:$J$30</definedName>
    <definedName name="Z_803A2874_D024_4BF6_8A62_1761EB45461C_.wvu.PrintArea" localSheetId="10" hidden="1">'19'!$A$1:$J$30</definedName>
    <definedName name="Z_803A2874_D024_4BF6_8A62_1761EB45461C_.wvu.PrintArea" localSheetId="11" hidden="1">'20'!$A$1:$J$30</definedName>
    <definedName name="Z_803A2874_D024_4BF6_8A62_1761EB45461C_.wvu.PrintArea" localSheetId="12" hidden="1">'22'!$A$1:$J$30</definedName>
    <definedName name="Z_803A2874_D024_4BF6_8A62_1761EB45461C_.wvu.PrintArea" localSheetId="13" hidden="1">'24'!$A$1:$J$30</definedName>
    <definedName name="Z_803A2874_D024_4BF6_8A62_1761EB45461C_.wvu.PrintArea" localSheetId="14" hidden="1">'26'!$A$1:$J$30</definedName>
    <definedName name="Z_803A2874_D024_4BF6_8A62_1761EB45461C_.wvu.PrintArea" localSheetId="15" hidden="1">'27'!$A$1:$J$30</definedName>
    <definedName name="Z_803A2874_D024_4BF6_8A62_1761EB45461C_.wvu.PrintArea" localSheetId="16" hidden="1">'29'!$A$1:$J$30</definedName>
    <definedName name="Z_803A2874_D024_4BF6_8A62_1761EB45461C_.wvu.PrintArea" localSheetId="1" hidden="1">'3'!$A$1:$J$30</definedName>
    <definedName name="Z_803A2874_D024_4BF6_8A62_1761EB45461C_.wvu.PrintArea" localSheetId="2" hidden="1">'5'!$A$1:$J$30</definedName>
    <definedName name="Z_803A2874_D024_4BF6_8A62_1761EB45461C_.wvu.PrintArea" localSheetId="3" hidden="1">'6'!$A$1:$J$30</definedName>
    <definedName name="Z_803A2874_D024_4BF6_8A62_1761EB45461C_.wvu.PrintArea" localSheetId="4" hidden="1">'8'!$A$1:$J$30</definedName>
  </definedNames>
  <calcPr calcId="181029" calcOnSave="0"/>
  <customWorkbookViews>
    <customWorkbookView name="Assistant DiveCenter Manager - Personal View" guid="{59BEB36F-3673-4FB8-AB31-6A0A1EE06DAE}" mergeInterval="0" personalView="1" maximized="1" xWindow="-9" yWindow="-9" windowWidth="1938" windowHeight="1038" activeSheetId="2"/>
    <customWorkbookView name="Dive Center - Personal View" guid="{803A2874-D024-4BF6-8A62-1761EB45461C}" mergeInterval="0" personalView="1" maximized="1" xWindow="-8" yWindow="-8" windowWidth="1382" windowHeight="744" activeSheetId="1"/>
    <customWorkbookView name="Dhigurah Water Sports - Personal View" guid="{58621584-C13D-47C7-BBB8-0E14741A7E96}" mergeInterval="0" personalView="1" maximized="1" xWindow="-8" yWindow="-8" windowWidth="1382" windowHeight="736" activeSheetId="2"/>
    <customWorkbookView name="Dive Centre Office - Personal View" guid="{2326BBD2-BB0A-45F4-AB1D-3FBB27200534}" mergeInterval="0" personalView="1" maximized="1" xWindow="-9" yWindow="-9" windowWidth="1938" windowHeight="1038" activeSheetId="1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7" i="15" l="1"/>
  <c r="E17" i="15"/>
  <c r="K16" i="15"/>
  <c r="K15" i="15"/>
  <c r="K14" i="15"/>
  <c r="K13" i="15"/>
  <c r="K12" i="15"/>
  <c r="K11" i="15"/>
  <c r="K10" i="15"/>
  <c r="K9" i="15"/>
  <c r="K8" i="15"/>
  <c r="J5" i="15"/>
  <c r="F17" i="11"/>
  <c r="E17" i="11"/>
  <c r="K16" i="11"/>
  <c r="K15" i="11"/>
  <c r="K14" i="11"/>
  <c r="K13" i="11"/>
  <c r="K12" i="11"/>
  <c r="K11" i="11"/>
  <c r="K10" i="11"/>
  <c r="K9" i="11"/>
  <c r="K8" i="11"/>
  <c r="K7" i="11"/>
  <c r="J5" i="11"/>
  <c r="F17" i="7"/>
  <c r="E17" i="7"/>
  <c r="K16" i="7"/>
  <c r="K15" i="7"/>
  <c r="K14" i="7"/>
  <c r="K13" i="7"/>
  <c r="K12" i="7"/>
  <c r="K11" i="7"/>
  <c r="K10" i="7"/>
  <c r="K9" i="7"/>
  <c r="K8" i="7"/>
  <c r="K7" i="7"/>
  <c r="J5" i="7"/>
  <c r="F17" i="3"/>
  <c r="E17" i="3"/>
  <c r="K16" i="3"/>
  <c r="K15" i="3"/>
  <c r="K14" i="3"/>
  <c r="K13" i="3"/>
  <c r="K12" i="3"/>
  <c r="K11" i="3"/>
  <c r="K10" i="3"/>
  <c r="K9" i="3"/>
  <c r="K8" i="3"/>
  <c r="K7" i="3"/>
  <c r="J5" i="3"/>
  <c r="J5" i="17" l="1"/>
  <c r="J5" i="16"/>
  <c r="J5" i="14"/>
  <c r="J5" i="13"/>
  <c r="J5" i="12"/>
  <c r="J5" i="10"/>
  <c r="J5" i="9"/>
  <c r="J5" i="8"/>
  <c r="J5" i="6"/>
  <c r="J5" i="5"/>
  <c r="J5" i="4"/>
  <c r="J5" i="2"/>
  <c r="J5" i="1"/>
  <c r="K16" i="17" l="1"/>
  <c r="K15" i="17"/>
  <c r="K14" i="17"/>
  <c r="K13" i="17"/>
  <c r="K12" i="17"/>
  <c r="K11" i="17"/>
  <c r="K10" i="17"/>
  <c r="K9" i="17"/>
  <c r="K8" i="17"/>
  <c r="K16" i="16"/>
  <c r="K15" i="16"/>
  <c r="K14" i="16"/>
  <c r="K13" i="16"/>
  <c r="K12" i="16"/>
  <c r="K11" i="16"/>
  <c r="K10" i="16"/>
  <c r="K9" i="16"/>
  <c r="K8" i="16"/>
  <c r="K7" i="16"/>
  <c r="K16" i="14"/>
  <c r="K15" i="14"/>
  <c r="K14" i="14"/>
  <c r="K13" i="14"/>
  <c r="K12" i="14"/>
  <c r="K11" i="14"/>
  <c r="K10" i="14"/>
  <c r="K9" i="14"/>
  <c r="K8" i="14"/>
  <c r="K7" i="14"/>
  <c r="K16" i="13"/>
  <c r="K15" i="13"/>
  <c r="K14" i="13"/>
  <c r="K13" i="13"/>
  <c r="K12" i="13"/>
  <c r="K11" i="13"/>
  <c r="K10" i="13"/>
  <c r="K9" i="13"/>
  <c r="K8" i="13"/>
  <c r="K7" i="13"/>
  <c r="K16" i="12"/>
  <c r="K15" i="12"/>
  <c r="K14" i="12"/>
  <c r="K13" i="12"/>
  <c r="K12" i="12"/>
  <c r="K11" i="12"/>
  <c r="K10" i="12"/>
  <c r="K9" i="12"/>
  <c r="K8" i="12"/>
  <c r="K7" i="12"/>
  <c r="K16" i="10"/>
  <c r="K15" i="10"/>
  <c r="K14" i="10"/>
  <c r="K13" i="10"/>
  <c r="K12" i="10"/>
  <c r="K11" i="10"/>
  <c r="K10" i="10"/>
  <c r="K9" i="10"/>
  <c r="K8" i="10"/>
  <c r="K7" i="10"/>
  <c r="K16" i="9"/>
  <c r="K15" i="9"/>
  <c r="K14" i="9"/>
  <c r="K13" i="9"/>
  <c r="K12" i="9"/>
  <c r="K11" i="9"/>
  <c r="K10" i="9"/>
  <c r="K9" i="9"/>
  <c r="K8" i="9"/>
  <c r="K7" i="9"/>
  <c r="K16" i="8"/>
  <c r="K15" i="8"/>
  <c r="K14" i="8"/>
  <c r="K13" i="8"/>
  <c r="K12" i="8"/>
  <c r="K11" i="8"/>
  <c r="K10" i="8"/>
  <c r="K9" i="8"/>
  <c r="K8" i="8"/>
  <c r="K7" i="8"/>
  <c r="K16" i="6"/>
  <c r="K15" i="6"/>
  <c r="K14" i="6"/>
  <c r="K13" i="6"/>
  <c r="K12" i="6"/>
  <c r="K11" i="6"/>
  <c r="K10" i="6"/>
  <c r="K9" i="6"/>
  <c r="K8" i="6"/>
  <c r="K7" i="6"/>
  <c r="K16" i="5"/>
  <c r="K15" i="5"/>
  <c r="K14" i="5"/>
  <c r="K13" i="5"/>
  <c r="K12" i="5"/>
  <c r="K11" i="5"/>
  <c r="K10" i="5"/>
  <c r="K9" i="5"/>
  <c r="K8" i="5"/>
  <c r="K7" i="5"/>
  <c r="K16" i="4"/>
  <c r="K15" i="4"/>
  <c r="K14" i="4"/>
  <c r="K13" i="4"/>
  <c r="K12" i="4"/>
  <c r="K11" i="4"/>
  <c r="K10" i="4"/>
  <c r="K9" i="4"/>
  <c r="K8" i="4"/>
  <c r="K7" i="4"/>
  <c r="K16" i="2"/>
  <c r="K15" i="2"/>
  <c r="K14" i="2"/>
  <c r="K13" i="2"/>
  <c r="K12" i="2"/>
  <c r="K11" i="2"/>
  <c r="K10" i="2"/>
  <c r="K9" i="2"/>
  <c r="K8" i="2"/>
  <c r="K7" i="2"/>
  <c r="K8" i="1"/>
  <c r="K9" i="1"/>
  <c r="K10" i="1"/>
  <c r="K11" i="1"/>
  <c r="K12" i="1"/>
  <c r="K13" i="1"/>
  <c r="K14" i="1"/>
  <c r="K15" i="1"/>
  <c r="F17" i="2" l="1"/>
  <c r="F17" i="4"/>
  <c r="F17" i="5"/>
  <c r="F17" i="6"/>
  <c r="F17" i="8"/>
  <c r="F17" i="9"/>
  <c r="F17" i="10"/>
  <c r="F17" i="12"/>
  <c r="F17" i="13"/>
  <c r="F17" i="14"/>
  <c r="F17" i="16"/>
  <c r="F17" i="17"/>
  <c r="F17" i="1"/>
  <c r="E17" i="2"/>
  <c r="E17" i="4"/>
  <c r="E17" i="5"/>
  <c r="E17" i="6"/>
  <c r="E17" i="8"/>
  <c r="E17" i="9"/>
  <c r="E17" i="10"/>
  <c r="E17" i="12"/>
  <c r="E17" i="13"/>
  <c r="E17" i="14"/>
  <c r="E17" i="16"/>
  <c r="E17" i="17"/>
  <c r="E17" i="1"/>
  <c r="K16" i="1" l="1"/>
  <c r="K7" i="1" l="1"/>
</calcChain>
</file>

<file path=xl/sharedStrings.xml><?xml version="1.0" encoding="utf-8"?>
<sst xmlns="http://schemas.openxmlformats.org/spreadsheetml/2006/main" count="463" uniqueCount="67">
  <si>
    <t xml:space="preserve">Note :  we require a booking  of 4 guests minimum </t>
  </si>
  <si>
    <t>Room No:</t>
  </si>
  <si>
    <t>Guest Name</t>
  </si>
  <si>
    <t>Liability</t>
  </si>
  <si>
    <t>Bill No: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</si>
  <si>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</si>
  <si>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</si>
  <si>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</si>
  <si>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</si>
  <si>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</si>
  <si>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</si>
  <si>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</si>
  <si>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</si>
  <si>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</si>
  <si>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</si>
  <si>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</si>
  <si>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 xml:space="preserve">Date:                </t>
  </si>
  <si>
    <t>Adults</t>
  </si>
  <si>
    <t>Child</t>
  </si>
  <si>
    <t>Remarks</t>
  </si>
  <si>
    <t>TOTAL</t>
  </si>
  <si>
    <t>Departure</t>
  </si>
  <si>
    <t>STARRY NIGHT   (MAX 08 PAX)  USD$75PP  20:00 TO 21:00</t>
  </si>
  <si>
    <t>PreBooking</t>
  </si>
  <si>
    <t xml:space="preserve">Mr. Paul Warren </t>
  </si>
  <si>
    <t>Faiha/Shamrath</t>
  </si>
  <si>
    <t>Gavin David Hogg</t>
  </si>
  <si>
    <t>Shamrath/Tarush</t>
  </si>
  <si>
    <t>2890676TRMD</t>
  </si>
  <si>
    <t>OLD</t>
  </si>
  <si>
    <t xml:space="preserve">Mr.LIN, HUNG -LUNG </t>
  </si>
  <si>
    <t>Vifau/Shamrath</t>
  </si>
  <si>
    <t>Mrs Karen Messer</t>
  </si>
  <si>
    <t>Sergio Tapia Casas</t>
  </si>
  <si>
    <t>Nico Alena</t>
  </si>
  <si>
    <t>Faiha</t>
  </si>
  <si>
    <t>MR. LEE KIEN LOONG </t>
  </si>
  <si>
    <t>614/842</t>
  </si>
  <si>
    <t>CXL 2</t>
  </si>
  <si>
    <t>Baig, Muhanmad</t>
  </si>
  <si>
    <t>Xuan</t>
  </si>
  <si>
    <t>cxl2</t>
  </si>
  <si>
    <t>Faaiza Farishah</t>
  </si>
  <si>
    <t>Rahil</t>
  </si>
  <si>
    <t>shawin/Aneem</t>
  </si>
  <si>
    <t>Mr. Yoong Chow</t>
  </si>
  <si>
    <t>BOOKING CLOSED</t>
  </si>
  <si>
    <t>Allocation</t>
  </si>
  <si>
    <t>CLx2</t>
  </si>
  <si>
    <t>Anthony Meunier</t>
  </si>
  <si>
    <t>Mehdi Anderson</t>
  </si>
  <si>
    <t>Aurelien Goillot</t>
  </si>
  <si>
    <t>Edwige Touzart</t>
  </si>
  <si>
    <t>STARRY NIGHT   (MAX 08 PAX)  USD$85PP  20:00 TO 21:00</t>
  </si>
  <si>
    <t>Booking Closed</t>
  </si>
  <si>
    <t>Archana/Maaji</t>
  </si>
  <si>
    <t>Carla Saldarriaga</t>
  </si>
  <si>
    <t>SAI</t>
  </si>
  <si>
    <t>Don't take any bookings!!!!!</t>
  </si>
  <si>
    <t>CXL2</t>
  </si>
  <si>
    <t>Faiza Belgacm</t>
  </si>
  <si>
    <t>623/873</t>
  </si>
  <si>
    <t>UV/Faiha</t>
  </si>
  <si>
    <t>Faiza Belgacem</t>
  </si>
  <si>
    <t>Dai Haga</t>
  </si>
  <si>
    <t>Booking Closed!!!!!</t>
  </si>
  <si>
    <t>CXL4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</si>
</sst>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</font>
    <font>
      <sz val="12"/>
      <color theme="1"/>
      <name val="Times New Roman"/>
      <family val="1"/>
    </font>
    <font>
      <b/>
      <sz val="12"/>
      <color rgb="FF4F3629"/>
      <name val="Arial"/>
      <family val="2"/>
    </font>
    <font>
      <i/>
      <sz val="14"/>
      <color theme="1"/>
      <name val="Calibri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indent="14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8" fillId="0" borderId="0" xfId="0" applyFont="1"/>
    <xf numFmtId="0" fontId="8" fillId="2" borderId="0" xfId="0" applyFont="1" applyFill="1"/>
    <xf numFmtId="0" fontId="9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4" fontId="10" fillId="0" borderId="3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4" fontId="2" fillId="2" borderId="0" xfId="0" applyNumberFormat="1" applyFont="1" applyFill="1"/>
    <xf numFmtId="14" fontId="2" fillId="0" borderId="0" xfId="0" applyNumberFormat="1" applyFont="1"/>
    <xf numFmtId="14" fontId="3" fillId="0" borderId="0" xfId="0" applyNumberFormat="1" applyFont="1"/>
    <xf numFmtId="14" fontId="2" fillId="3" borderId="1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0" fillId="0" borderId="0" xfId="0" applyNumberFormat="1"/>
    <xf numFmtId="14" fontId="6" fillId="0" borderId="0" xfId="0" applyNumberFormat="1" applyFont="1"/>
    <xf numFmtId="14" fontId="7" fillId="2" borderId="0" xfId="0" applyNumberFormat="1" applyFont="1" applyFill="1"/>
    <xf numFmtId="14" fontId="8" fillId="0" borderId="0" xfId="0" applyNumberFormat="1" applyFont="1"/>
    <xf numFmtId="14" fontId="3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4" fontId="2" fillId="3" borderId="7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2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top"/>
    </xf>
    <xf numFmtId="0" fontId="15" fillId="0" borderId="2" xfId="0" applyFont="1" applyBorder="1" applyAlignment="1">
      <alignment horizontal="left" vertical="top"/>
    </xf>
    <xf numFmtId="14" fontId="15" fillId="0" borderId="2" xfId="0" applyNumberFormat="1" applyFont="1" applyBorder="1" applyAlignment="1">
      <alignment horizontal="center" vertical="top"/>
    </xf>
    <xf numFmtId="0" fontId="2" fillId="5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14" fontId="2" fillId="3" borderId="2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0" fontId="16" fillId="3" borderId="9" xfId="0" applyFont="1" applyFill="1" applyBorder="1" applyAlignment="1" applyProtection="1">
      <alignment vertical="center"/>
      <protection locked="0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usernames" Target="revisions/userNames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revisionHeaders" Target="revisions/revisionHeader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528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160865</xdr:colOff>
      <xdr:row>0</xdr:row>
      <xdr:rowOff>95251</xdr:rowOff>
    </xdr:from>
    <xdr:to>
      <xdr:col>2</xdr:col>
      <xdr:colOff>267757</xdr:colOff>
      <xdr:row>3</xdr:row>
      <xdr:rowOff>110068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5" y="95251"/>
          <a:ext cx="1341332" cy="700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300560</xdr:colOff>
      <xdr:row>0</xdr:row>
      <xdr:rowOff>101598</xdr:rowOff>
    </xdr:from>
    <xdr:to>
      <xdr:col>8</xdr:col>
      <xdr:colOff>493637</xdr:colOff>
      <xdr:row>3</xdr:row>
      <xdr:rowOff>147318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000" y="101598"/>
          <a:ext cx="1038897" cy="73152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9" Type="http://schemas.openxmlformats.org/officeDocument/2006/relationships/revisionLog" Target="revisionLog39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46" Type="http://schemas.openxmlformats.org/officeDocument/2006/relationships/revisionLog" Target="revisionLog46.xml"/><Relationship Id="rId59" Type="http://schemas.openxmlformats.org/officeDocument/2006/relationships/revisionLog" Target="revisionLog59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9" Type="http://schemas.openxmlformats.org/officeDocument/2006/relationships/revisionLog" Target="revisionLog29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54" Type="http://schemas.openxmlformats.org/officeDocument/2006/relationships/revisionLog" Target="revisionLog54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53" Type="http://schemas.openxmlformats.org/officeDocument/2006/relationships/revisionLog" Target="revisionLog53.xml"/><Relationship Id="rId58" Type="http://schemas.openxmlformats.org/officeDocument/2006/relationships/revisionLog" Target="revisionLog58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49" Type="http://schemas.openxmlformats.org/officeDocument/2006/relationships/revisionLog" Target="revisionLog49.xml"/><Relationship Id="rId57" Type="http://schemas.openxmlformats.org/officeDocument/2006/relationships/revisionLog" Target="revisionLog57.xml"/><Relationship Id="rId19" Type="http://schemas.openxmlformats.org/officeDocument/2006/relationships/revisionLog" Target="revisionLog19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56" Type="http://schemas.openxmlformats.org/officeDocument/2006/relationships/revisionLog" Target="revisionLog56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3" Type="http://schemas.openxmlformats.org/officeDocument/2006/relationships/revisionLog" Target="revisionLog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0CD2CA8-88E0-4072-9D46-ADA8920D8AD5}" diskRevisions="1" revisionId="574" version="59">
  <header guid="{D41DC159-B3AF-4EA6-B064-290B6E376C3A}" dateTime="2026-04-01T14:52:18" maxSheetId="18" userName="Dive Centre Office" r:id="rId1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FE432051-1764-4D24-9503-F94127D01784}" dateTime="2026-04-01T15:08:33" maxSheetId="18" userName="Dive Center" r:id="rId2" minRId="1" maxRId="6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F4300486-EB28-47F2-9145-0A80EA0E557C}" dateTime="2026-04-01T15:12:10" maxSheetId="18" userName="Dive Center" r:id="rId3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DB8A84BF-E4C7-4955-B6C8-1AC51D86FC33}" dateTime="2026-04-01T17:13:36" maxSheetId="18" userName="Dive Centre Office" r:id="rId4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30266BC6-3545-4966-8A03-EE8E3E7437BC}" dateTime="2026-04-01T19:53:15" maxSheetId="18" userName="Dive Centre Office" r:id="rId5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E93DEAA7-8DEC-46D4-BA75-C85F56A75C20}" dateTime="2026-04-02T08:00:01" maxSheetId="18" userName="Dive Centre Office" r:id="rId6" minRId="24" maxRId="30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83670814-FF8C-4883-867E-33AC1EF091FA}" dateTime="2026-04-02T08:56:13" maxSheetId="18" userName="Dive Centre Office" r:id="rId7" minRId="48" maxRId="215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E839CEDD-3C01-42BD-B878-14EFCD407325}" dateTime="2026-04-02T08:56:18" maxSheetId="18" userName="Dive Centre Office" r:id="rId8" minRId="216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E2A5E399-3A32-480E-8622-7A26156EE324}" dateTime="2026-04-02T16:14:14" maxSheetId="18" userName="Assistant DiveCenter Manager" r:id="rId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169F5357-B636-41AD-B1C2-5703CAB6F3B0}" dateTime="2026-04-03T11:46:11" maxSheetId="18" userName="Dhigurah Water Sports" r:id="rId10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906B3FF4-CCF3-40AC-A43A-5D9A56C7EA9D}" dateTime="2026-04-03T14:12:20" maxSheetId="18" userName="Dive Centre Office" r:id="rId11" minRId="251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0EBD3E22-D4DD-4357-AA72-129BA43BE39C}" dateTime="2026-04-03T16:21:01" maxSheetId="18" userName="Assistant DiveCenter Manager" r:id="rId12" minRId="26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646D3513-F3C8-4DE7-B1EC-B37D8BFF718F}" dateTime="2026-04-05T14:35:06" maxSheetId="18" userName="Dive Centre Office" r:id="rId13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193F5D58-F4A5-48FB-A4CD-AD252075D0AB}" dateTime="2026-04-07T10:20:53" maxSheetId="18" userName="Dive Centre Office" r:id="rId14" minRId="287" maxRId="291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99EB2BFE-8007-432E-AD24-FFED690D82C9}" dateTime="2026-04-08T10:35:19" maxSheetId="18" userName="Dive Centre Office" r:id="rId15" minRId="30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CC523AFA-B833-45AA-8CCA-68D139280496}" dateTime="2026-04-08T10:37:11" maxSheetId="18" userName="Dive Centre Office" r:id="rId16" minRId="327" maxRId="328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8E52E09B-FB64-4BFE-93A3-475175E0D622}" dateTime="2026-04-09T09:00:59" maxSheetId="18" userName="Dive Centre Office" r:id="rId17" minRId="329" maxRId="334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E7389E2A-240E-41C2-9680-97A711648354}" dateTime="2026-04-09T15:48:28" maxSheetId="18" userName="Dive Centre Office" r:id="rId18" minRId="335" maxRId="336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7FE984DF-D867-4BE8-A175-18767D40F114}" dateTime="2026-04-09T15:51:47" maxSheetId="18" userName="Dive Centre Office" r:id="rId19" minRId="337" maxRId="33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1EE4EC2C-4E72-4CF6-A91E-3F915BE2B7C6}" dateTime="2026-04-09T15:56:40" maxSheetId="18" userName="Dive Centre Office" r:id="rId20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4E3A5F93-2005-42C0-B4E6-E1AA6E9A47EE}" dateTime="2026-04-10T10:04:04" maxSheetId="18" userName="Dive Centre Office" r:id="rId21" minRId="340" maxRId="341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62814AFE-D684-4143-8E50-E88E1493B831}" dateTime="2026-04-10T10:04:11" maxSheetId="18" userName="Dive Centre Office" r:id="rId22" minRId="35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044CB25E-AABB-4E18-8BC2-4A4EF497EFDC}" dateTime="2026-04-10T10:05:47" maxSheetId="18" userName="Dive Centre Office" r:id="rId23" minRId="360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A8FD168F-734F-42A6-A97F-DD0A2FC599A5}" dateTime="2026-04-10T10:06:27" maxSheetId="18" userName="Dive Centre Office" r:id="rId24" minRId="361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35318FC5-8C14-4883-8233-343F3F139710}" dateTime="2026-04-10T10:06:38" maxSheetId="18" userName="Dive Centre Office" r:id="rId25" minRId="362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035D92E3-3E68-430D-832D-081DE6DAF363}" dateTime="2026-04-10T18:11:07" maxSheetId="18" userName="Assistant DiveCenter Manager" r:id="rId26" minRId="363" maxRId="364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8A1DDE4C-63C8-4391-B857-D45CFBAC3618}" dateTime="2026-04-11T13:39:16" maxSheetId="18" userName="Dhigurah Water Sports" r:id="rId27" minRId="365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BBBA2C96-1393-471A-A158-C6D31A23A86D}" dateTime="2026-04-11T13:39:23" maxSheetId="18" userName="Dhigurah Water Sports" r:id="rId28" minRId="366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30E07CEB-6778-4C5A-9E3B-EBF805E9CC1B}" dateTime="2026-04-11T13:41:40" maxSheetId="18" userName="Dhigurah Water Sports" r:id="rId29" minRId="367" maxRId="368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18238709-057D-4290-9A9C-DB7499492ACB}" dateTime="2026-04-12T16:54:00" maxSheetId="18" userName="Dive Centre Office" r:id="rId30" minRId="36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CB422B1C-A293-4D37-9EF5-10099ED27D73}" dateTime="2026-04-12T16:54:52" maxSheetId="18" userName="Dive Centre Office" r:id="rId31" minRId="387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ABDEA5F8-0AC8-4A51-A8FB-816827E4FEC3}" dateTime="2026-04-12T16:55:04" maxSheetId="18" userName="Dive Centre Office" r:id="rId32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4E8A55E1-24C0-41BC-AA32-0A938FBD8BFE}" dateTime="2026-04-13T09:33:11" maxSheetId="18" userName="Dive Centre Office" r:id="rId33" minRId="388" maxRId="392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F23DB6CE-2B4D-4685-ADA7-07A90D3BEB38}" dateTime="2026-04-13T09:35:04" maxSheetId="18" userName="Dive Centre Office" r:id="rId34" minRId="410" maxRId="41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905EF339-E0EE-4D64-8C21-BC481E662EA8}" dateTime="2026-04-14T09:03:07" maxSheetId="18" userName="Dhigurah Water Sports" r:id="rId35" minRId="437" maxRId="438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A4A2890A-C355-4289-AB52-89C3C8C410E9}" dateTime="2026-04-15T13:08:07" maxSheetId="18" userName="Dive Centre Office" r:id="rId36" minRId="439" maxRId="443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642FCECB-5B45-4C7B-8F4E-1F19DC7C1616}" dateTime="2026-04-16T11:38:46" maxSheetId="18" userName="Dive Centre Office" r:id="rId37" minRId="444" maxRId="44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F88BB570-F167-45D3-AC93-4CF91BABB7A4}" dateTime="2026-04-16T11:39:50" maxSheetId="18" userName="Dive Centre Office" r:id="rId38" minRId="467" maxRId="470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26E5C38E-7920-43D0-8115-E4219A6BE230}" dateTime="2026-04-16T11:46:22" maxSheetId="18" userName="Dive Centre Office" r:id="rId39" minRId="471" maxRId="476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9B034625-1952-4235-8D5E-BD82769FD58E}" dateTime="2026-04-16T15:00:11" maxSheetId="18" userName="Dive Centre Office" r:id="rId40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E7FE495C-CA78-4EBD-8512-D36B76A35CB1}" dateTime="2026-04-17T08:21:41" maxSheetId="18" userName="Dive Centre Office" r:id="rId41" minRId="477" maxRId="478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CA6D465C-4546-400F-A72E-4D6E50DB90DE}" dateTime="2026-04-17T09:17:53" maxSheetId="18" userName="Dive Centre Office" r:id="rId42" minRId="479" maxRId="483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20ED7BF5-3795-4EBA-997E-80735FBF8184}" dateTime="2026-04-17T20:02:47" maxSheetId="18" userName="Dive Centre Office" r:id="rId43" minRId="484" maxRId="486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967C67FA-AAC2-4E4D-ABCA-DA1BCCD07AB0}" dateTime="2026-04-20T09:19:21" maxSheetId="18" userName="Dhigurah Water Sports" r:id="rId44" minRId="487" maxRId="490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6569949B-FA25-40E2-8AD3-79120D9292B8}" dateTime="2026-04-20T17:01:07" maxSheetId="18" userName="Dive Centre Office" r:id="rId45" minRId="491" maxRId="495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95FAA035-1972-4F20-A0D5-C4C052E56519}" dateTime="2026-04-20T17:04:07" maxSheetId="18" userName="Dive Centre Office" r:id="rId46" minRId="496" maxRId="506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2867EA86-D40D-4725-BBE7-C1B27E6D29BA}" dateTime="2026-04-21T14:50:49" maxSheetId="18" userName="Dive Centre Office" r:id="rId47" minRId="507" maxRId="50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1DD43621-1958-4391-A7C5-5E4D391C3907}" dateTime="2026-04-22T15:03:57" maxSheetId="18" userName="Dive Centre Office" r:id="rId48" minRId="510" maxRId="512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9F9ECA3F-7FE8-4D5B-87A9-1FD650BFCB8F}" dateTime="2026-04-23T10:07:11" maxSheetId="18" userName="Dive Centre Office" r:id="rId49" minRId="513" maxRId="51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4260ECB1-62F1-4D51-B9E8-69170F6D2615}" dateTime="2026-04-23T11:08:27" maxSheetId="18" userName="Dive Centre Office" r:id="rId50" minRId="520" maxRId="523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50B9B2B3-F8A2-46F2-A2A4-2D24FEFE2C97}" dateTime="2026-04-23T11:08:44" maxSheetId="18" userName="Dive Centre Office" r:id="rId51" minRId="524" maxRId="525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AC23515C-7BEB-4649-805B-32D8EA44E8D4}" dateTime="2026-04-24T08:39:26" maxSheetId="18" userName="Dive Centre Office" r:id="rId52" minRId="526" maxRId="529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8FE6EBE8-34E0-4D56-B6E5-4A5DFDFFF9F2}" dateTime="2026-04-24T14:24:41" maxSheetId="18" userName="Dive Centre Office" r:id="rId53" minRId="547" maxRId="550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ABD26504-5B97-4FD8-A708-E53891776D93}" dateTime="2026-04-24T16:34:39" maxSheetId="18" userName="Assistant DiveCenter Manager" r:id="rId54" minRId="551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DF2A9219-A3BB-407D-9A28-3FDEAFD533D0}" dateTime="2026-04-24T16:35:11" maxSheetId="18" userName="Assistant DiveCenter Manager" r:id="rId55" minRId="552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EE8759EA-F4C8-4C62-9E9A-9084841FF70A}" dateTime="2026-04-25T09:05:38" maxSheetId="18" userName="Dive Centre Office" r:id="rId56" minRId="553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55087323-5966-46A9-80E5-6BA7CD74A0B4}" dateTime="2026-04-25T10:39:31" maxSheetId="18" userName="Dive Centre Office" r:id="rId57" minRId="571" maxRId="572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95A0A594-0E2E-4352-BD3C-C8BBD6E35024}" dateTime="2026-04-25T10:39:37" maxSheetId="18" userName="Dive Centre Office" r:id="rId58" minRId="573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  <header guid="{A0CD2CA8-88E0-4072-9D46-ADA8920D8AD5}" dateTime="2026-05-03T16:56:21" maxSheetId="18" userName="Assistant DiveCenter Manager" r:id="rId59" minRId="574">
    <sheetIdMap count="17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odxf="1" dxf="1">
    <nc r="B8">
      <v>316</v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cc rId="2" sId="1" odxf="1" dxf="1">
    <nc r="C8" t="inlineStr">
      <is>
        <t>Nico Alena</t>
      </is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cc rId="3" sId="1" odxf="1" dxf="1" numFmtId="19">
    <nc r="D8">
      <v>46123</v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cc rId="4" sId="1" odxf="1" dxf="1">
    <nc r="E8">
      <v>2</v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fmt sheetId="1" sqref="F8" start="0" length="0">
    <dxf>
      <font>
        <i/>
        <sz val="14"/>
      </font>
      <fill>
        <patternFill patternType="none">
          <bgColor indexed="65"/>
        </patternFill>
      </fill>
    </dxf>
  </rfmt>
  <rfmt sheetId="1" sqref="G8" start="0" length="0">
    <dxf>
      <font>
        <i/>
        <sz val="14"/>
      </font>
      <fill>
        <patternFill patternType="none">
          <bgColor indexed="65"/>
        </patternFill>
      </fill>
    </dxf>
  </rfmt>
  <rfmt sheetId="1" sqref="H8" start="0" length="0">
    <dxf>
      <font>
        <i/>
        <sz val="14"/>
      </font>
      <fill>
        <patternFill patternType="none">
          <bgColor indexed="65"/>
        </patternFill>
      </fill>
    </dxf>
  </rfmt>
  <rcc rId="5" sId="1" odxf="1" dxf="1">
    <nc r="I8" t="inlineStr">
      <is>
        <t>Faiha</t>
      </is>
    </nc>
    <odxf>
      <font>
        <i val="0"/>
        <sz val="14"/>
      </font>
      <fill>
        <patternFill patternType="solid">
          <bgColor theme="0"/>
        </patternFill>
      </fill>
    </odxf>
    <ndxf>
      <font>
        <i/>
        <sz val="14"/>
      </font>
      <fill>
        <patternFill patternType="none">
          <bgColor indexed="65"/>
        </patternFill>
      </fill>
    </ndxf>
  </rcc>
  <rm rId="6" sheetId="1" source="I8" destination="J8" sourceSheetId="1">
    <rfmt sheetId="1" sqref="J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dn rId="0" localSheetId="1" customView="1" name="Z_803A2874_D024_4BF6_8A62_1761EB45461C_.wvu.PrintArea" hidden="1" oldHidden="1">
    <formula>'1'!$A$1:$J$30</formula>
  </rdn>
  <rdn rId="0" localSheetId="2" customView="1" name="Z_803A2874_D024_4BF6_8A62_1761EB45461C_.wvu.PrintArea" hidden="1" oldHidden="1">
    <formula>'3'!$A$1:$J$30</formula>
  </rdn>
  <rdn rId="0" localSheetId="3" customView="1" name="Z_803A2874_D024_4BF6_8A62_1761EB45461C_.wvu.PrintArea" hidden="1" oldHidden="1">
    <formula>'5'!$A$1:$J$30</formula>
  </rdn>
  <rdn rId="0" localSheetId="4" customView="1" name="Z_803A2874_D024_4BF6_8A62_1761EB45461C_.wvu.PrintArea" hidden="1" oldHidden="1">
    <formula>'6'!$A$1:$J$30</formula>
  </rdn>
  <rdn rId="0" localSheetId="5" customView="1" name="Z_803A2874_D024_4BF6_8A62_1761EB45461C_.wvu.PrintArea" hidden="1" oldHidden="1">
    <formula>'8'!$A$1:$J$30</formula>
  </rdn>
  <rdn rId="0" localSheetId="6" customView="1" name="Z_803A2874_D024_4BF6_8A62_1761EB45461C_.wvu.PrintArea" hidden="1" oldHidden="1">
    <formula>'10'!$A$1:$J$30</formula>
  </rdn>
  <rdn rId="0" localSheetId="7" customView="1" name="Z_803A2874_D024_4BF6_8A62_1761EB45461C_.wvu.PrintArea" hidden="1" oldHidden="1">
    <formula>'12'!$A$1:$J$30</formula>
  </rdn>
  <rdn rId="0" localSheetId="8" customView="1" name="Z_803A2874_D024_4BF6_8A62_1761EB45461C_.wvu.PrintArea" hidden="1" oldHidden="1">
    <formula>'13'!$A$1:$J$30</formula>
  </rdn>
  <rdn rId="0" localSheetId="9" customView="1" name="Z_803A2874_D024_4BF6_8A62_1761EB45461C_.wvu.PrintArea" hidden="1" oldHidden="1">
    <formula>'15'!$A$1:$J$30</formula>
  </rdn>
  <rdn rId="0" localSheetId="10" customView="1" name="Z_803A2874_D024_4BF6_8A62_1761EB45461C_.wvu.PrintArea" hidden="1" oldHidden="1">
    <formula>'17'!$A$1:$J$30</formula>
  </rdn>
  <rdn rId="0" localSheetId="11" customView="1" name="Z_803A2874_D024_4BF6_8A62_1761EB45461C_.wvu.PrintArea" hidden="1" oldHidden="1">
    <formula>'19'!$A$1:$J$30</formula>
  </rdn>
  <rdn rId="0" localSheetId="12" customView="1" name="Z_803A2874_D024_4BF6_8A62_1761EB45461C_.wvu.PrintArea" hidden="1" oldHidden="1">
    <formula>'20'!$A$1:$J$30</formula>
  </rdn>
  <rdn rId="0" localSheetId="13" customView="1" name="Z_803A2874_D024_4BF6_8A62_1761EB45461C_.wvu.PrintArea" hidden="1" oldHidden="1">
    <formula>'22'!$A$1:$J$30</formula>
  </rdn>
  <rdn rId="0" localSheetId="14" customView="1" name="Z_803A2874_D024_4BF6_8A62_1761EB45461C_.wvu.PrintArea" hidden="1" oldHidden="1">
    <formula>'24'!$A$1:$J$30</formula>
  </rdn>
  <rdn rId="0" localSheetId="15" customView="1" name="Z_803A2874_D024_4BF6_8A62_1761EB45461C_.wvu.PrintArea" hidden="1" oldHidden="1">
    <formula>'26'!$A$1:$J$30</formula>
  </rdn>
  <rdn rId="0" localSheetId="16" customView="1" name="Z_803A2874_D024_4BF6_8A62_1761EB45461C_.wvu.PrintArea" hidden="1" oldHidden="1">
    <formula>'27'!$A$1:$J$30</formula>
  </rdn>
  <rdn rId="0" localSheetId="17" customView="1" name="Z_803A2874_D024_4BF6_8A62_1761EB45461C_.wvu.PrintArea" hidden="1" oldHidden="1">
    <formula>'29'!$A$1:$J$30</formula>
  </rdn>
  <rcv guid="{803A2874-D024-4BF6-8A62-1761EB45461C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9" start="0" length="0">
    <dxf>
      <font>
        <i/>
        <sz val="14"/>
      </font>
      <fill>
        <patternFill patternType="none">
          <bgColor indexed="65"/>
        </patternFill>
      </fill>
    </dxf>
  </rfmt>
  <rfmt sheetId="5" sqref="C9" start="0" length="0">
    <dxf>
      <font>
        <i/>
        <sz val="14"/>
      </font>
      <fill>
        <patternFill patternType="none">
          <bgColor indexed="65"/>
        </patternFill>
      </fill>
    </dxf>
  </rfmt>
  <rfmt sheetId="5" sqref="D9" start="0" length="0">
    <dxf>
      <font>
        <i/>
        <sz val="14"/>
      </font>
      <fill>
        <patternFill patternType="none">
          <bgColor indexed="65"/>
        </patternFill>
      </fill>
    </dxf>
  </rfmt>
  <rfmt sheetId="5" sqref="E9" start="0" length="0">
    <dxf>
      <font>
        <i/>
        <sz val="14"/>
      </font>
      <fill>
        <patternFill patternType="none">
          <bgColor indexed="65"/>
        </patternFill>
      </fill>
    </dxf>
  </rfmt>
  <rfmt sheetId="5" sqref="F9" start="0" length="0">
    <dxf>
      <font>
        <i/>
        <sz val="14"/>
      </font>
      <fill>
        <patternFill patternType="none">
          <bgColor indexed="65"/>
        </patternFill>
      </fill>
    </dxf>
  </rfmt>
  <rfmt sheetId="5" sqref="G9" start="0" length="0">
    <dxf>
      <font>
        <i/>
        <sz val="14"/>
      </font>
      <fill>
        <patternFill patternType="none">
          <bgColor indexed="65"/>
        </patternFill>
      </fill>
    </dxf>
  </rfmt>
  <rfmt sheetId="5" sqref="H9" start="0" length="0">
    <dxf>
      <font>
        <i/>
        <sz val="14"/>
      </font>
      <fill>
        <patternFill patternType="none">
          <bgColor indexed="65"/>
        </patternFill>
      </fill>
    </dxf>
  </rfmt>
  <rfmt sheetId="5" sqref="I9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5" sqref="J9" start="0" length="0">
    <dxf>
      <font>
        <i/>
        <sz val="14"/>
      </font>
      <fill>
        <patternFill patternType="none">
          <bgColor indexed="65"/>
        </patternFill>
      </fill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7">
    <dxf>
      <fill>
        <patternFill>
          <bgColor rgb="FF92D050"/>
        </patternFill>
      </fill>
    </dxf>
  </rfmt>
  <rfmt sheetId="1" sqref="B8">
    <dxf>
      <fill>
        <patternFill patternType="solid">
          <bgColor rgb="FFFFFF00"/>
        </patternFill>
      </fill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7">
    <dxf>
      <fill>
        <patternFill>
          <bgColor rgb="FFFF0000"/>
        </patternFill>
      </fill>
    </dxf>
  </rfmt>
  <rfmt sheetId="1" sqref="A8">
    <dxf>
      <fill>
        <patternFill patternType="solid">
          <bgColor rgb="FFFF0000"/>
        </patternFill>
      </fill>
    </dxf>
  </rfmt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" sId="2">
    <nc r="B7" t="inlineStr">
      <is>
        <t>Prebooking</t>
      </is>
    </nc>
  </rcc>
  <rcc rId="25" sId="2">
    <nc r="C7" t="inlineStr">
      <is>
        <t>MR. LEE KIEN LOONG </t>
      </is>
    </nc>
  </rcc>
  <rcc rId="26" sId="2" numFmtId="19">
    <nc r="D7">
      <v>46117</v>
    </nc>
  </rcc>
  <rcc rId="27" sId="2">
    <nc r="E7">
      <v>2</v>
    </nc>
  </rcc>
  <rcc rId="28" sId="2">
    <nc r="H7">
      <v>2914775</v>
    </nc>
  </rcc>
  <rcc rId="29" sId="2">
    <nc r="I7" t="inlineStr">
      <is>
        <t>Vifau/Shamrath</t>
      </is>
    </nc>
  </rcc>
  <rm rId="30" sheetId="2" source="H7:I7" destination="I7:J7" sourceSheetId="2">
    <rfmt sheetId="2" sqref="J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</rm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" sId="1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49" sId="1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50" sId="1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51" sId="1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52" sId="1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53" sId="1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54" sId="1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55" sId="1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56" sId="1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57" sId="1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58" sId="2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59" sId="2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60" sId="2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61" sId="2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62" sId="2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63" sId="2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64" sId="2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65" sId="2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66" sId="2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67" sId="2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68" sId="3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69" sId="3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70" sId="3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71" sId="3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72" sId="3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73" sId="3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74" sId="3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75" sId="3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76" sId="3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77" sId="3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78" sId="4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79" sId="4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80" sId="4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81" sId="4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82" sId="4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83" sId="4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84" sId="4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85" sId="4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86" sId="4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87" sId="4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88" sId="5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89" sId="5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90" sId="5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91" sId="5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92" sId="5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93" sId="5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94" sId="5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95" sId="5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96" sId="5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97" sId="5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98" sId="6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99" sId="6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00" sId="6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01" sId="6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02" sId="6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03" sId="6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04" sId="6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05" sId="6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06" sId="6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07" sId="6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08" sId="7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09" sId="7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10" sId="7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11" sId="7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12" sId="7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13" sId="7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14" sId="7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15" sId="7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16" sId="7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17" sId="7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18" sId="8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19" sId="8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20" sId="8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21" sId="8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22" sId="8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23" sId="8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24" sId="8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25" sId="8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26" sId="8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27" sId="8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28" sId="9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29" sId="9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30" sId="9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31" sId="9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32" sId="9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33" sId="9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34" sId="9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35" sId="9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36" sId="9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37" sId="9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38" sId="10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39" sId="10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40" sId="10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41" sId="10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42" sId="10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43" sId="10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44" sId="10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45" sId="10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46" sId="10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47" sId="10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48" sId="11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49" sId="11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50" sId="11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51" sId="11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52" sId="11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53" sId="11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54" sId="11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55" sId="11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56" sId="11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57" sId="11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58" sId="12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59" sId="12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60" sId="12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61" sId="12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62" sId="12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63" sId="12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64" sId="12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65" sId="12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66" sId="12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67" sId="12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68" sId="13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69" sId="13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70" sId="13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71" sId="13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72" sId="13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73" sId="13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74" sId="13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75" sId="13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76" sId="13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77" sId="13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78" sId="14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79" sId="14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80" sId="14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81" sId="14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82" sId="14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83" sId="14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84" sId="14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85" sId="14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86" sId="14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87" sId="14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88" sId="15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89" sId="15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90" sId="15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91" sId="15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92" sId="15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93" sId="15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94" sId="15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95" sId="15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96" sId="15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97" sId="16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98" sId="16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99" sId="16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200" sId="16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01" sId="16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02" sId="16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03" sId="16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04" sId="16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05" sId="16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06" sId="16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207" sId="17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208" sId="17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209" sId="17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10" sId="17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11" sId="17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12" sId="17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13" sId="17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14" sId="17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15" sId="17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" sId="2">
    <oc r="B7" t="inlineStr">
      <is>
        <t>Prebooking</t>
      </is>
    </oc>
    <nc r="B7">
      <v>614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59BEB36F_3673_4FB8_AB31_6A0A1EE06DAE_.wvu.PrintArea" hidden="1" oldHidden="1">
    <formula>'1'!$A$1:$J$30</formula>
  </rdn>
  <rdn rId="0" localSheetId="2" customView="1" name="Z_59BEB36F_3673_4FB8_AB31_6A0A1EE06DAE_.wvu.PrintArea" hidden="1" oldHidden="1">
    <formula>'3'!$A$1:$J$30</formula>
  </rdn>
  <rdn rId="0" localSheetId="3" customView="1" name="Z_59BEB36F_3673_4FB8_AB31_6A0A1EE06DAE_.wvu.PrintArea" hidden="1" oldHidden="1">
    <formula>'5'!$A$1:$J$30</formula>
  </rdn>
  <rdn rId="0" localSheetId="4" customView="1" name="Z_59BEB36F_3673_4FB8_AB31_6A0A1EE06DAE_.wvu.PrintArea" hidden="1" oldHidden="1">
    <formula>'6'!$A$1:$J$30</formula>
  </rdn>
  <rdn rId="0" localSheetId="5" customView="1" name="Z_59BEB36F_3673_4FB8_AB31_6A0A1EE06DAE_.wvu.PrintArea" hidden="1" oldHidden="1">
    <formula>'8'!$A$1:$J$30</formula>
  </rdn>
  <rdn rId="0" localSheetId="6" customView="1" name="Z_59BEB36F_3673_4FB8_AB31_6A0A1EE06DAE_.wvu.PrintArea" hidden="1" oldHidden="1">
    <formula>'10'!$A$1:$J$30</formula>
  </rdn>
  <rdn rId="0" localSheetId="7" customView="1" name="Z_59BEB36F_3673_4FB8_AB31_6A0A1EE06DAE_.wvu.PrintArea" hidden="1" oldHidden="1">
    <formula>'12'!$A$1:$J$30</formula>
  </rdn>
  <rdn rId="0" localSheetId="8" customView="1" name="Z_59BEB36F_3673_4FB8_AB31_6A0A1EE06DAE_.wvu.PrintArea" hidden="1" oldHidden="1">
    <formula>'13'!$A$1:$J$30</formula>
  </rdn>
  <rdn rId="0" localSheetId="9" customView="1" name="Z_59BEB36F_3673_4FB8_AB31_6A0A1EE06DAE_.wvu.PrintArea" hidden="1" oldHidden="1">
    <formula>'15'!$A$1:$J$30</formula>
  </rdn>
  <rdn rId="0" localSheetId="10" customView="1" name="Z_59BEB36F_3673_4FB8_AB31_6A0A1EE06DAE_.wvu.PrintArea" hidden="1" oldHidden="1">
    <formula>'17'!$A$1:$J$30</formula>
  </rdn>
  <rdn rId="0" localSheetId="11" customView="1" name="Z_59BEB36F_3673_4FB8_AB31_6A0A1EE06DAE_.wvu.PrintArea" hidden="1" oldHidden="1">
    <formula>'19'!$A$1:$J$30</formula>
  </rdn>
  <rdn rId="0" localSheetId="12" customView="1" name="Z_59BEB36F_3673_4FB8_AB31_6A0A1EE06DAE_.wvu.PrintArea" hidden="1" oldHidden="1">
    <formula>'20'!$A$1:$J$30</formula>
  </rdn>
  <rdn rId="0" localSheetId="13" customView="1" name="Z_59BEB36F_3673_4FB8_AB31_6A0A1EE06DAE_.wvu.PrintArea" hidden="1" oldHidden="1">
    <formula>'22'!$A$1:$J$30</formula>
  </rdn>
  <rdn rId="0" localSheetId="14" customView="1" name="Z_59BEB36F_3673_4FB8_AB31_6A0A1EE06DAE_.wvu.PrintArea" hidden="1" oldHidden="1">
    <formula>'24'!$A$1:$J$30</formula>
  </rdn>
  <rdn rId="0" localSheetId="15" customView="1" name="Z_59BEB36F_3673_4FB8_AB31_6A0A1EE06DAE_.wvu.PrintArea" hidden="1" oldHidden="1">
    <formula>'26'!$A$1:$J$30</formula>
  </rdn>
  <rdn rId="0" localSheetId="16" customView="1" name="Z_59BEB36F_3673_4FB8_AB31_6A0A1EE06DAE_.wvu.PrintArea" hidden="1" oldHidden="1">
    <formula>'27'!$A$1:$J$30</formula>
  </rdn>
  <rdn rId="0" localSheetId="17" customView="1" name="Z_59BEB36F_3673_4FB8_AB31_6A0A1EE06DAE_.wvu.PrintArea" hidden="1" oldHidden="1">
    <formula>'29'!$A$1:$J$30</formula>
  </rdn>
  <rcv guid="{59BEB36F-3673-4FB8-AB31-6A0A1EE06DAE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58621584_C13D_47C7_BBB8_0E14741A7E96_.wvu.PrintArea" hidden="1" oldHidden="1">
    <formula>'1'!$A$1:$J$30</formula>
  </rdn>
  <rdn rId="0" localSheetId="2" customView="1" name="Z_58621584_C13D_47C7_BBB8_0E14741A7E96_.wvu.PrintArea" hidden="1" oldHidden="1">
    <formula>'3'!$A$1:$J$30</formula>
  </rdn>
  <rdn rId="0" localSheetId="3" customView="1" name="Z_58621584_C13D_47C7_BBB8_0E14741A7E96_.wvu.PrintArea" hidden="1" oldHidden="1">
    <formula>'5'!$A$1:$J$30</formula>
  </rdn>
  <rdn rId="0" localSheetId="4" customView="1" name="Z_58621584_C13D_47C7_BBB8_0E14741A7E96_.wvu.PrintArea" hidden="1" oldHidden="1">
    <formula>'6'!$A$1:$J$30</formula>
  </rdn>
  <rdn rId="0" localSheetId="5" customView="1" name="Z_58621584_C13D_47C7_BBB8_0E14741A7E96_.wvu.PrintArea" hidden="1" oldHidden="1">
    <formula>'8'!$A$1:$J$30</formula>
  </rdn>
  <rdn rId="0" localSheetId="6" customView="1" name="Z_58621584_C13D_47C7_BBB8_0E14741A7E96_.wvu.PrintArea" hidden="1" oldHidden="1">
    <formula>'10'!$A$1:$J$30</formula>
  </rdn>
  <rdn rId="0" localSheetId="7" customView="1" name="Z_58621584_C13D_47C7_BBB8_0E14741A7E96_.wvu.PrintArea" hidden="1" oldHidden="1">
    <formula>'12'!$A$1:$J$30</formula>
  </rdn>
  <rdn rId="0" localSheetId="8" customView="1" name="Z_58621584_C13D_47C7_BBB8_0E14741A7E96_.wvu.PrintArea" hidden="1" oldHidden="1">
    <formula>'13'!$A$1:$J$30</formula>
  </rdn>
  <rdn rId="0" localSheetId="9" customView="1" name="Z_58621584_C13D_47C7_BBB8_0E14741A7E96_.wvu.PrintArea" hidden="1" oldHidden="1">
    <formula>'15'!$A$1:$J$30</formula>
  </rdn>
  <rdn rId="0" localSheetId="10" customView="1" name="Z_58621584_C13D_47C7_BBB8_0E14741A7E96_.wvu.PrintArea" hidden="1" oldHidden="1">
    <formula>'17'!$A$1:$J$30</formula>
  </rdn>
  <rdn rId="0" localSheetId="11" customView="1" name="Z_58621584_C13D_47C7_BBB8_0E14741A7E96_.wvu.PrintArea" hidden="1" oldHidden="1">
    <formula>'19'!$A$1:$J$30</formula>
  </rdn>
  <rdn rId="0" localSheetId="12" customView="1" name="Z_58621584_C13D_47C7_BBB8_0E14741A7E96_.wvu.PrintArea" hidden="1" oldHidden="1">
    <formula>'20'!$A$1:$J$30</formula>
  </rdn>
  <rdn rId="0" localSheetId="13" customView="1" name="Z_58621584_C13D_47C7_BBB8_0E14741A7E96_.wvu.PrintArea" hidden="1" oldHidden="1">
    <formula>'22'!$A$1:$J$30</formula>
  </rdn>
  <rdn rId="0" localSheetId="14" customView="1" name="Z_58621584_C13D_47C7_BBB8_0E14741A7E96_.wvu.PrintArea" hidden="1" oldHidden="1">
    <formula>'24'!$A$1:$J$30</formula>
  </rdn>
  <rdn rId="0" localSheetId="15" customView="1" name="Z_58621584_C13D_47C7_BBB8_0E14741A7E96_.wvu.PrintArea" hidden="1" oldHidden="1">
    <formula>'26'!$A$1:$J$30</formula>
  </rdn>
  <rdn rId="0" localSheetId="16" customView="1" name="Z_58621584_C13D_47C7_BBB8_0E14741A7E96_.wvu.PrintArea" hidden="1" oldHidden="1">
    <formula>'27'!$A$1:$J$30</formula>
  </rdn>
  <rdn rId="0" localSheetId="17" customView="1" name="Z_58621584_C13D_47C7_BBB8_0E14741A7E96_.wvu.PrintArea" hidden="1" oldHidden="1">
    <formula>'29'!$A$1:$J$30</formula>
  </rdn>
  <rcv guid="{58621584-C13D-47C7-BBB8-0E14741A7E96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1" sId="2">
    <oc r="B7">
      <v>614</v>
    </oc>
    <nc r="B7" t="inlineStr">
      <is>
        <t>614/842</t>
      </is>
    </nc>
  </rcc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9" sId="2">
    <oc r="E7">
      <v>2</v>
    </oc>
    <nc r="E7" t="inlineStr">
      <is>
        <t>CXL 2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" sId="5" odxf="1" dxf="1">
    <nc r="B9">
      <v>302</v>
    </nc>
    <odxf>
      <font>
        <i/>
        <sz val="14"/>
      </font>
      <fill>
        <patternFill patternType="none">
          <bgColor indexed="65"/>
        </patternFill>
      </fill>
    </odxf>
    <ndxf>
      <font>
        <i val="0"/>
        <sz val="14"/>
      </font>
      <fill>
        <patternFill patternType="solid">
          <bgColor theme="0"/>
        </patternFill>
      </fill>
    </ndxf>
  </rcc>
  <rcc rId="288" sId="5" odxf="1" dxf="1">
    <nc r="C9" t="inlineStr">
      <is>
        <t>Baig, Muhanmad</t>
      </is>
    </nc>
    <odxf>
      <font>
        <i/>
        <sz val="14"/>
      </font>
      <fill>
        <patternFill patternType="none">
          <bgColor indexed="65"/>
        </patternFill>
      </fill>
    </odxf>
    <ndxf>
      <font>
        <i val="0"/>
        <sz val="14"/>
      </font>
      <fill>
        <patternFill patternType="solid">
          <bgColor theme="0"/>
        </patternFill>
      </fill>
    </ndxf>
  </rcc>
  <rcc rId="289" sId="5" odxf="1" dxf="1" numFmtId="19">
    <nc r="D9">
      <v>46123</v>
    </nc>
    <odxf>
      <font>
        <i/>
        <sz val="14"/>
      </font>
      <fill>
        <patternFill patternType="none">
          <bgColor indexed="65"/>
        </patternFill>
      </fill>
    </odxf>
    <ndxf>
      <font>
        <i val="0"/>
        <sz val="14"/>
      </font>
      <fill>
        <patternFill patternType="solid">
          <bgColor theme="0"/>
        </patternFill>
      </fill>
    </ndxf>
  </rcc>
  <rcc rId="290" sId="5" odxf="1" dxf="1">
    <nc r="E9">
      <v>2</v>
    </nc>
    <odxf>
      <font>
        <i/>
        <sz val="14"/>
      </font>
      <fill>
        <patternFill patternType="none">
          <bgColor indexed="65"/>
        </patternFill>
      </fill>
    </odxf>
    <ndxf>
      <font>
        <i val="0"/>
        <sz val="14"/>
      </font>
      <fill>
        <patternFill patternType="solid">
          <bgColor theme="0"/>
        </patternFill>
      </fill>
    </ndxf>
  </rcc>
  <rfmt sheetId="5" sqref="F9" start="0" length="0">
    <dxf>
      <font>
        <i val="0"/>
        <sz val="14"/>
      </font>
      <fill>
        <patternFill patternType="solid">
          <bgColor theme="0"/>
        </patternFill>
      </fill>
    </dxf>
  </rfmt>
  <rfmt sheetId="5" sqref="G9" start="0" length="0">
    <dxf>
      <font>
        <i val="0"/>
        <sz val="14"/>
      </font>
      <fill>
        <patternFill patternType="solid">
          <bgColor theme="0"/>
        </patternFill>
      </fill>
    </dxf>
  </rfmt>
  <rfmt sheetId="5" sqref="H9" start="0" length="0">
    <dxf>
      <font>
        <i val="0"/>
        <sz val="14"/>
      </font>
      <fill>
        <patternFill patternType="solid">
          <bgColor theme="0"/>
        </patternFill>
      </fill>
    </dxf>
  </rfmt>
  <rfmt sheetId="5" sqref="I9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1" sId="5">
    <nc r="J9" t="inlineStr">
      <is>
        <t>Xuan</t>
      </is>
    </nc>
  </rcc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" sId="5">
    <oc r="E9">
      <v>2</v>
    </oc>
    <nc r="E9" t="inlineStr">
      <is>
        <t>cxl2</t>
      </is>
    </nc>
  </rcc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7" sId="5">
    <oc r="B7" t="inlineStr">
      <is>
        <t>Prebooking</t>
      </is>
    </oc>
    <nc r="B7">
      <v>653</v>
    </nc>
  </rcc>
  <rcc rId="328" sId="5">
    <oc r="B8" t="inlineStr">
      <is>
        <t>Prebooking</t>
      </is>
    </oc>
    <nc r="B8">
      <v>341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9" sId="6" odxf="1" dxf="1">
    <nc r="B7">
      <v>341</v>
    </nc>
    <odxf>
      <border outline="0">
        <top/>
      </border>
    </odxf>
    <ndxf>
      <border outline="0">
        <top style="thin">
          <color indexed="64"/>
        </top>
      </border>
    </ndxf>
  </rcc>
  <rcc rId="330" sId="6" odxf="1" dxf="1">
    <nc r="C7" t="inlineStr">
      <is>
        <t>Sergio Tapia Casas</t>
      </is>
    </nc>
    <odxf>
      <alignment horizontal="left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cc rId="331" sId="6" odxf="1" dxf="1" numFmtId="19">
    <nc r="D7">
      <v>46123</v>
    </nc>
    <odxf>
      <border outline="0">
        <top/>
      </border>
    </odxf>
    <ndxf>
      <border outline="0">
        <top style="thin">
          <color indexed="64"/>
        </top>
      </border>
    </ndxf>
  </rcc>
  <rcc rId="332" sId="6" odxf="1" dxf="1">
    <nc r="E7">
      <v>2</v>
    </nc>
    <odxf>
      <border outline="0">
        <top/>
      </border>
    </odxf>
    <ndxf>
      <border outline="0">
        <top style="thin">
          <color indexed="64"/>
        </top>
      </border>
    </ndxf>
  </rcc>
  <rfmt sheetId="6" sqref="F7" start="0" length="0">
    <dxf>
      <border outline="0">
        <top style="thin">
          <color indexed="64"/>
        </top>
      </border>
    </dxf>
  </rfmt>
  <rfmt sheetId="6" sqref="G7" start="0" length="0">
    <dxf>
      <border outline="0">
        <top style="thin">
          <color indexed="64"/>
        </top>
      </border>
    </dxf>
  </rfmt>
  <rcc rId="333" sId="6" odxf="1" dxf="1">
    <nc r="H7">
      <v>25282654</v>
    </nc>
    <odxf>
      <border outline="0">
        <top/>
      </border>
    </odxf>
    <ndxf>
      <border outline="0">
        <top style="thin">
          <color indexed="64"/>
        </top>
      </border>
    </ndxf>
  </rcc>
  <rcc rId="334" sId="6" odxf="1" dxf="1">
    <nc r="I7" t="inlineStr">
      <is>
        <t>Vifau/Shamrath</t>
      </is>
    </nc>
    <odxf>
      <alignment horizontal="center" vertical="top" readingOrder="0"/>
      <border outline="0">
        <top/>
      </border>
    </odxf>
    <ndxf>
      <alignment horizontal="left" vertical="center" readingOrder="0"/>
      <border outline="0">
        <top style="thin">
          <color indexed="64"/>
        </top>
      </border>
    </ndxf>
  </rcc>
  <rfmt sheetId="6" sqref="J7" start="0" length="0">
    <dxf>
      <border outline="0">
        <top style="thin">
          <color indexed="64"/>
        </top>
      </border>
    </dxf>
  </rfmt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" sId="6">
    <nc r="B8">
      <v>878</v>
    </nc>
  </rcc>
  <rcc rId="336" sId="6">
    <nc r="E8">
      <v>2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" sId="6">
    <nc r="C8" t="inlineStr">
      <is>
        <t>Faaiza Farishah</t>
      </is>
    </nc>
  </rcc>
  <rcc rId="338" sId="6" numFmtId="19">
    <nc r="D8">
      <v>46124</v>
    </nc>
  </rcc>
  <rcc rId="339" sId="6">
    <nc r="I8" t="inlineStr">
      <is>
        <t>Rahil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8">
    <dxf>
      <alignment horizontal="center" readingOrder="0"/>
    </dxf>
  </rfmt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0" sId="7">
    <nc r="B7">
      <v>857</v>
    </nc>
  </rcc>
  <rcc rId="341" sId="7">
    <nc r="J7" t="inlineStr">
      <is>
        <t>shawin/Aneem</t>
      </is>
    </nc>
  </rcc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9" sId="7">
    <nc r="E7">
      <v>2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0" sId="7" xfDxf="1" dxf="1">
    <nc r="C7" t="inlineStr">
      <is>
        <t>Mr. Yoong Chow</t>
      </is>
    </nc>
    <n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1" sId="7" xfDxf="1" dxf="1" numFmtId="19">
    <nc r="D7">
      <v>46125</v>
    </nc>
    <ndxf>
      <font>
        <sz val="14"/>
      </font>
      <numFmt numFmtId="19" formatCode="dd/mm/yyyy"/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2" sId="7">
    <nc r="I7" t="inlineStr">
      <is>
        <t>SAI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3" sId="6">
    <oc r="E7">
      <v>2</v>
    </oc>
    <nc r="E7" t="inlineStr">
      <is>
        <t>cxl2</t>
      </is>
    </nc>
  </rcc>
  <rcc rId="364" sId="6">
    <oc r="E8">
      <v>2</v>
    </oc>
    <nc r="E8" t="inlineStr">
      <is>
        <t>cxl2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C7">
    <dxf>
      <fill>
        <patternFill>
          <bgColor rgb="FFFF0000"/>
        </patternFill>
      </fill>
    </dxf>
  </rfmt>
  <rfmt sheetId="8" sqref="C7" start="0" length="2147483647">
    <dxf>
      <font/>
    </dxf>
  </rfmt>
  <rcc rId="365" sId="8">
    <nc r="C7" t="inlineStr">
      <is>
        <t>BOOKING CLOSED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6" sId="8" odxf="1" dxf="1">
    <nc r="C8" t="inlineStr">
      <is>
        <t>BOOKING CLOSED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7" sId="11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368" sId="11" odxf="1" dxf="1">
    <nc r="C8" t="inlineStr">
      <is>
        <t>BOOKING CLOSED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9" sId="7">
    <oc r="I7" t="inlineStr">
      <is>
        <t>SAI</t>
      </is>
    </oc>
    <nc r="I7" t="inlineStr">
      <is>
        <t>Allocation</t>
      </is>
    </nc>
  </rcc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7" sId="7">
    <oc r="E7">
      <v>2</v>
    </oc>
    <nc r="E7" t="inlineStr">
      <is>
        <t>CLx2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7:J7">
    <dxf>
      <fill>
        <patternFill>
          <bgColor rgb="FFFF0000"/>
        </patternFill>
      </fill>
    </dxf>
  </rfmt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8" sId="9">
    <nc r="B7">
      <v>603</v>
    </nc>
  </rcc>
  <rcc rId="389" sId="9">
    <nc r="C7" t="inlineStr">
      <is>
        <t>Anthony Meunier</t>
      </is>
    </nc>
  </rcc>
  <rcc rId="390" sId="9" numFmtId="19">
    <nc r="D7">
      <v>46132</v>
    </nc>
  </rcc>
  <rcc rId="391" sId="9">
    <nc r="E7">
      <v>2</v>
    </nc>
  </rcc>
  <rcc rId="392" sId="9">
    <nc r="J7" t="inlineStr">
      <is>
        <t>Faiha</t>
      </is>
    </nc>
  </rcc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0" sId="10">
    <nc r="B7">
      <v>603</v>
    </nc>
  </rcc>
  <rcc rId="411" sId="10">
    <nc r="C7" t="inlineStr">
      <is>
        <t>Anthony Meunier</t>
      </is>
    </nc>
  </rcc>
  <rcc rId="412" sId="10" numFmtId="19">
    <nc r="D7">
      <v>46132</v>
    </nc>
  </rcc>
  <rcc rId="413" sId="10">
    <nc r="E7">
      <v>2</v>
    </nc>
  </rcc>
  <rcc rId="414" sId="10">
    <nc r="J7" t="inlineStr">
      <is>
        <t>Faiha</t>
      </is>
    </nc>
  </rcc>
  <rcc rId="415" sId="9">
    <oc r="B7">
      <v>603</v>
    </oc>
    <nc r="B7"/>
  </rcc>
  <rcc rId="416" sId="9">
    <oc r="C7" t="inlineStr">
      <is>
        <t>Anthony Meunier</t>
      </is>
    </oc>
    <nc r="C7"/>
  </rcc>
  <rcc rId="417" sId="9" numFmtId="19">
    <oc r="D7">
      <v>46132</v>
    </oc>
    <nc r="D7"/>
  </rcc>
  <rcc rId="418" sId="9">
    <oc r="E7">
      <v>2</v>
    </oc>
    <nc r="E7"/>
  </rcc>
  <rcc rId="419" sId="9">
    <oc r="J7" t="inlineStr">
      <is>
        <t>Faiha</t>
      </is>
    </oc>
    <nc r="J7"/>
  </rcc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7" sId="9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438" sId="9" odxf="1" dxf="1">
    <nc r="C8" t="inlineStr">
      <is>
        <t>BOOKING CLOSED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9" sId="10">
    <nc r="B8">
      <v>341</v>
    </nc>
  </rcc>
  <rcc rId="440" sId="10">
    <nc r="E8">
      <v>2</v>
    </nc>
  </rcc>
  <rcc rId="441" sId="10">
    <nc r="J8" t="inlineStr">
      <is>
        <t>Rahil</t>
      </is>
    </nc>
  </rcc>
  <rcc rId="442" sId="10" numFmtId="19">
    <nc r="D8">
      <v>46135</v>
    </nc>
  </rcc>
  <rcc rId="443" sId="10">
    <nc r="C8" t="inlineStr">
      <is>
        <t>Mehdi Anderson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" sId="10">
    <nc r="B9">
      <v>865</v>
    </nc>
  </rcc>
  <rcc rId="445" sId="10">
    <nc r="B10">
      <v>863</v>
    </nc>
  </rcc>
  <rcc rId="446" sId="10">
    <nc r="E9">
      <v>2</v>
    </nc>
  </rcc>
  <rcc rId="447" sId="10">
    <nc r="E10">
      <v>2</v>
    </nc>
  </rcc>
  <rcc rId="448" sId="10">
    <nc r="J9" t="inlineStr">
      <is>
        <t>Faiha</t>
      </is>
    </nc>
  </rcc>
  <rcc rId="449" sId="10">
    <nc r="J10" t="inlineStr">
      <is>
        <t>Faiha</t>
      </is>
    </nc>
  </rcc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9" start="0" length="0">
    <dxf>
      <alignment vertical="center" readingOrder="0"/>
    </dxf>
  </rfmt>
  <rcc rId="467" sId="10" odxf="1" dxf="1">
    <nc r="C9" t="inlineStr">
      <is>
        <t>Aurelien Goillot</t>
      </is>
    </nc>
    <odxf>
      <alignment horizontal="left" vertical="top" readingOrder="0"/>
    </odxf>
    <ndxf>
      <alignment horizontal="center" vertical="center" readingOrder="0"/>
    </ndxf>
  </rcc>
  <rcc rId="468" sId="10" odxf="1" dxf="1" numFmtId="19">
    <nc r="D9">
      <v>46132</v>
    </nc>
    <odxf>
      <alignment vertical="top" readingOrder="0"/>
    </odxf>
    <ndxf>
      <alignment vertical="center" readingOrder="0"/>
    </ndxf>
  </rcc>
  <rfmt sheetId="10" sqref="E9" start="0" length="0">
    <dxf>
      <alignment vertical="center" readingOrder="0"/>
    </dxf>
  </rfmt>
  <rfmt sheetId="10" sqref="B10" start="0" length="0">
    <dxf>
      <alignment vertical="center" readingOrder="0"/>
    </dxf>
  </rfmt>
  <rcc rId="469" sId="10" odxf="1" dxf="1">
    <nc r="C10" t="inlineStr">
      <is>
        <t>Edwige Touzart</t>
      </is>
    </nc>
    <odxf>
      <alignment horizontal="left" vertical="top" readingOrder="0"/>
    </odxf>
    <ndxf>
      <alignment horizontal="center" vertical="center" readingOrder="0"/>
    </ndxf>
  </rcc>
  <rcc rId="470" sId="10" odxf="1" dxf="1" numFmtId="19">
    <nc r="D10">
      <v>46132</v>
    </nc>
    <odxf>
      <alignment vertical="top" readingOrder="0"/>
    </odxf>
    <ndxf>
      <alignment vertical="center" readingOrder="0"/>
    </ndxf>
  </rcc>
  <rfmt sheetId="10" sqref="E10" start="0" length="0">
    <dxf>
      <alignment vertical="center" readingOrder="0"/>
    </dxf>
  </rfmt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" sId="17" odxf="1" dxf="1">
    <nc r="B8" t="inlineStr">
      <is>
        <t>Prebooking</t>
      </is>
    </nc>
    <odxf>
      <border outline="0">
        <top style="thin">
          <color indexed="64"/>
        </top>
      </border>
    </odxf>
    <ndxf>
      <border outline="0">
        <top/>
      </border>
    </ndxf>
  </rcc>
  <rcc rId="472" sId="17" odxf="1" dxf="1">
    <nc r="C8" t="inlineStr">
      <is>
        <t>Mr Gavin David Hogg</t>
      </is>
    </nc>
    <odxf>
      <border outline="0">
        <top style="thin">
          <color indexed="64"/>
        </top>
      </border>
    </odxf>
    <ndxf>
      <border outline="0">
        <top/>
      </border>
    </ndxf>
  </rcc>
  <rcc rId="473" sId="17" odxf="1" dxf="1" numFmtId="19">
    <nc r="D8">
      <v>46145</v>
    </nc>
    <odxf>
      <border outline="0">
        <top style="thin">
          <color indexed="64"/>
        </top>
      </border>
    </odxf>
    <ndxf>
      <border outline="0">
        <top/>
      </border>
    </ndxf>
  </rcc>
  <rcc rId="474" sId="17" odxf="1" dxf="1">
    <nc r="E8">
      <v>2</v>
    </nc>
    <odxf>
      <border outline="0">
        <top style="thin">
          <color indexed="64"/>
        </top>
      </border>
    </odxf>
    <ndxf>
      <border outline="0">
        <top/>
      </border>
    </ndxf>
  </rcc>
  <rfmt sheetId="17" sqref="F8" start="0" length="0">
    <dxf>
      <border outline="0">
        <top/>
      </border>
    </dxf>
  </rfmt>
  <rfmt sheetId="17" sqref="G8" start="0" length="0">
    <dxf>
      <border outline="0">
        <top/>
      </border>
    </dxf>
  </rfmt>
  <rfmt sheetId="17" sqref="H8" start="0" length="0">
    <dxf>
      <border outline="0">
        <top/>
      </border>
    </dxf>
  </rfmt>
  <rcc rId="475" sId="17" odxf="1" dxf="1">
    <nc r="I8" t="inlineStr">
      <is>
        <t>8461SG079401, 8461SF074419 (TRMD)</t>
      </is>
    </nc>
    <odxf>
      <border outline="0">
        <top style="thin">
          <color indexed="64"/>
        </top>
      </border>
    </odxf>
    <ndxf>
      <border outline="0">
        <top/>
      </border>
    </ndxf>
  </rcc>
  <rcc rId="476" sId="17" odxf="1" dxf="1">
    <nc r="J8" t="inlineStr">
      <is>
        <t>Shamrath/Faiha</t>
      </is>
    </nc>
    <odxf>
      <border outline="0">
        <top style="thin">
          <color indexed="64"/>
        </top>
      </border>
    </odxf>
    <ndxf>
      <border outline="0">
        <top/>
      </border>
    </ndxf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7:J10">
    <dxf>
      <alignment vertical="center" readingOrder="0"/>
    </dxf>
  </rfmt>
  <rfmt sheetId="10" sqref="B7:J10">
    <dxf>
      <alignment horizontal="general" readingOrder="0"/>
    </dxf>
  </rfmt>
  <rfmt sheetId="10" sqref="B7:J10">
    <dxf>
      <alignment horizontal="center" readingOrder="0"/>
    </dxf>
  </rfmt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7" sId="10">
    <oc r="A5" t="inlineStr">
      <is>
        <t>STARRY NIGHT   (MAX 08 PAX)  USD$75PP  20:00 TO 21:00</t>
      </is>
    </oc>
    <nc r="A5" t="inlineStr">
      <is>
        <t>STARRY NIGHT   (MAX 08 PAX)  USD$85PP  20:00 TO 21:00</t>
      </is>
    </nc>
  </rcc>
  <rcc rId="478" sId="10">
    <nc r="C11" t="inlineStr">
      <is>
        <t>Booking Closed</t>
      </is>
    </nc>
  </rcc>
  <rfmt sheetId="10" sqref="C11">
    <dxf>
      <fill>
        <patternFill>
          <bgColor rgb="FFFF0000"/>
        </patternFill>
      </fill>
    </dxf>
  </rfmt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" sId="12">
    <nc r="B7">
      <v>817</v>
    </nc>
  </rcc>
  <rcc rId="480" sId="12">
    <nc r="E7">
      <v>2</v>
    </nc>
  </rcc>
  <rcc rId="481" sId="12">
    <nc r="J7" t="inlineStr">
      <is>
        <t>Archana/Maaji</t>
      </is>
    </nc>
  </rcc>
  <rcc rId="482" sId="12">
    <nc r="C7" t="inlineStr">
      <is>
        <t>Carla Saldarriaga</t>
      </is>
    </nc>
  </rcc>
  <rcc rId="483" sId="12" numFmtId="19">
    <nc r="D7">
      <v>46135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4" sId="10">
    <nc r="I7" t="inlineStr">
      <is>
        <t>SAI</t>
      </is>
    </nc>
  </rcc>
  <rcc rId="485" sId="10" odxf="1" dxf="1">
    <nc r="I9" t="inlineStr">
      <is>
        <t>SAI</t>
      </is>
    </nc>
    <odxf>
      <border outline="0">
        <top style="thin">
          <color indexed="64"/>
        </top>
      </border>
    </odxf>
    <ndxf>
      <border outline="0">
        <top/>
      </border>
    </ndxf>
  </rcc>
  <rcc rId="486" sId="10" odxf="1" dxf="1">
    <nc r="I10" t="inlineStr">
      <is>
        <t>SAI</t>
      </is>
    </nc>
    <odxf>
      <border outline="0">
        <top style="thin">
          <color indexed="64"/>
        </top>
      </border>
    </odxf>
    <ndxf>
      <border outline="0">
        <top/>
      </border>
    </ndxf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7" sId="13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488" sId="13" odxf="1" dxf="1">
    <nc r="C8" t="inlineStr">
      <is>
        <t>BOOKING CLOSED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  <rcc rId="489" sId="14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490" sId="16" odxf="1" dxf="1">
    <nc r="C7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1" sId="13" odxf="1" dxf="1">
    <nc r="B9">
      <v>817</v>
    </nc>
    <odxf>
      <border outline="0">
        <top style="thin">
          <color indexed="64"/>
        </top>
      </border>
    </odxf>
    <ndxf>
      <border outline="0">
        <top/>
      </border>
    </ndxf>
  </rcc>
  <rcc rId="492" sId="13" odxf="1" dxf="1">
    <nc r="C9" t="inlineStr">
      <is>
        <t>Carla Saldarriaga</t>
      </is>
    </nc>
    <odxf>
      <border outline="0">
        <top style="thin">
          <color indexed="64"/>
        </top>
      </border>
    </odxf>
    <ndxf>
      <border outline="0">
        <top/>
      </border>
    </ndxf>
  </rcc>
  <rcc rId="493" sId="13" odxf="1" dxf="1" numFmtId="19">
    <nc r="D9">
      <v>46135</v>
    </nc>
    <odxf>
      <border outline="0">
        <top style="thin">
          <color indexed="64"/>
        </top>
      </border>
    </odxf>
    <ndxf>
      <border outline="0">
        <top/>
      </border>
    </ndxf>
  </rcc>
  <rcc rId="494" sId="13" odxf="1" dxf="1">
    <nc r="E9">
      <v>2</v>
    </nc>
    <odxf>
      <border outline="0">
        <top style="thin">
          <color indexed="64"/>
        </top>
      </border>
    </odxf>
    <ndxf>
      <border outline="0">
        <top/>
      </border>
    </ndxf>
  </rcc>
  <rfmt sheetId="13" sqref="F9" start="0" length="0">
    <dxf>
      <border outline="0">
        <top/>
      </border>
    </dxf>
  </rfmt>
  <rfmt sheetId="13" sqref="G9" start="0" length="0">
    <dxf>
      <border outline="0">
        <top/>
      </border>
    </dxf>
  </rfmt>
  <rfmt sheetId="13" sqref="H9" start="0" length="0">
    <dxf>
      <border outline="0">
        <top/>
      </border>
    </dxf>
  </rfmt>
  <rfmt sheetId="13" sqref="I9" start="0" length="0">
    <dxf>
      <border outline="0">
        <top/>
      </border>
    </dxf>
  </rfmt>
  <rcc rId="495" sId="13" odxf="1" dxf="1">
    <nc r="J9" t="inlineStr">
      <is>
        <t>Archana/Maaji</t>
      </is>
    </nc>
    <odxf>
      <border outline="0">
        <top style="thin">
          <color indexed="64"/>
        </top>
      </border>
    </odxf>
    <ndxf>
      <border outline="0">
        <top/>
      </border>
    </ndxf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6" sId="13">
    <nc r="B7">
      <v>817</v>
    </nc>
  </rcc>
  <rcc rId="497" sId="13" odxf="1" dxf="1">
    <oc r="C7" t="inlineStr">
      <is>
        <t>BOOKING CLOSED</t>
      </is>
    </oc>
    <nc r="C7" t="inlineStr">
      <is>
        <t>Carla Saldarriaga</t>
      </is>
    </nc>
    <odxf>
      <fill>
        <patternFill>
          <bgColor rgb="FFFF0000"/>
        </patternFill>
      </fill>
    </odxf>
    <ndxf>
      <fill>
        <patternFill>
          <bgColor theme="0"/>
        </patternFill>
      </fill>
    </ndxf>
  </rcc>
  <rcc rId="498" sId="13" numFmtId="19">
    <nc r="D7">
      <v>46135</v>
    </nc>
  </rcc>
  <rcc rId="499" sId="13">
    <nc r="E7">
      <v>2</v>
    </nc>
  </rcc>
  <rcc rId="500" sId="13">
    <nc r="J7" t="inlineStr">
      <is>
        <t>Archana/Maaji</t>
      </is>
    </nc>
  </rcc>
  <rcc rId="501" sId="13">
    <oc r="B9">
      <v>817</v>
    </oc>
    <nc r="B9"/>
  </rcc>
  <rfmt sheetId="13" sqref="C9" start="0" length="0">
    <dxf>
      <alignment horizontal="center" readingOrder="0"/>
    </dxf>
  </rfmt>
  <rcc rId="502" sId="13" odxf="1" dxf="1">
    <oc r="D9">
      <v>46135</v>
    </oc>
    <nc r="D9"/>
    <odxf>
      <numFmt numFmtId="19" formatCode="dd/mm/yyyy"/>
    </odxf>
    <ndxf>
      <numFmt numFmtId="0" formatCode="General"/>
    </ndxf>
  </rcc>
  <rcc rId="503" sId="13">
    <oc r="E9">
      <v>2</v>
    </oc>
    <nc r="E9"/>
  </rcc>
  <rcc rId="504" sId="13">
    <oc r="J9" t="inlineStr">
      <is>
        <t>Archana/Maaji</t>
      </is>
    </oc>
    <nc r="J9"/>
  </rcc>
  <rcc rId="505" sId="13" odxf="1" dxf="1">
    <oc r="C9" t="inlineStr">
      <is>
        <t>Carla Saldarriaga</t>
      </is>
    </oc>
    <nc r="C9" t="inlineStr">
      <is>
        <t>BOOKING CLOSED</t>
      </is>
    </nc>
    <ndxf>
      <fill>
        <patternFill>
          <bgColor rgb="FFFF0000"/>
        </patternFill>
      </fill>
      <alignment horizontal="left" readingOrder="0"/>
    </ndxf>
  </rcc>
  <rfmt sheetId="13" sqref="C10" start="0" length="0">
    <dxf>
      <fill>
        <patternFill>
          <bgColor rgb="FFFF0000"/>
        </patternFill>
      </fill>
      <border outline="0">
        <top/>
      </border>
    </dxf>
  </rfmt>
  <rcc rId="506" sId="13">
    <nc r="C10" t="inlineStr">
      <is>
        <t>Don't take any bookings!!!!!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7" sId="13">
    <nc r="B11">
      <v>623</v>
    </nc>
  </rcc>
  <rcc rId="508" sId="13">
    <nc r="E11">
      <v>2</v>
    </nc>
  </rcc>
  <rcc rId="509" sId="13">
    <nc r="J11" t="inlineStr">
      <is>
        <t>Faiha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0" sId="13">
    <oc r="E7">
      <v>2</v>
    </oc>
    <nc r="E7" t="inlineStr">
      <is>
        <t>CXL2</t>
      </is>
    </nc>
  </rcc>
  <rcc rId="511" sId="13" odxf="1" dxf="1">
    <nc r="C11" t="inlineStr">
      <is>
        <t>Faiza Belgacm</t>
      </is>
    </nc>
    <odxf>
      <font>
        <sz val="14"/>
      </font>
      <alignment horizontal="left" vertical="top" readingOrder="0"/>
      <border outline="0">
        <left style="thin">
          <color indexed="64"/>
        </left>
        <right style="thin">
          <color indexed="64"/>
        </right>
      </border>
      <protection locked="1"/>
    </odxf>
    <ndxf>
      <font>
        <sz val="12"/>
        <color auto="1"/>
        <name val="Arial"/>
        <scheme val="none"/>
      </font>
      <alignment horizontal="general" vertical="center" readingOrder="0"/>
      <border outline="0">
        <left/>
        <right/>
      </border>
      <protection locked="0"/>
    </ndxf>
  </rcc>
  <rcc rId="512" sId="13" numFmtId="19">
    <nc r="D11">
      <v>46139</v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3" sId="17">
    <oc r="B7" t="inlineStr">
      <is>
        <t>Prebooking</t>
      </is>
    </oc>
    <nc r="B7">
      <v>848</v>
    </nc>
  </rcc>
  <rcc rId="514" sId="17">
    <oc r="B8" t="inlineStr">
      <is>
        <t>Prebooking</t>
      </is>
    </oc>
    <nc r="B8"/>
  </rcc>
  <rcc rId="515" sId="17">
    <oc r="C8" t="inlineStr">
      <is>
        <t>Mr Gavin David Hogg</t>
      </is>
    </oc>
    <nc r="C8"/>
  </rcc>
  <rcc rId="516" sId="17" numFmtId="19">
    <oc r="D8">
      <v>46145</v>
    </oc>
    <nc r="D8"/>
  </rcc>
  <rcc rId="517" sId="17">
    <oc r="E8">
      <v>2</v>
    </oc>
    <nc r="E8"/>
  </rcc>
  <rcc rId="518" sId="17">
    <oc r="I8" t="inlineStr">
      <is>
        <t>8461SG079401, 8461SF074419 (TRMD)</t>
      </is>
    </oc>
    <nc r="I8"/>
  </rcc>
  <rcc rId="519" sId="17">
    <oc r="J8" t="inlineStr">
      <is>
        <t>Shamrath/Faiha</t>
      </is>
    </oc>
    <nc r="J8"/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0" sId="14">
    <nc r="B8">
      <v>623</v>
    </nc>
  </rcc>
  <rcc rId="521" sId="14">
    <nc r="E8">
      <v>2</v>
    </nc>
  </rcc>
  <rcc rId="522" sId="15">
    <nc r="B8">
      <v>623</v>
    </nc>
  </rcc>
  <rcc rId="523" sId="15">
    <nc r="E8">
      <v>2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4" sId="14">
    <oc r="B8">
      <v>623</v>
    </oc>
    <nc r="B8" t="inlineStr">
      <is>
        <t>623/873</t>
      </is>
    </nc>
  </rcc>
  <rcc rId="525" sId="15">
    <oc r="B8">
      <v>623</v>
    </oc>
    <nc r="B8" t="inlineStr">
      <is>
        <t>623/873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6" sId="15">
    <nc r="B9">
      <v>324</v>
    </nc>
  </rcc>
  <rcc rId="527" sId="15">
    <nc r="E9">
      <v>2</v>
    </nc>
  </rcc>
  <rcc rId="528" sId="15">
    <nc r="J9" t="inlineStr">
      <is>
        <t>UV/Faiha</t>
      </is>
    </nc>
  </rcc>
  <rcc rId="529" sId="15">
    <nc r="J8" t="inlineStr">
      <is>
        <t>Faiha</t>
      </is>
    </nc>
  </rcc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7" sId="15">
    <nc r="C8" t="inlineStr">
      <is>
        <t>Faiza Belgacem</t>
      </is>
    </nc>
  </rcc>
  <rcc rId="548" sId="15" numFmtId="19">
    <nc r="D8">
      <v>46139</v>
    </nc>
  </rcc>
  <rcc rId="549" sId="15">
    <nc r="C9" t="inlineStr">
      <is>
        <t>Dai Haga</t>
      </is>
    </nc>
  </rcc>
  <rcc rId="550" sId="15" numFmtId="19">
    <nc r="D9">
      <v>46138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" sId="15">
    <nc r="C10" t="inlineStr">
      <is>
        <t>Booking Closed</t>
      </is>
    </nc>
  </rcc>
  <rfmt sheetId="15" sqref="C10">
    <dxf>
      <fill>
        <patternFill>
          <bgColor rgb="FFFF0000"/>
        </patternFill>
      </fill>
    </dxf>
  </rfmt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" sId="15">
    <oc r="C10" t="inlineStr">
      <is>
        <t>Booking Closed</t>
      </is>
    </oc>
    <nc r="C10" t="inlineStr">
      <is>
        <t>Booking Closed!!!!!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" sId="15">
    <oc r="E9">
      <v>2</v>
    </oc>
    <nc r="E9" t="inlineStr">
      <is>
        <t>CXL2</t>
      </is>
    </nc>
  </rcc>
  <rcv guid="{2326BBD2-BB0A-45F4-AB1D-3FBB27200534}" action="delete"/>
  <rdn rId="0" localSheetId="1" customView="1" name="Z_2326BBD2_BB0A_45F4_AB1D_3FBB27200534_.wvu.PrintArea" hidden="1" oldHidden="1">
    <formula>'1'!$A$1:$J$30</formula>
    <oldFormula>'1'!$A$1:$J$30</oldFormula>
  </rdn>
  <rdn rId="0" localSheetId="2" customView="1" name="Z_2326BBD2_BB0A_45F4_AB1D_3FBB27200534_.wvu.PrintArea" hidden="1" oldHidden="1">
    <formula>'3'!$A$1:$J$30</formula>
    <oldFormula>'3'!$A$1:$J$30</oldFormula>
  </rdn>
  <rdn rId="0" localSheetId="3" customView="1" name="Z_2326BBD2_BB0A_45F4_AB1D_3FBB27200534_.wvu.PrintArea" hidden="1" oldHidden="1">
    <formula>'5'!$A$1:$J$30</formula>
    <oldFormula>'5'!$A$1:$J$30</oldFormula>
  </rdn>
  <rdn rId="0" localSheetId="4" customView="1" name="Z_2326BBD2_BB0A_45F4_AB1D_3FBB27200534_.wvu.PrintArea" hidden="1" oldHidden="1">
    <formula>'6'!$A$1:$J$30</formula>
    <oldFormula>'6'!$A$1:$J$30</oldFormula>
  </rdn>
  <rdn rId="0" localSheetId="5" customView="1" name="Z_2326BBD2_BB0A_45F4_AB1D_3FBB27200534_.wvu.PrintArea" hidden="1" oldHidden="1">
    <formula>'8'!$A$1:$J$30</formula>
    <oldFormula>'8'!$A$1:$J$30</oldFormula>
  </rdn>
  <rdn rId="0" localSheetId="6" customView="1" name="Z_2326BBD2_BB0A_45F4_AB1D_3FBB27200534_.wvu.PrintArea" hidden="1" oldHidden="1">
    <formula>'10'!$A$1:$J$30</formula>
    <oldFormula>'10'!$A$1:$J$30</oldFormula>
  </rdn>
  <rdn rId="0" localSheetId="7" customView="1" name="Z_2326BBD2_BB0A_45F4_AB1D_3FBB27200534_.wvu.PrintArea" hidden="1" oldHidden="1">
    <formula>'12'!$A$1:$J$30</formula>
    <oldFormula>'12'!$A$1:$J$30</oldFormula>
  </rdn>
  <rdn rId="0" localSheetId="8" customView="1" name="Z_2326BBD2_BB0A_45F4_AB1D_3FBB27200534_.wvu.PrintArea" hidden="1" oldHidden="1">
    <formula>'13'!$A$1:$J$30</formula>
    <oldFormula>'13'!$A$1:$J$30</oldFormula>
  </rdn>
  <rdn rId="0" localSheetId="9" customView="1" name="Z_2326BBD2_BB0A_45F4_AB1D_3FBB27200534_.wvu.PrintArea" hidden="1" oldHidden="1">
    <formula>'15'!$A$1:$J$30</formula>
    <oldFormula>'15'!$A$1:$J$30</oldFormula>
  </rdn>
  <rdn rId="0" localSheetId="10" customView="1" name="Z_2326BBD2_BB0A_45F4_AB1D_3FBB27200534_.wvu.PrintArea" hidden="1" oldHidden="1">
    <formula>'17'!$A$1:$J$30</formula>
    <oldFormula>'17'!$A$1:$J$30</oldFormula>
  </rdn>
  <rdn rId="0" localSheetId="11" customView="1" name="Z_2326BBD2_BB0A_45F4_AB1D_3FBB27200534_.wvu.PrintArea" hidden="1" oldHidden="1">
    <formula>'19'!$A$1:$J$30</formula>
    <oldFormula>'19'!$A$1:$J$30</oldFormula>
  </rdn>
  <rdn rId="0" localSheetId="12" customView="1" name="Z_2326BBD2_BB0A_45F4_AB1D_3FBB27200534_.wvu.PrintArea" hidden="1" oldHidden="1">
    <formula>'20'!$A$1:$J$30</formula>
    <oldFormula>'20'!$A$1:$J$30</oldFormula>
  </rdn>
  <rdn rId="0" localSheetId="13" customView="1" name="Z_2326BBD2_BB0A_45F4_AB1D_3FBB27200534_.wvu.PrintArea" hidden="1" oldHidden="1">
    <formula>'22'!$A$1:$J$30</formula>
    <oldFormula>'22'!$A$1:$J$30</oldFormula>
  </rdn>
  <rdn rId="0" localSheetId="14" customView="1" name="Z_2326BBD2_BB0A_45F4_AB1D_3FBB27200534_.wvu.PrintArea" hidden="1" oldHidden="1">
    <formula>'24'!$A$1:$J$30</formula>
    <oldFormula>'24'!$A$1:$J$30</oldFormula>
  </rdn>
  <rdn rId="0" localSheetId="15" customView="1" name="Z_2326BBD2_BB0A_45F4_AB1D_3FBB27200534_.wvu.PrintArea" hidden="1" oldHidden="1">
    <formula>'26'!$A$1:$J$30</formula>
    <oldFormula>'26'!$A$1:$J$30</oldFormula>
  </rdn>
  <rdn rId="0" localSheetId="16" customView="1" name="Z_2326BBD2_BB0A_45F4_AB1D_3FBB27200534_.wvu.PrintArea" hidden="1" oldHidden="1">
    <formula>'27'!$A$1:$J$30</formula>
    <oldFormula>'27'!$A$1:$J$30</oldFormula>
  </rdn>
  <rdn rId="0" localSheetId="17" customView="1" name="Z_2326BBD2_BB0A_45F4_AB1D_3FBB27200534_.wvu.PrintArea" hidden="1" oldHidden="1">
    <formula>'29'!$A$1:$J$30</formula>
    <oldFormula>'29'!$A$1:$J$30</oldFormula>
  </rdn>
  <rcv guid="{2326BBD2-BB0A-45F4-AB1D-3FBB27200534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1" sId="14" odxf="1" dxf="1">
    <nc r="C8" t="inlineStr">
      <is>
        <t>Faiza Belgacm</t>
      </is>
    </nc>
    <odxf>
      <font>
        <sz val="14"/>
      </font>
      <alignment horizontal="left" vertical="top" readingOrder="0"/>
      <border outline="0">
        <left style="thin">
          <color indexed="64"/>
        </left>
        <right style="thin">
          <color indexed="64"/>
        </right>
      </border>
      <protection locked="1"/>
    </odxf>
    <ndxf>
      <font>
        <sz val="12"/>
        <color auto="1"/>
        <name val="Arial"/>
        <scheme val="none"/>
      </font>
      <alignment horizontal="general" vertical="center" readingOrder="0"/>
      <border outline="0">
        <left/>
        <right/>
      </border>
      <protection locked="0"/>
    </ndxf>
  </rcc>
  <rcc rId="572" sId="14" numFmtId="19">
    <nc r="D8">
      <v>46139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3" sId="15">
    <oc r="E7">
      <v>4</v>
    </oc>
    <nc r="E7" t="inlineStr">
      <is>
        <t>CXL4</t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4" sId="15">
    <nc r="E10">
      <v>788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8">
  <userInfo guid="{D41DC159-B3AF-4EA6-B064-290B6E376C3A}" name="Dive Centre Office" id="-387594831" dateTime="2026-04-01T14:52:18"/>
  <userInfo guid="{F4300486-EB28-47F2-9145-0A80EA0E557C}" name="Dive Center" id="-288779331" dateTime="2026-04-01T15:07:58"/>
  <userInfo guid="{A4A2890A-C355-4289-AB52-89C3C8C410E9}" name="Dive Centre Office" id="-387631775" dateTime="2026-04-15T11:18:28"/>
  <userInfo guid="{2867EA86-D40D-4725-BBE7-C1B27E6D29BA}" name="Dive Centre Office" id="-387621868" dateTime="2026-04-20T13:25:22"/>
  <userInfo guid="{50B9B2B3-F8A2-46F2-A2A4-2D24FEFE2C97}" name="Dive Centre Office" id="-387597119" dateTime="2026-04-22T09:09:08"/>
  <userInfo guid="{8FE6EBE8-34E0-4D56-B6E5-4A5DFDFFF9F2}" name="Dive Centre Office" id="-387598977" dateTime="2026-04-24T08:38:56"/>
  <userInfo guid="{95A0A594-0E2E-4352-BD3C-C8BBD6E35024}" name="Dive Centre Office" id="-387609611" dateTime="2026-04-25T09:05:22"/>
  <userInfo guid="{95A0A594-0E2E-4352-BD3C-C8BBD6E35024}" name="Dive Centre Office" id="-387607951" dateTime="2026-04-26T08:40:43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6" Type="http://schemas.openxmlformats.org/officeDocument/2006/relationships/drawing" Target="../drawings/drawing9.xml"/><Relationship Id="rId5" Type="http://schemas.openxmlformats.org/officeDocument/2006/relationships/printerSettings" Target="../printerSettings/printerSettings45.bin"/><Relationship Id="rId4" Type="http://schemas.openxmlformats.org/officeDocument/2006/relationships/printerSettings" Target="../printerSettings/printerSettings4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6" Type="http://schemas.openxmlformats.org/officeDocument/2006/relationships/drawing" Target="../drawings/drawing10.xml"/><Relationship Id="rId5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4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.bin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6" Type="http://schemas.openxmlformats.org/officeDocument/2006/relationships/drawing" Target="../drawings/drawing11.xml"/><Relationship Id="rId5" Type="http://schemas.openxmlformats.org/officeDocument/2006/relationships/printerSettings" Target="../printerSettings/printerSettings55.bin"/><Relationship Id="rId4" Type="http://schemas.openxmlformats.org/officeDocument/2006/relationships/printerSettings" Target="../printerSettings/printerSettings5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.bin"/><Relationship Id="rId2" Type="http://schemas.openxmlformats.org/officeDocument/2006/relationships/printerSettings" Target="../printerSettings/printerSettings57.bin"/><Relationship Id="rId1" Type="http://schemas.openxmlformats.org/officeDocument/2006/relationships/printerSettings" Target="../printerSettings/printerSettings56.bin"/><Relationship Id="rId6" Type="http://schemas.openxmlformats.org/officeDocument/2006/relationships/drawing" Target="../drawings/drawing12.xml"/><Relationship Id="rId5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5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65.bin"/><Relationship Id="rId4" Type="http://schemas.openxmlformats.org/officeDocument/2006/relationships/printerSettings" Target="../printerSettings/printerSettings6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6" Type="http://schemas.openxmlformats.org/officeDocument/2006/relationships/drawing" Target="../drawings/drawing14.xml"/><Relationship Id="rId5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6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.bin"/><Relationship Id="rId2" Type="http://schemas.openxmlformats.org/officeDocument/2006/relationships/printerSettings" Target="../printerSettings/printerSettings72.bin"/><Relationship Id="rId1" Type="http://schemas.openxmlformats.org/officeDocument/2006/relationships/printerSettings" Target="../printerSettings/printerSettings71.bin"/><Relationship Id="rId6" Type="http://schemas.openxmlformats.org/officeDocument/2006/relationships/drawing" Target="../drawings/drawing15.xml"/><Relationship Id="rId5" Type="http://schemas.openxmlformats.org/officeDocument/2006/relationships/printerSettings" Target="../printerSettings/printerSettings75.bin"/><Relationship Id="rId4" Type="http://schemas.openxmlformats.org/officeDocument/2006/relationships/printerSettings" Target="../printerSettings/printerSettings7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8.bin"/><Relationship Id="rId2" Type="http://schemas.openxmlformats.org/officeDocument/2006/relationships/printerSettings" Target="../printerSettings/printerSettings77.bin"/><Relationship Id="rId1" Type="http://schemas.openxmlformats.org/officeDocument/2006/relationships/printerSettings" Target="../printerSettings/printerSettings76.bin"/><Relationship Id="rId6" Type="http://schemas.openxmlformats.org/officeDocument/2006/relationships/drawing" Target="../drawings/drawing16.xml"/><Relationship Id="rId5" Type="http://schemas.openxmlformats.org/officeDocument/2006/relationships/printerSettings" Target="../printerSettings/printerSettings80.bin"/><Relationship Id="rId4" Type="http://schemas.openxmlformats.org/officeDocument/2006/relationships/printerSettings" Target="../printerSettings/printerSettings7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3.bin"/><Relationship Id="rId2" Type="http://schemas.openxmlformats.org/officeDocument/2006/relationships/printerSettings" Target="../printerSettings/printerSettings82.bin"/><Relationship Id="rId1" Type="http://schemas.openxmlformats.org/officeDocument/2006/relationships/printerSettings" Target="../printerSettings/printerSettings81.bin"/><Relationship Id="rId6" Type="http://schemas.openxmlformats.org/officeDocument/2006/relationships/drawing" Target="../drawings/drawing17.xml"/><Relationship Id="rId5" Type="http://schemas.openxmlformats.org/officeDocument/2006/relationships/printerSettings" Target="../printerSettings/printerSettings85.bin"/><Relationship Id="rId4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2:K62"/>
  <sheetViews>
    <sheetView zoomScaleNormal="100" zoomScaleSheetLayoutView="90" workbookViewId="0">
      <selection activeCell="A5" sqref="A5:H5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8867187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4" thickBot="1" x14ac:dyDescent="0.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1/04/2026</v>
      </c>
    </row>
    <row r="6" spans="1:11" s="16" customFormat="1" ht="21.6" thickBot="1" x14ac:dyDescent="0.45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18"/>
    </row>
    <row r="7" spans="1:11" s="16" customFormat="1" x14ac:dyDescent="0.35">
      <c r="A7" s="51">
        <v>1</v>
      </c>
      <c r="B7" s="49">
        <v>842</v>
      </c>
      <c r="C7" s="21" t="s">
        <v>30</v>
      </c>
      <c r="D7" s="26">
        <v>46114</v>
      </c>
      <c r="E7" s="20">
        <v>2</v>
      </c>
      <c r="F7" s="19"/>
      <c r="G7" s="19"/>
      <c r="H7" s="19"/>
      <c r="I7" s="20">
        <v>2860927</v>
      </c>
      <c r="J7" s="20" t="s">
        <v>31</v>
      </c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52">
        <v>2</v>
      </c>
      <c r="B8" s="50">
        <v>316</v>
      </c>
      <c r="C8" s="47" t="s">
        <v>34</v>
      </c>
      <c r="D8" s="48">
        <v>46123</v>
      </c>
      <c r="E8" s="46">
        <v>2</v>
      </c>
      <c r="F8" s="46"/>
      <c r="G8" s="46"/>
      <c r="H8" s="46"/>
      <c r="J8" s="46" t="s">
        <v>35</v>
      </c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4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A5" sqref="A5:H5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 printArea="1">
      <selection activeCell="I8" sqref="I8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A5" sqref="A5:H5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A5" sqref="A5:H5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16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2:K62"/>
  <sheetViews>
    <sheetView zoomScaleNormal="100" zoomScaleSheetLayoutView="90" workbookViewId="0">
      <selection activeCell="C10" sqref="C10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3/04/2026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 t="s">
        <v>37</v>
      </c>
      <c r="C7" s="33" t="s">
        <v>36</v>
      </c>
      <c r="D7" s="25">
        <v>46117</v>
      </c>
      <c r="E7" s="19" t="s">
        <v>38</v>
      </c>
      <c r="F7" s="19"/>
      <c r="G7" s="19"/>
      <c r="I7" s="19">
        <v>2914775</v>
      </c>
      <c r="J7" s="19" t="s">
        <v>31</v>
      </c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/>
      <c r="C8" s="21"/>
      <c r="D8" s="26"/>
      <c r="E8" s="20"/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0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C10" sqref="C10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J13" sqref="J13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B8" sqref="B8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15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5/04/2026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/>
      <c r="C7" s="33"/>
      <c r="D7" s="25"/>
      <c r="E7" s="19"/>
      <c r="F7" s="19"/>
      <c r="G7" s="19"/>
      <c r="H7" s="19"/>
      <c r="I7" s="19"/>
      <c r="J7" s="19"/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/>
      <c r="C8" s="21"/>
      <c r="D8" s="26"/>
      <c r="E8" s="20"/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0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14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6/04/2026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/>
      <c r="C7" s="33"/>
      <c r="D7" s="25"/>
      <c r="E7" s="19"/>
      <c r="F7" s="19"/>
      <c r="G7" s="19"/>
      <c r="H7" s="19"/>
      <c r="I7" s="19"/>
      <c r="J7" s="19"/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/>
      <c r="C8" s="21"/>
      <c r="D8" s="26"/>
      <c r="E8" s="20"/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0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13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pageSetUpPr fitToPage="1"/>
  </sheetPr>
  <dimension ref="A2:K62"/>
  <sheetViews>
    <sheetView zoomScaleNormal="100" zoomScaleSheetLayoutView="90" workbookViewId="0">
      <selection activeCell="C11" sqref="C11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5.66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8/04/2026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42">
        <v>653</v>
      </c>
      <c r="C7" s="43" t="s">
        <v>32</v>
      </c>
      <c r="D7" s="44">
        <v>46132</v>
      </c>
      <c r="E7" s="45">
        <v>2</v>
      </c>
      <c r="F7" s="45">
        <v>2</v>
      </c>
      <c r="G7" s="19"/>
      <c r="H7" s="19"/>
      <c r="I7" s="45">
        <v>2927678</v>
      </c>
      <c r="J7" s="43" t="s">
        <v>31</v>
      </c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42">
        <v>341</v>
      </c>
      <c r="C8" s="20" t="s">
        <v>33</v>
      </c>
      <c r="D8" s="26">
        <v>46123</v>
      </c>
      <c r="E8" s="20">
        <v>2</v>
      </c>
      <c r="F8" s="20"/>
      <c r="G8" s="20"/>
      <c r="H8" s="20">
        <v>25282654</v>
      </c>
      <c r="I8" s="43" t="s">
        <v>31</v>
      </c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42">
        <v>302</v>
      </c>
      <c r="C9" s="53" t="s">
        <v>39</v>
      </c>
      <c r="D9" s="54">
        <v>46123</v>
      </c>
      <c r="E9" s="42" t="s">
        <v>41</v>
      </c>
      <c r="F9" s="42"/>
      <c r="G9" s="42"/>
      <c r="H9" s="42"/>
      <c r="I9" s="20"/>
      <c r="J9" s="46" t="s">
        <v>40</v>
      </c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4</v>
      </c>
      <c r="F17" s="17">
        <f>SUM(F7:F16)</f>
        <v>2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C11" sqref="C11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C11" sqref="C11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C11" sqref="C11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 topLeftCell="A4">
      <selection activeCell="H19" sqref="H19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12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10/04/2026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42">
        <v>341</v>
      </c>
      <c r="C7" s="20" t="s">
        <v>33</v>
      </c>
      <c r="D7" s="26">
        <v>46123</v>
      </c>
      <c r="E7" s="20" t="s">
        <v>41</v>
      </c>
      <c r="F7" s="20"/>
      <c r="G7" s="20"/>
      <c r="H7" s="20">
        <v>25282654</v>
      </c>
      <c r="I7" s="43" t="s">
        <v>31</v>
      </c>
      <c r="J7" s="20"/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>
        <v>878</v>
      </c>
      <c r="C8" s="20" t="s">
        <v>42</v>
      </c>
      <c r="D8" s="26">
        <v>46124</v>
      </c>
      <c r="E8" s="20" t="s">
        <v>41</v>
      </c>
      <c r="F8" s="20"/>
      <c r="G8" s="20"/>
      <c r="H8" s="20"/>
      <c r="I8" s="20" t="s">
        <v>43</v>
      </c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0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C11" sqref="C11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11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12/04/2026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51">
        <v>857</v>
      </c>
      <c r="C7" s="55" t="s">
        <v>45</v>
      </c>
      <c r="D7" s="56">
        <v>46125</v>
      </c>
      <c r="E7" s="51" t="s">
        <v>48</v>
      </c>
      <c r="F7" s="51"/>
      <c r="G7" s="51"/>
      <c r="H7" s="51"/>
      <c r="I7" s="51" t="s">
        <v>47</v>
      </c>
      <c r="J7" s="51" t="s">
        <v>44</v>
      </c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/>
      <c r="C8" s="21"/>
      <c r="D8" s="26"/>
      <c r="E8" s="20"/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0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I9" sqref="I9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10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13/04/2026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/>
      <c r="C7" s="55" t="s">
        <v>46</v>
      </c>
      <c r="D7" s="25"/>
      <c r="E7" s="19"/>
      <c r="F7" s="19"/>
      <c r="G7" s="19"/>
      <c r="H7" s="19"/>
      <c r="I7" s="19"/>
      <c r="J7" s="19"/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/>
      <c r="C8" s="55" t="s">
        <v>46</v>
      </c>
      <c r="D8" s="26"/>
      <c r="E8" s="20"/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0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9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15/04/2026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/>
      <c r="C7" s="55" t="s">
        <v>46</v>
      </c>
      <c r="D7" s="25"/>
      <c r="E7" s="19"/>
      <c r="F7" s="19"/>
      <c r="G7" s="19"/>
      <c r="H7" s="19"/>
      <c r="I7" s="19"/>
      <c r="J7" s="19"/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/>
      <c r="C8" s="55" t="s">
        <v>46</v>
      </c>
      <c r="D8" s="26"/>
      <c r="E8" s="20"/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0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B7" sqref="B7:J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8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53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17/04/2026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57">
        <v>603</v>
      </c>
      <c r="C7" s="57" t="s">
        <v>49</v>
      </c>
      <c r="D7" s="58">
        <v>46132</v>
      </c>
      <c r="E7" s="57">
        <v>2</v>
      </c>
      <c r="F7" s="57"/>
      <c r="G7" s="57"/>
      <c r="H7" s="57"/>
      <c r="I7" s="57" t="s">
        <v>57</v>
      </c>
      <c r="J7" s="57" t="s">
        <v>35</v>
      </c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45">
        <v>341</v>
      </c>
      <c r="C8" s="45" t="s">
        <v>50</v>
      </c>
      <c r="D8" s="44">
        <v>46135</v>
      </c>
      <c r="E8" s="45">
        <v>2</v>
      </c>
      <c r="F8" s="45"/>
      <c r="G8" s="45"/>
      <c r="H8" s="45"/>
      <c r="I8" s="45"/>
      <c r="J8" s="45" t="s">
        <v>43</v>
      </c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45">
        <v>865</v>
      </c>
      <c r="C9" s="45" t="s">
        <v>51</v>
      </c>
      <c r="D9" s="44">
        <v>46132</v>
      </c>
      <c r="E9" s="45">
        <v>2</v>
      </c>
      <c r="F9" s="45"/>
      <c r="G9" s="45"/>
      <c r="H9" s="45"/>
      <c r="I9" s="57" t="s">
        <v>57</v>
      </c>
      <c r="J9" s="45" t="s">
        <v>35</v>
      </c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45">
        <v>863</v>
      </c>
      <c r="C10" s="45" t="s">
        <v>52</v>
      </c>
      <c r="D10" s="44">
        <v>46132</v>
      </c>
      <c r="E10" s="45">
        <v>2</v>
      </c>
      <c r="F10" s="45"/>
      <c r="G10" s="45"/>
      <c r="H10" s="45"/>
      <c r="I10" s="57" t="s">
        <v>57</v>
      </c>
      <c r="J10" s="45" t="s">
        <v>35</v>
      </c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59" t="s">
        <v>54</v>
      </c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8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J11" sqref="J11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7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19/04/2026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/>
      <c r="C7" s="55" t="s">
        <v>46</v>
      </c>
      <c r="D7" s="25"/>
      <c r="E7" s="19"/>
      <c r="F7" s="19"/>
      <c r="G7" s="19"/>
      <c r="H7" s="19"/>
      <c r="I7" s="19"/>
      <c r="J7" s="19"/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/>
      <c r="C8" s="55" t="s">
        <v>46</v>
      </c>
      <c r="D8" s="26"/>
      <c r="E8" s="20"/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0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6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20/04/2026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>
        <v>817</v>
      </c>
      <c r="C7" s="33" t="s">
        <v>56</v>
      </c>
      <c r="D7" s="25">
        <v>46135</v>
      </c>
      <c r="E7" s="19">
        <v>2</v>
      </c>
      <c r="F7" s="19"/>
      <c r="G7" s="19"/>
      <c r="H7" s="19"/>
      <c r="I7" s="19"/>
      <c r="J7" s="19" t="s">
        <v>55</v>
      </c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/>
      <c r="C8" s="21"/>
      <c r="D8" s="26"/>
      <c r="E8" s="20"/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2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5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22/04/2026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>
        <v>817</v>
      </c>
      <c r="C7" s="33" t="s">
        <v>56</v>
      </c>
      <c r="D7" s="25">
        <v>46135</v>
      </c>
      <c r="E7" s="19" t="s">
        <v>59</v>
      </c>
      <c r="F7" s="19"/>
      <c r="G7" s="19"/>
      <c r="H7" s="19"/>
      <c r="I7" s="19"/>
      <c r="J7" s="19" t="s">
        <v>55</v>
      </c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/>
      <c r="C8" s="55" t="s">
        <v>46</v>
      </c>
      <c r="D8" s="26"/>
      <c r="E8" s="20"/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19"/>
      <c r="C9" s="55" t="s">
        <v>46</v>
      </c>
      <c r="D9" s="19"/>
      <c r="E9" s="19"/>
      <c r="F9" s="19"/>
      <c r="G9" s="19"/>
      <c r="H9" s="19"/>
      <c r="I9" s="19"/>
      <c r="J9" s="19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55" t="s">
        <v>58</v>
      </c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>
        <v>623</v>
      </c>
      <c r="C11" s="60" t="s">
        <v>60</v>
      </c>
      <c r="D11" s="26">
        <v>46139</v>
      </c>
      <c r="E11" s="20">
        <v>2</v>
      </c>
      <c r="F11" s="20"/>
      <c r="G11" s="20"/>
      <c r="H11" s="20"/>
      <c r="I11" s="20"/>
      <c r="J11" s="20" t="s">
        <v>35</v>
      </c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2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4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24/04/2026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/>
      <c r="C7" s="55" t="s">
        <v>46</v>
      </c>
      <c r="D7" s="25"/>
      <c r="E7" s="19"/>
      <c r="F7" s="19"/>
      <c r="G7" s="19"/>
      <c r="H7" s="19"/>
      <c r="I7" s="19"/>
      <c r="J7" s="19"/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 t="s">
        <v>61</v>
      </c>
      <c r="C8" s="60" t="s">
        <v>60</v>
      </c>
      <c r="D8" s="26">
        <v>46139</v>
      </c>
      <c r="E8" s="20">
        <v>2</v>
      </c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2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3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K62"/>
  <sheetViews>
    <sheetView zoomScaleNormal="100" zoomScaleSheetLayoutView="90" workbookViewId="0">
      <selection activeCell="E10" sqref="E10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26/04/2026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20" t="s">
        <v>23</v>
      </c>
      <c r="C7" s="21" t="s">
        <v>24</v>
      </c>
      <c r="D7" s="26">
        <v>46118</v>
      </c>
      <c r="E7" s="20" t="s">
        <v>66</v>
      </c>
      <c r="F7" s="20"/>
      <c r="G7" s="20"/>
      <c r="H7" s="1"/>
      <c r="I7" s="20">
        <v>3087184</v>
      </c>
      <c r="J7" s="20" t="s">
        <v>25</v>
      </c>
      <c r="K7" s="39" t="s">
        <v>29</v>
      </c>
    </row>
    <row r="8" spans="1:11" s="16" customFormat="1" x14ac:dyDescent="0.35">
      <c r="A8" s="14">
        <v>2</v>
      </c>
      <c r="B8" s="20" t="s">
        <v>61</v>
      </c>
      <c r="C8" s="21" t="s">
        <v>63</v>
      </c>
      <c r="D8" s="26">
        <v>46139</v>
      </c>
      <c r="E8" s="20">
        <v>2</v>
      </c>
      <c r="F8" s="20"/>
      <c r="G8" s="20"/>
      <c r="H8" s="20"/>
      <c r="I8" s="20"/>
      <c r="J8" s="20" t="s">
        <v>35</v>
      </c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>
        <v>324</v>
      </c>
      <c r="C9" s="21" t="s">
        <v>64</v>
      </c>
      <c r="D9" s="26">
        <v>46138</v>
      </c>
      <c r="E9" s="20" t="s">
        <v>59</v>
      </c>
      <c r="F9" s="20"/>
      <c r="G9" s="20"/>
      <c r="H9" s="20"/>
      <c r="I9" s="20"/>
      <c r="J9" s="20" t="s">
        <v>62</v>
      </c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59" t="s">
        <v>65</v>
      </c>
      <c r="D10" s="26"/>
      <c r="E10" s="20">
        <v>788</v>
      </c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790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K8" sqref="K8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K8" sqref="K8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K8" sqref="K8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E10" sqref="E10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2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>
    <pageSetUpPr fitToPage="1"/>
  </sheetPr>
  <dimension ref="A2:K62"/>
  <sheetViews>
    <sheetView zoomScaleNormal="100" zoomScaleSheetLayoutView="90" workbookViewId="0">
      <selection activeCell="B7" sqref="B7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27/04/2026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/>
      <c r="C7" s="55" t="s">
        <v>46</v>
      </c>
      <c r="D7" s="25"/>
      <c r="E7" s="19"/>
      <c r="F7" s="19"/>
      <c r="G7" s="19"/>
      <c r="H7" s="19"/>
      <c r="I7" s="19"/>
      <c r="J7" s="19"/>
      <c r="K7" s="39" t="str">
        <f>IF(OR(NOT(ISERROR(MATCH(RIGHT(B7,3)+0,#REF!,0))),NOT(ISERROR(MATCH(LEFT(B7,3)+0,#REF!,0)))),"No Post","")</f>
        <v/>
      </c>
    </row>
    <row r="8" spans="1:11" s="16" customFormat="1" x14ac:dyDescent="0.35">
      <c r="A8" s="14">
        <v>2</v>
      </c>
      <c r="B8" s="20"/>
      <c r="C8" s="21"/>
      <c r="D8" s="26"/>
      <c r="E8" s="20"/>
      <c r="F8" s="20"/>
      <c r="G8" s="20"/>
      <c r="H8" s="20"/>
      <c r="I8" s="20"/>
      <c r="J8" s="20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0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B7" sqref="B7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1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3">
    <pageSetUpPr fitToPage="1"/>
  </sheetPr>
  <dimension ref="A2:K62"/>
  <sheetViews>
    <sheetView tabSelected="1" zoomScaleNormal="100" zoomScaleSheetLayoutView="90" workbookViewId="0">
      <selection activeCell="H14" sqref="H14"/>
    </sheetView>
  </sheetViews>
  <sheetFormatPr defaultColWidth="9.109375" defaultRowHeight="18" x14ac:dyDescent="0.35"/>
  <cols>
    <col min="1" max="1" width="6.88671875" style="1" customWidth="1"/>
    <col min="2" max="2" width="11.109375" style="1" customWidth="1"/>
    <col min="3" max="3" width="38.88671875" style="1" customWidth="1"/>
    <col min="4" max="4" width="14.44140625" style="23" customWidth="1"/>
    <col min="5" max="6" width="9.6640625" style="1" customWidth="1"/>
    <col min="7" max="7" width="10.44140625" style="1" customWidth="1"/>
    <col min="8" max="8" width="12.33203125" style="1" customWidth="1"/>
    <col min="9" max="9" width="21.109375" style="1" bestFit="1" customWidth="1"/>
    <col min="10" max="10" width="27.33203125" style="1" customWidth="1"/>
    <col min="11" max="16384" width="9.109375" style="1"/>
  </cols>
  <sheetData>
    <row r="2" spans="1:11" x14ac:dyDescent="0.35">
      <c r="C2" s="2" t="s">
        <v>0</v>
      </c>
      <c r="D2" s="22"/>
      <c r="E2" s="3"/>
      <c r="F2" s="3"/>
    </row>
    <row r="3" spans="1:11" x14ac:dyDescent="0.35">
      <c r="F3" s="4"/>
    </row>
    <row r="4" spans="1:11" s="5" customFormat="1" thickBot="1" x14ac:dyDescent="0.4">
      <c r="C4" s="6"/>
      <c r="D4" s="24"/>
    </row>
    <row r="5" spans="1:11" s="15" customFormat="1" ht="23.4" x14ac:dyDescent="0.45">
      <c r="A5" s="61" t="s">
        <v>22</v>
      </c>
      <c r="B5" s="62"/>
      <c r="C5" s="62"/>
      <c r="D5" s="62"/>
      <c r="E5" s="62"/>
      <c r="F5" s="62"/>
      <c r="G5" s="62"/>
      <c r="H5" s="62"/>
      <c r="I5" s="34" t="s">
        <v>16</v>
      </c>
      <c r="J5" s="18" t="str">
        <f ca="1">CONCATENATE((MID(CELL("filename",J5),FIND("]",CELL("filename",J5))+1,255)),"/04/2026")</f>
        <v>29/04/2026</v>
      </c>
    </row>
    <row r="6" spans="1:11" s="16" customFormat="1" ht="18.600000000000001" thickBot="1" x14ac:dyDescent="0.4">
      <c r="A6" s="35"/>
      <c r="B6" s="36" t="s">
        <v>1</v>
      </c>
      <c r="C6" s="36" t="s">
        <v>2</v>
      </c>
      <c r="D6" s="37" t="s">
        <v>21</v>
      </c>
      <c r="E6" s="36" t="s">
        <v>17</v>
      </c>
      <c r="F6" s="36" t="s">
        <v>18</v>
      </c>
      <c r="G6" s="36" t="s">
        <v>3</v>
      </c>
      <c r="H6" s="36" t="s">
        <v>4</v>
      </c>
      <c r="I6" s="36" t="s">
        <v>19</v>
      </c>
      <c r="J6" s="38" t="s">
        <v>5</v>
      </c>
    </row>
    <row r="7" spans="1:11" s="16" customFormat="1" x14ac:dyDescent="0.35">
      <c r="A7" s="19">
        <v>1</v>
      </c>
      <c r="B7" s="19">
        <v>848</v>
      </c>
      <c r="C7" s="40" t="s">
        <v>26</v>
      </c>
      <c r="D7" s="25">
        <v>46145</v>
      </c>
      <c r="E7" s="19">
        <v>2</v>
      </c>
      <c r="F7" s="19"/>
      <c r="G7" s="19"/>
      <c r="H7" s="19"/>
      <c r="I7" s="41" t="s">
        <v>28</v>
      </c>
      <c r="J7" s="19" t="s">
        <v>27</v>
      </c>
      <c r="K7" s="39" t="s">
        <v>29</v>
      </c>
    </row>
    <row r="8" spans="1:11" s="16" customFormat="1" x14ac:dyDescent="0.35">
      <c r="A8" s="14">
        <v>2</v>
      </c>
      <c r="B8" s="19"/>
      <c r="C8" s="33"/>
      <c r="D8" s="25"/>
      <c r="E8" s="19"/>
      <c r="F8" s="19"/>
      <c r="G8" s="19"/>
      <c r="H8" s="19"/>
      <c r="I8" s="19"/>
      <c r="J8" s="19"/>
      <c r="K8" s="39" t="str">
        <f>IF(OR(NOT(ISERROR(MATCH(RIGHT(B8,3)+0,#REF!,0))),NOT(ISERROR(MATCH(LEFT(B8,3)+0,#REF!,0)))),"No Post","")</f>
        <v/>
      </c>
    </row>
    <row r="9" spans="1:11" s="16" customFormat="1" x14ac:dyDescent="0.35">
      <c r="A9" s="14">
        <v>3</v>
      </c>
      <c r="B9" s="20"/>
      <c r="C9" s="21"/>
      <c r="D9" s="26"/>
      <c r="E9" s="20"/>
      <c r="F9" s="20"/>
      <c r="G9" s="20"/>
      <c r="H9" s="20"/>
      <c r="I9" s="20"/>
      <c r="J9" s="20"/>
      <c r="K9" s="39" t="str">
        <f>IF(OR(NOT(ISERROR(MATCH(RIGHT(B9,3)+0,#REF!,0))),NOT(ISERROR(MATCH(LEFT(B9,3)+0,#REF!,0)))),"No Post","")</f>
        <v/>
      </c>
    </row>
    <row r="10" spans="1:11" s="16" customFormat="1" x14ac:dyDescent="0.35">
      <c r="A10" s="14">
        <v>4</v>
      </c>
      <c r="B10" s="20"/>
      <c r="C10" s="21"/>
      <c r="D10" s="26"/>
      <c r="E10" s="20"/>
      <c r="F10" s="20"/>
      <c r="G10" s="20"/>
      <c r="H10" s="20"/>
      <c r="I10" s="20"/>
      <c r="J10" s="20"/>
      <c r="K10" s="39" t="str">
        <f>IF(OR(NOT(ISERROR(MATCH(RIGHT(B10,3)+0,#REF!,0))),NOT(ISERROR(MATCH(LEFT(B10,3)+0,#REF!,0)))),"No Post","")</f>
        <v/>
      </c>
    </row>
    <row r="11" spans="1:11" s="16" customFormat="1" x14ac:dyDescent="0.35">
      <c r="A11" s="14">
        <v>5</v>
      </c>
      <c r="B11" s="20"/>
      <c r="C11" s="21"/>
      <c r="D11" s="26"/>
      <c r="E11" s="20"/>
      <c r="F11" s="20"/>
      <c r="G11" s="20"/>
      <c r="H11" s="20"/>
      <c r="I11" s="20"/>
      <c r="J11" s="20"/>
      <c r="K11" s="39" t="str">
        <f>IF(OR(NOT(ISERROR(MATCH(RIGHT(B11,3)+0,#REF!,0))),NOT(ISERROR(MATCH(LEFT(B11,3)+0,#REF!,0)))),"No Post","")</f>
        <v/>
      </c>
    </row>
    <row r="12" spans="1:11" s="16" customFormat="1" x14ac:dyDescent="0.35">
      <c r="A12" s="20">
        <v>6</v>
      </c>
      <c r="B12" s="20"/>
      <c r="C12" s="21"/>
      <c r="D12" s="26"/>
      <c r="E12" s="20"/>
      <c r="F12" s="20"/>
      <c r="G12" s="20"/>
      <c r="H12" s="20"/>
      <c r="I12" s="20"/>
      <c r="J12" s="20"/>
      <c r="K12" s="39" t="str">
        <f>IF(OR(NOT(ISERROR(MATCH(RIGHT(B12,3)+0,#REF!,0))),NOT(ISERROR(MATCH(LEFT(B12,3)+0,#REF!,0)))),"No Post","")</f>
        <v/>
      </c>
    </row>
    <row r="13" spans="1:11" s="16" customFormat="1" x14ac:dyDescent="0.35">
      <c r="A13" s="14">
        <v>7</v>
      </c>
      <c r="B13" s="20"/>
      <c r="C13" s="21"/>
      <c r="D13" s="26"/>
      <c r="E13" s="20"/>
      <c r="F13" s="20"/>
      <c r="G13" s="20"/>
      <c r="H13" s="20"/>
      <c r="I13" s="20"/>
      <c r="J13" s="20"/>
      <c r="K13" s="39" t="str">
        <f>IF(OR(NOT(ISERROR(MATCH(RIGHT(B13,3)+0,#REF!,0))),NOT(ISERROR(MATCH(LEFT(B13,3)+0,#REF!,0)))),"No Post","")</f>
        <v/>
      </c>
    </row>
    <row r="14" spans="1:11" s="16" customFormat="1" x14ac:dyDescent="0.35">
      <c r="A14" s="14">
        <v>8</v>
      </c>
      <c r="B14" s="20"/>
      <c r="C14" s="21"/>
      <c r="D14" s="26"/>
      <c r="E14" s="20"/>
      <c r="F14" s="20"/>
      <c r="G14" s="20"/>
      <c r="H14" s="20"/>
      <c r="I14" s="20"/>
      <c r="J14" s="20"/>
      <c r="K14" s="39" t="str">
        <f>IF(OR(NOT(ISERROR(MATCH(RIGHT(B14,3)+0,#REF!,0))),NOT(ISERROR(MATCH(LEFT(B14,3)+0,#REF!,0)))),"No Post","")</f>
        <v/>
      </c>
    </row>
    <row r="15" spans="1:11" s="16" customFormat="1" x14ac:dyDescent="0.35">
      <c r="A15" s="14">
        <v>9</v>
      </c>
      <c r="B15" s="20"/>
      <c r="C15" s="21"/>
      <c r="D15" s="26"/>
      <c r="E15" s="20"/>
      <c r="F15" s="20"/>
      <c r="G15" s="20"/>
      <c r="H15" s="20"/>
      <c r="I15" s="20"/>
      <c r="J15" s="20"/>
      <c r="K15" s="39" t="str">
        <f>IF(OR(NOT(ISERROR(MATCH(RIGHT(B15,3)+0,#REF!,0))),NOT(ISERROR(MATCH(LEFT(B15,3)+0,#REF!,0)))),"No Post","")</f>
        <v/>
      </c>
    </row>
    <row r="16" spans="1:11" s="16" customFormat="1" x14ac:dyDescent="0.35">
      <c r="A16" s="14">
        <v>10</v>
      </c>
      <c r="B16" s="20"/>
      <c r="C16" s="21"/>
      <c r="D16" s="26"/>
      <c r="E16" s="20"/>
      <c r="F16" s="20"/>
      <c r="G16" s="20"/>
      <c r="H16" s="20"/>
      <c r="I16" s="20"/>
      <c r="J16" s="20"/>
      <c r="K16" s="39" t="str">
        <f>IF(OR(NOT(ISERROR(MATCH(RIGHT(B16,3)+0,#REF!,0))),NOT(ISERROR(MATCH(LEFT(B16,3)+0,#REF!,0)))),"No Post","")</f>
        <v/>
      </c>
    </row>
    <row r="17" spans="2:7" ht="20.25" customHeight="1" x14ac:dyDescent="0.35">
      <c r="D17" s="27" t="s">
        <v>20</v>
      </c>
      <c r="E17" s="17">
        <f>SUM(E7:E16)</f>
        <v>2</v>
      </c>
      <c r="F17" s="17">
        <f>SUM(F7:F16)</f>
        <v>0</v>
      </c>
    </row>
    <row r="18" spans="2:7" ht="20.25" customHeight="1" x14ac:dyDescent="0.35"/>
    <row r="19" spans="2:7" ht="20.25" customHeight="1" x14ac:dyDescent="0.35"/>
    <row r="20" spans="2:7" ht="20.25" customHeight="1" x14ac:dyDescent="0.35">
      <c r="B20" t="s">
        <v>6</v>
      </c>
      <c r="C20"/>
      <c r="D20" s="28"/>
      <c r="E20"/>
      <c r="F20"/>
      <c r="G20"/>
    </row>
    <row r="21" spans="2:7" ht="20.25" customHeight="1" x14ac:dyDescent="0.35">
      <c r="B21" s="7" t="s">
        <v>7</v>
      </c>
      <c r="C21" s="7"/>
      <c r="D21" s="29"/>
      <c r="E21" s="7"/>
      <c r="F21" s="7"/>
      <c r="G21" s="7"/>
    </row>
    <row r="22" spans="2:7" ht="20.25" customHeight="1" x14ac:dyDescent="0.35">
      <c r="B22" s="7" t="s">
        <v>8</v>
      </c>
      <c r="C22" s="7"/>
      <c r="D22" s="29"/>
      <c r="E22" s="7"/>
      <c r="F22" s="7"/>
      <c r="G22" s="7"/>
    </row>
    <row r="23" spans="2:7" ht="20.25" customHeight="1" x14ac:dyDescent="0.35">
      <c r="B23" s="7" t="s">
        <v>9</v>
      </c>
      <c r="C23" s="7"/>
      <c r="D23" s="29"/>
      <c r="E23" s="7"/>
      <c r="F23" s="7"/>
      <c r="G23" s="7"/>
    </row>
    <row r="24" spans="2:7" x14ac:dyDescent="0.35">
      <c r="B24" s="7" t="s">
        <v>10</v>
      </c>
      <c r="C24" s="7"/>
      <c r="D24" s="29"/>
      <c r="E24" s="7"/>
      <c r="F24" s="7"/>
      <c r="G24" s="7"/>
    </row>
    <row r="25" spans="2:7" x14ac:dyDescent="0.35">
      <c r="B25" s="7" t="s">
        <v>11</v>
      </c>
      <c r="C25" s="7"/>
      <c r="D25" s="29"/>
      <c r="E25" s="7"/>
      <c r="F25" s="7"/>
      <c r="G25" s="7"/>
    </row>
    <row r="26" spans="2:7" x14ac:dyDescent="0.35">
      <c r="B26" s="7" t="s">
        <v>12</v>
      </c>
      <c r="C26" s="7"/>
      <c r="D26" s="29"/>
      <c r="E26" s="7"/>
      <c r="F26" s="7"/>
      <c r="G26" s="7"/>
    </row>
    <row r="27" spans="2:7" s="8" customFormat="1" ht="15.6" x14ac:dyDescent="0.3">
      <c r="B27" s="9" t="s">
        <v>13</v>
      </c>
      <c r="C27" s="9"/>
      <c r="D27" s="30"/>
      <c r="E27" s="9"/>
      <c r="F27" s="9"/>
    </row>
    <row r="28" spans="2:7" s="8" customFormat="1" ht="15.6" x14ac:dyDescent="0.3">
      <c r="B28" s="9" t="s">
        <v>14</v>
      </c>
      <c r="C28" s="9"/>
      <c r="D28" s="30"/>
      <c r="E28" s="9"/>
      <c r="F28" s="9"/>
    </row>
    <row r="29" spans="2:7" s="10" customFormat="1" ht="20.25" customHeight="1" x14ac:dyDescent="0.35">
      <c r="B29" s="11" t="s">
        <v>15</v>
      </c>
      <c r="C29" s="11"/>
      <c r="D29" s="31"/>
    </row>
    <row r="30" spans="2:7" customFormat="1" ht="14.4" x14ac:dyDescent="0.3">
      <c r="B30" s="12"/>
      <c r="C30" s="7"/>
      <c r="D30" s="29"/>
      <c r="E30" s="7"/>
      <c r="F30" s="7"/>
      <c r="G30" s="7"/>
    </row>
    <row r="31" spans="2:7" s="7" customFormat="1" ht="13.8" x14ac:dyDescent="0.3">
      <c r="D31" s="29"/>
    </row>
    <row r="32" spans="2:7" x14ac:dyDescent="0.35">
      <c r="B32" s="7"/>
      <c r="C32" s="7"/>
      <c r="D32" s="29"/>
      <c r="E32" s="7"/>
      <c r="F32" s="7"/>
      <c r="G32" s="7"/>
    </row>
    <row r="33" spans="2:7" x14ac:dyDescent="0.35">
      <c r="B33"/>
      <c r="C33"/>
      <c r="D33" s="28"/>
      <c r="E33"/>
      <c r="F33"/>
      <c r="G33"/>
    </row>
    <row r="34" spans="2:7" x14ac:dyDescent="0.35">
      <c r="B34" s="7"/>
      <c r="C34" s="7"/>
      <c r="D34" s="29"/>
      <c r="E34" s="7"/>
      <c r="F34" s="7"/>
      <c r="G34" s="7"/>
    </row>
    <row r="35" spans="2:7" x14ac:dyDescent="0.35">
      <c r="B35" s="7"/>
      <c r="C35" s="7"/>
      <c r="D35" s="29"/>
      <c r="E35" s="7"/>
      <c r="F35" s="7"/>
      <c r="G35" s="7"/>
    </row>
    <row r="36" spans="2:7" x14ac:dyDescent="0.35">
      <c r="B36" s="7"/>
      <c r="C36" s="7"/>
      <c r="D36" s="29"/>
      <c r="E36" s="7"/>
      <c r="F36" s="7"/>
      <c r="G36" s="7"/>
    </row>
    <row r="37" spans="2:7" x14ac:dyDescent="0.35">
      <c r="B37" s="7"/>
      <c r="C37" s="7"/>
      <c r="D37" s="29"/>
      <c r="E37" s="7"/>
      <c r="F37" s="7"/>
      <c r="G37" s="7"/>
    </row>
    <row r="38" spans="2:7" x14ac:dyDescent="0.35">
      <c r="B38" s="7"/>
      <c r="C38" s="7"/>
      <c r="D38" s="29"/>
      <c r="E38" s="7"/>
      <c r="F38" s="7"/>
      <c r="G38" s="7"/>
    </row>
    <row r="39" spans="2:7" x14ac:dyDescent="0.35">
      <c r="B39" s="7"/>
      <c r="C39" s="7"/>
      <c r="D39" s="29"/>
      <c r="E39" s="7"/>
      <c r="F39" s="7"/>
      <c r="G39" s="7"/>
    </row>
    <row r="40" spans="2:7" x14ac:dyDescent="0.35">
      <c r="B40" s="12"/>
      <c r="C40" s="7"/>
      <c r="D40" s="29"/>
      <c r="E40" s="7"/>
      <c r="F40" s="7"/>
      <c r="G40" s="7"/>
    </row>
    <row r="41" spans="2:7" x14ac:dyDescent="0.35">
      <c r="B41" s="7"/>
      <c r="C41" s="7"/>
      <c r="D41" s="29"/>
      <c r="E41" s="7"/>
      <c r="F41" s="7"/>
      <c r="G41" s="7"/>
    </row>
    <row r="43" spans="2:7" x14ac:dyDescent="0.35">
      <c r="B43" s="13"/>
      <c r="C43" s="13"/>
      <c r="D43" s="32"/>
      <c r="E43" s="13"/>
      <c r="F43" s="13"/>
      <c r="G43" s="13"/>
    </row>
    <row r="58" spans="2:7" x14ac:dyDescent="0.35">
      <c r="B58" s="7"/>
      <c r="C58" s="7"/>
      <c r="D58" s="29"/>
      <c r="E58" s="7"/>
      <c r="F58" s="7"/>
      <c r="G58" s="7"/>
    </row>
    <row r="59" spans="2:7" x14ac:dyDescent="0.35">
      <c r="B59" s="7"/>
      <c r="C59" s="7"/>
      <c r="D59" s="29"/>
      <c r="E59" s="7"/>
      <c r="F59" s="7"/>
      <c r="G59" s="7"/>
    </row>
    <row r="60" spans="2:7" x14ac:dyDescent="0.35">
      <c r="B60" s="7"/>
      <c r="C60" s="7"/>
      <c r="D60" s="29"/>
      <c r="E60" s="7"/>
      <c r="F60" s="7"/>
      <c r="G60" s="7"/>
    </row>
    <row r="61" spans="2:7" x14ac:dyDescent="0.35">
      <c r="B61" s="12"/>
      <c r="C61" s="7"/>
      <c r="D61" s="29"/>
      <c r="E61" s="7"/>
      <c r="F61" s="7"/>
      <c r="G61" s="7"/>
    </row>
    <row r="62" spans="2:7" x14ac:dyDescent="0.35">
      <c r="B62" s="7"/>
      <c r="C62" s="7"/>
      <c r="D62" s="29"/>
      <c r="E62" s="7"/>
      <c r="F62" s="7"/>
      <c r="G62" s="7"/>
    </row>
  </sheetData>
  <customSheetViews>
    <customSheetView guid="{59BEB36F-3673-4FB8-AB31-6A0A1EE06DAE}" fitToPage="1">
      <selection activeCell="H14" sqref="H14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1"/>
    </customSheetView>
    <customSheetView guid="{803A2874-D024-4BF6-8A62-1761EB45461C}" fitToPage="1">
      <selection activeCell="H14" sqref="H14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2"/>
    </customSheetView>
    <customSheetView guid="{58621584-C13D-47C7-BBB8-0E14741A7E96}" fitToPage="1">
      <selection activeCell="H14" sqref="H14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3"/>
    </customSheetView>
    <customSheetView guid="{2326BBD2-BB0A-45F4-AB1D-3FBB27200534}" showPageBreaks="1" fitToPage="1" printArea="1">
      <selection activeCell="H14" sqref="H14"/>
      <rowBreaks count="1" manualBreakCount="1">
        <brk id="30" min="1" max="8" man="1"/>
      </rowBreaks>
      <pageMargins left="0.7" right="0.7" top="0.75" bottom="0.75" header="0.3" footer="0.3"/>
      <pageSetup scale="75" fitToHeight="0" orientation="landscape" r:id="rId4"/>
    </customSheetView>
  </customSheetViews>
  <mergeCells count="1">
    <mergeCell ref="A5:H5"/>
  </mergeCells>
  <conditionalFormatting sqref="K7:K16">
    <cfRule type="containsText" dxfId="0" priority="1" operator="containsText" text="No Post">
      <formula>NOT(ISERROR(SEARCH("No Post",K7)))</formula>
    </cfRule>
  </conditionalFormatting>
  <pageMargins left="0.7" right="0.7" top="0.75" bottom="0.75" header="0.3" footer="0.3"/>
  <pageSetup scale="75" fitToHeight="0" orientation="landscape" r:id="rId5"/>
  <rowBreaks count="1" manualBreakCount="1">
    <brk id="30" min="1" max="8" man="1"/>
  </rowBreaks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1</vt:lpstr>
      <vt:lpstr>3</vt:lpstr>
      <vt:lpstr>5</vt:lpstr>
      <vt:lpstr>6</vt:lpstr>
      <vt:lpstr>8</vt:lpstr>
      <vt:lpstr>10</vt:lpstr>
      <vt:lpstr>12</vt:lpstr>
      <vt:lpstr>13</vt:lpstr>
      <vt:lpstr>15</vt:lpstr>
      <vt:lpstr>17</vt:lpstr>
      <vt:lpstr>19</vt:lpstr>
      <vt:lpstr>20</vt:lpstr>
      <vt:lpstr>22</vt:lpstr>
      <vt:lpstr>24</vt:lpstr>
      <vt:lpstr>26</vt:lpstr>
      <vt:lpstr>27</vt:lpstr>
      <vt:lpstr>29</vt:lpstr>
      <vt:lpstr>'1'!Print_Area</vt:lpstr>
      <vt:lpstr>'10'!Print_Area</vt:lpstr>
      <vt:lpstr>'12'!Print_Area</vt:lpstr>
      <vt:lpstr>'13'!Print_Area</vt:lpstr>
      <vt:lpstr>'15'!Print_Area</vt:lpstr>
      <vt:lpstr>'17'!Print_Area</vt:lpstr>
      <vt:lpstr>'19'!Print_Area</vt:lpstr>
      <vt:lpstr>'20'!Print_Area</vt:lpstr>
      <vt:lpstr>'22'!Print_Area</vt:lpstr>
      <vt:lpstr>'24'!Print_Area</vt:lpstr>
      <vt:lpstr>'26'!Print_Area</vt:lpstr>
      <vt:lpstr>'27'!Print_Area</vt:lpstr>
      <vt:lpstr>'29'!Print_Area</vt:lpstr>
      <vt:lpstr>'3'!Print_Area</vt:lpstr>
      <vt:lpstr>'5'!Print_Area</vt:lpstr>
      <vt:lpstr>'6'!Print_Area</vt:lpstr>
      <vt:lpstr>'8'!Print_Area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Assistant DiveCenter Manager</cp:lastModifiedBy>
  <cp:lastPrinted>2021-05-25T02:55:44Z</cp:lastPrinted>
  <dcterms:created xsi:type="dcterms:W3CDTF">2019-01-14T08:45:03Z</dcterms:created>
  <dcterms:modified xsi:type="dcterms:W3CDTF">2026-05-03T11:56:21Z</dcterms:modified>
</cp:coreProperties>
</file>