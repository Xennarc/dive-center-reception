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worksheets/wsSortMap1.xml" ContentType="application/vnd.ms-excel.wsSortMap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17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26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BOOKINGS\2026\04- April\"/>
    </mc:Choice>
  </mc:AlternateContent>
  <bookViews>
    <workbookView xWindow="0" yWindow="0" windowWidth="23040" windowHeight="9072" tabRatio="853" activeTab="2"/>
  </bookViews>
  <sheets>
    <sheet name="2" sheetId="1" r:id="rId1"/>
    <sheet name="4" sheetId="2" r:id="rId2"/>
    <sheet name="7" sheetId="3" r:id="rId3"/>
    <sheet name="9" sheetId="4" r:id="rId4"/>
    <sheet name="11" sheetId="5" r:id="rId5"/>
    <sheet name="14" sheetId="6" r:id="rId6"/>
    <sheet name="16" sheetId="7" r:id="rId7"/>
    <sheet name="18" sheetId="8" r:id="rId8"/>
    <sheet name="21" sheetId="9" r:id="rId9"/>
    <sheet name="23" sheetId="10" r:id="rId10"/>
    <sheet name="25" sheetId="11" r:id="rId11"/>
    <sheet name="28" sheetId="12" r:id="rId12"/>
    <sheet name="30" sheetId="13" r:id="rId13"/>
  </sheets>
  <definedNames>
    <definedName name="_xlnm.Print_Area" localSheetId="4">'11'!$A$1:$J$41</definedName>
    <definedName name="_xlnm.Print_Area" localSheetId="5">'14'!$A$1:$J$39</definedName>
    <definedName name="_xlnm.Print_Area" localSheetId="6">'16'!$A$1:$K$39</definedName>
    <definedName name="_xlnm.Print_Area" localSheetId="7">'18'!$A$1:$K$28</definedName>
    <definedName name="_xlnm.Print_Area" localSheetId="0">'2'!$A$1:$J$39</definedName>
    <definedName name="_xlnm.Print_Area" localSheetId="8">'21'!$A$1:$K$39</definedName>
    <definedName name="_xlnm.Print_Area" localSheetId="9">'23'!$A$1:$K$27</definedName>
    <definedName name="_xlnm.Print_Area" localSheetId="10">'25'!$A$1:$K$28</definedName>
    <definedName name="_xlnm.Print_Area" localSheetId="11">'28'!$A$1:$J$39</definedName>
    <definedName name="_xlnm.Print_Area" localSheetId="12">'30'!$A$1:$J$39</definedName>
    <definedName name="_xlnm.Print_Area" localSheetId="1">'4'!$A$1:$J$39</definedName>
    <definedName name="_xlnm.Print_Area" localSheetId="2">'7'!$A$1:$J$39</definedName>
    <definedName name="_xlnm.Print_Area" localSheetId="3">'9'!$A$1:$J$39</definedName>
    <definedName name="Z_3FD70E66_B699_4089_A2E2_369960B2F041_.wvu.PrintArea" localSheetId="4" hidden="1">'11'!$A$1:$J$41</definedName>
    <definedName name="Z_3FD70E66_B699_4089_A2E2_369960B2F041_.wvu.PrintArea" localSheetId="5" hidden="1">'14'!$A$1:$J$39</definedName>
    <definedName name="Z_3FD70E66_B699_4089_A2E2_369960B2F041_.wvu.PrintArea" localSheetId="6" hidden="1">'16'!$A$1:$K$39</definedName>
    <definedName name="Z_3FD70E66_B699_4089_A2E2_369960B2F041_.wvu.PrintArea" localSheetId="7" hidden="1">'18'!$A$1:$K$28</definedName>
    <definedName name="Z_3FD70E66_B699_4089_A2E2_369960B2F041_.wvu.PrintArea" localSheetId="0" hidden="1">'2'!$A$1:$J$39</definedName>
    <definedName name="Z_3FD70E66_B699_4089_A2E2_369960B2F041_.wvu.PrintArea" localSheetId="8" hidden="1">'21'!$A$1:$K$39</definedName>
    <definedName name="Z_3FD70E66_B699_4089_A2E2_369960B2F041_.wvu.PrintArea" localSheetId="9" hidden="1">'23'!$A$1:$K$27</definedName>
    <definedName name="Z_3FD70E66_B699_4089_A2E2_369960B2F041_.wvu.PrintArea" localSheetId="10" hidden="1">'25'!$A$1:$K$28</definedName>
    <definedName name="Z_3FD70E66_B699_4089_A2E2_369960B2F041_.wvu.PrintArea" localSheetId="11" hidden="1">'28'!$A$1:$J$39</definedName>
    <definedName name="Z_3FD70E66_B699_4089_A2E2_369960B2F041_.wvu.PrintArea" localSheetId="12" hidden="1">'30'!$A$1:$J$39</definedName>
    <definedName name="Z_3FD70E66_B699_4089_A2E2_369960B2F041_.wvu.PrintArea" localSheetId="1" hidden="1">'4'!$A$1:$J$39</definedName>
    <definedName name="Z_3FD70E66_B699_4089_A2E2_369960B2F041_.wvu.PrintArea" localSheetId="2" hidden="1">'7'!$A$1:$J$39</definedName>
    <definedName name="Z_3FD70E66_B699_4089_A2E2_369960B2F041_.wvu.PrintArea" localSheetId="3" hidden="1">'9'!$A$1:$J$39</definedName>
    <definedName name="Z_AA8333F4_A272_457D_BE6D_1B569A227B28_.wvu.PrintArea" localSheetId="4" hidden="1">'11'!$A$1:$J$41</definedName>
    <definedName name="Z_AA8333F4_A272_457D_BE6D_1B569A227B28_.wvu.PrintArea" localSheetId="5" hidden="1">'14'!$A$1:$J$39</definedName>
    <definedName name="Z_AA8333F4_A272_457D_BE6D_1B569A227B28_.wvu.PrintArea" localSheetId="6" hidden="1">'16'!$A$1:$K$39</definedName>
    <definedName name="Z_AA8333F4_A272_457D_BE6D_1B569A227B28_.wvu.PrintArea" localSheetId="7" hidden="1">'18'!$A$1:$K$28</definedName>
    <definedName name="Z_AA8333F4_A272_457D_BE6D_1B569A227B28_.wvu.PrintArea" localSheetId="0" hidden="1">'2'!$A$1:$J$39</definedName>
    <definedName name="Z_AA8333F4_A272_457D_BE6D_1B569A227B28_.wvu.PrintArea" localSheetId="8" hidden="1">'21'!$A$1:$K$39</definedName>
    <definedName name="Z_AA8333F4_A272_457D_BE6D_1B569A227B28_.wvu.PrintArea" localSheetId="9" hidden="1">'23'!$A$1:$K$27</definedName>
    <definedName name="Z_AA8333F4_A272_457D_BE6D_1B569A227B28_.wvu.PrintArea" localSheetId="10" hidden="1">'25'!$A$1:$K$28</definedName>
    <definedName name="Z_AA8333F4_A272_457D_BE6D_1B569A227B28_.wvu.PrintArea" localSheetId="11" hidden="1">'28'!$A$1:$J$39</definedName>
    <definedName name="Z_AA8333F4_A272_457D_BE6D_1B569A227B28_.wvu.PrintArea" localSheetId="12" hidden="1">'30'!$A$1:$J$39</definedName>
    <definedName name="Z_AA8333F4_A272_457D_BE6D_1B569A227B28_.wvu.PrintArea" localSheetId="1" hidden="1">'4'!$A$1:$J$39</definedName>
    <definedName name="Z_AA8333F4_A272_457D_BE6D_1B569A227B28_.wvu.PrintArea" localSheetId="2" hidden="1">'7'!$A$1:$J$39</definedName>
    <definedName name="Z_AA8333F4_A272_457D_BE6D_1B569A227B28_.wvu.PrintArea" localSheetId="3" hidden="1">'9'!$A$1:$J$39</definedName>
    <definedName name="Z_C196B21B_5907_4E7A_90A7_4D3D9BC207B9_.wvu.PrintArea" localSheetId="4" hidden="1">'11'!$A$1:$J$41</definedName>
    <definedName name="Z_C196B21B_5907_4E7A_90A7_4D3D9BC207B9_.wvu.PrintArea" localSheetId="5" hidden="1">'14'!$A$1:$J$39</definedName>
    <definedName name="Z_C196B21B_5907_4E7A_90A7_4D3D9BC207B9_.wvu.PrintArea" localSheetId="6" hidden="1">'16'!$A$1:$K$39</definedName>
    <definedName name="Z_C196B21B_5907_4E7A_90A7_4D3D9BC207B9_.wvu.PrintArea" localSheetId="7" hidden="1">'18'!$A$1:$K$28</definedName>
    <definedName name="Z_C196B21B_5907_4E7A_90A7_4D3D9BC207B9_.wvu.PrintArea" localSheetId="0" hidden="1">'2'!$A$1:$J$39</definedName>
    <definedName name="Z_C196B21B_5907_4E7A_90A7_4D3D9BC207B9_.wvu.PrintArea" localSheetId="8" hidden="1">'21'!$A$1:$K$39</definedName>
    <definedName name="Z_C196B21B_5907_4E7A_90A7_4D3D9BC207B9_.wvu.PrintArea" localSheetId="9" hidden="1">'23'!$A$1:$K$27</definedName>
    <definedName name="Z_C196B21B_5907_4E7A_90A7_4D3D9BC207B9_.wvu.PrintArea" localSheetId="10" hidden="1">'25'!$A$1:$K$28</definedName>
    <definedName name="Z_C196B21B_5907_4E7A_90A7_4D3D9BC207B9_.wvu.PrintArea" localSheetId="11" hidden="1">'28'!$A$1:$J$39</definedName>
    <definedName name="Z_C196B21B_5907_4E7A_90A7_4D3D9BC207B9_.wvu.PrintArea" localSheetId="12" hidden="1">'30'!$A$1:$J$39</definedName>
    <definedName name="Z_C196B21B_5907_4E7A_90A7_4D3D9BC207B9_.wvu.PrintArea" localSheetId="1" hidden="1">'4'!$A$1:$J$39</definedName>
    <definedName name="Z_C196B21B_5907_4E7A_90A7_4D3D9BC207B9_.wvu.PrintArea" localSheetId="2" hidden="1">'7'!$A$1:$J$39</definedName>
    <definedName name="Z_C196B21B_5907_4E7A_90A7_4D3D9BC207B9_.wvu.PrintArea" localSheetId="3" hidden="1">'9'!$A$1:$J$39</definedName>
    <definedName name="Z_E61425CB_9FE7_4F79_BE47_5DC477A1BA8E_.wvu.PrintArea" localSheetId="4" hidden="1">'11'!$A$1:$J$41</definedName>
    <definedName name="Z_E61425CB_9FE7_4F79_BE47_5DC477A1BA8E_.wvu.PrintArea" localSheetId="5" hidden="1">'14'!$A$1:$J$39</definedName>
    <definedName name="Z_E61425CB_9FE7_4F79_BE47_5DC477A1BA8E_.wvu.PrintArea" localSheetId="6" hidden="1">'16'!$A$1:$K$39</definedName>
    <definedName name="Z_E61425CB_9FE7_4F79_BE47_5DC477A1BA8E_.wvu.PrintArea" localSheetId="7" hidden="1">'18'!$A$1:$K$28</definedName>
    <definedName name="Z_E61425CB_9FE7_4F79_BE47_5DC477A1BA8E_.wvu.PrintArea" localSheetId="0" hidden="1">'2'!$A$1:$J$39</definedName>
    <definedName name="Z_E61425CB_9FE7_4F79_BE47_5DC477A1BA8E_.wvu.PrintArea" localSheetId="8" hidden="1">'21'!$A$1:$K$39</definedName>
    <definedName name="Z_E61425CB_9FE7_4F79_BE47_5DC477A1BA8E_.wvu.PrintArea" localSheetId="9" hidden="1">'23'!$A$1:$K$27</definedName>
    <definedName name="Z_E61425CB_9FE7_4F79_BE47_5DC477A1BA8E_.wvu.PrintArea" localSheetId="10" hidden="1">'25'!$A$1:$K$28</definedName>
    <definedName name="Z_E61425CB_9FE7_4F79_BE47_5DC477A1BA8E_.wvu.PrintArea" localSheetId="11" hidden="1">'28'!$A$1:$J$39</definedName>
    <definedName name="Z_E61425CB_9FE7_4F79_BE47_5DC477A1BA8E_.wvu.PrintArea" localSheetId="12" hidden="1">'30'!$A$1:$J$39</definedName>
    <definedName name="Z_E61425CB_9FE7_4F79_BE47_5DC477A1BA8E_.wvu.PrintArea" localSheetId="1" hidden="1">'4'!$A$1:$J$39</definedName>
    <definedName name="Z_E61425CB_9FE7_4F79_BE47_5DC477A1BA8E_.wvu.PrintArea" localSheetId="2" hidden="1">'7'!$A$1:$J$39</definedName>
    <definedName name="Z_E61425CB_9FE7_4F79_BE47_5DC477A1BA8E_.wvu.PrintArea" localSheetId="3" hidden="1">'9'!$A$1:$J$39</definedName>
  </definedNames>
  <calcPr calcId="162913" calcOnSave="0"/>
  <customWorkbookViews>
    <customWorkbookView name="Dive Centre Office - Personal View" guid="{AA8333F4-A272-457D-BE6D-1B569A227B28}" mergeInterval="0" personalView="1" maximized="1" xWindow="-9" yWindow="-9" windowWidth="1938" windowHeight="1038" tabRatio="853" activeSheetId="3"/>
    <customWorkbookView name="Dive Center - Personal View" guid="{3FD70E66-B699-4089-A2E2-369960B2F041}" mergeInterval="0" personalView="1" maximized="1" xWindow="-8" yWindow="-8" windowWidth="1382" windowHeight="744" tabRatio="853" activeSheetId="2"/>
    <customWorkbookView name="Dhigurah Water Sports - Personal View" guid="{E61425CB-9FE7-4F79-BE47-5DC477A1BA8E}" mergeInterval="0" personalView="1" maximized="1" xWindow="-8" yWindow="-8" windowWidth="1382" windowHeight="736" tabRatio="853" activeSheetId="1"/>
    <customWorkbookView name="Assistant DiveCenter Manager - Personal View" guid="{C196B21B-5907-4E7A-90A7-4D3D9BC207B9}" mergeInterval="0" personalView="1" maximized="1" xWindow="-9" yWindow="-9" windowWidth="1938" windowHeight="1038" tabRatio="853" activeSheetId="13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1" l="1"/>
  <c r="F16" i="11"/>
  <c r="L9" i="11"/>
  <c r="L8" i="11"/>
  <c r="L7" i="11"/>
  <c r="G16" i="8" l="1"/>
  <c r="F16" i="8"/>
  <c r="F27" i="4" l="1"/>
  <c r="E27" i="4"/>
  <c r="J5" i="13" l="1"/>
  <c r="J5" i="12"/>
  <c r="K5" i="11"/>
  <c r="K5" i="10"/>
  <c r="K5" i="9"/>
  <c r="K5" i="8"/>
  <c r="K5" i="7"/>
  <c r="J5" i="6"/>
  <c r="J5" i="5"/>
  <c r="J5" i="4"/>
  <c r="J5" i="3"/>
  <c r="J5" i="2"/>
  <c r="K26" i="13" l="1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26" i="12"/>
  <c r="K25" i="12"/>
  <c r="K24" i="12"/>
  <c r="K23" i="12"/>
  <c r="K22" i="12"/>
  <c r="K21" i="12"/>
  <c r="K20" i="12"/>
  <c r="K19" i="12"/>
  <c r="K18" i="12"/>
  <c r="K17" i="12"/>
  <c r="K16" i="12"/>
  <c r="K14" i="12"/>
  <c r="K13" i="12"/>
  <c r="K12" i="12"/>
  <c r="K11" i="12"/>
  <c r="K10" i="12"/>
  <c r="L15" i="11"/>
  <c r="L12" i="11"/>
  <c r="L14" i="10"/>
  <c r="L13" i="10"/>
  <c r="L12" i="10"/>
  <c r="L11" i="10"/>
  <c r="L10" i="10"/>
  <c r="L9" i="10"/>
  <c r="L8" i="10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15" i="8"/>
  <c r="L14" i="8"/>
  <c r="L13" i="8"/>
  <c r="L12" i="8"/>
  <c r="L11" i="8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K26" i="6"/>
  <c r="K25" i="6"/>
  <c r="K24" i="6"/>
  <c r="K23" i="6"/>
  <c r="K22" i="6"/>
  <c r="K21" i="6"/>
  <c r="K20" i="6"/>
  <c r="K19" i="6"/>
  <c r="K18" i="6"/>
  <c r="K17" i="6"/>
  <c r="K16" i="6"/>
  <c r="K15" i="6"/>
  <c r="K13" i="6"/>
  <c r="K8" i="6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2" i="5"/>
  <c r="K11" i="5"/>
  <c r="K10" i="5"/>
  <c r="K9" i="5"/>
  <c r="K8" i="5"/>
  <c r="K7" i="5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E27" i="2" l="1"/>
  <c r="F27" i="1" l="1"/>
  <c r="E27" i="1"/>
  <c r="F27" i="2"/>
  <c r="F27" i="3"/>
  <c r="E27" i="3"/>
  <c r="F27" i="12"/>
  <c r="E27" i="12"/>
  <c r="F29" i="5"/>
  <c r="E29" i="5"/>
  <c r="F27" i="6"/>
  <c r="E27" i="6"/>
  <c r="G27" i="7"/>
  <c r="F27" i="7"/>
  <c r="G27" i="9"/>
  <c r="F27" i="9"/>
  <c r="G15" i="10"/>
  <c r="F15" i="10"/>
  <c r="F27" i="13"/>
  <c r="E27" i="13"/>
  <c r="L7" i="10" l="1"/>
  <c r="K26" i="1"/>
</calcChain>
</file>

<file path=xl/sharedStrings.xml><?xml version="1.0" encoding="utf-8"?>
<sst xmlns="http://schemas.openxmlformats.org/spreadsheetml/2006/main" count="465" uniqueCount="122">
  <si>
    <t xml:space="preserve">Note :  we require a booking  of 4 guests minimum </t>
  </si>
  <si>
    <r>
      <rPr>
        <b/>
        <sz val="18"/>
        <color theme="1"/>
        <rFont val="Calibri"/>
        <family val="2"/>
        <scheme val="minor"/>
      </rPr>
      <t xml:space="preserve">Date: </t>
    </r>
    <r>
      <rPr>
        <sz val="18"/>
        <color theme="1"/>
        <rFont val="Calibri"/>
        <family val="2"/>
        <scheme val="minor"/>
      </rPr>
      <t xml:space="preserve">                 </t>
    </r>
  </si>
  <si>
    <t>Room No:</t>
  </si>
  <si>
    <t>Guest Name</t>
  </si>
  <si>
    <t>Liability</t>
  </si>
  <si>
    <t>Bill No:</t>
  </si>
  <si>
    <t>Staff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</si>
  <si>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</si>
  <si>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All prices are per person, in US $ and subject to 10% Service Charge and 12% GST </t>
  </si>
  <si>
    <t xml:space="preserve">All activity programs are subject to weather conditions and might be cancelled on short notice 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</si>
  <si>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</si>
  <si>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</si>
  <si>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 xml:space="preserve">Any lost or damaged equipment will be charged </t>
  </si>
  <si>
    <t xml:space="preserve">Sunset Activities: Please make your booking latest the same day before 12 O'clock </t>
  </si>
  <si>
    <t xml:space="preserve">Please note the following cancellation fees:  </t>
  </si>
  <si>
    <t xml:space="preserve"> A cancellation charge of 100% of the activity price will apply for NO SHOW. </t>
  </si>
  <si>
    <t xml:space="preserve"> Thank you for your understanding </t>
  </si>
  <si>
    <t>Child</t>
  </si>
  <si>
    <t>TOTAL</t>
  </si>
  <si>
    <t>Adults</t>
  </si>
  <si>
    <t>Remarks</t>
  </si>
  <si>
    <t>Departure</t>
  </si>
  <si>
    <t>SNORKELING EXCURSION  (MAX 10PAX)  USD$50PP  14:00 TO 15:30</t>
  </si>
  <si>
    <t>Prebooking</t>
  </si>
  <si>
    <t>Mr. Emmanuelle Vetu Coste</t>
  </si>
  <si>
    <t>Monica/Vifau</t>
  </si>
  <si>
    <t>Mrs. Mireille Vetu</t>
  </si>
  <si>
    <t>Mr. Sylviane Coste</t>
  </si>
  <si>
    <t>Mr Matthew Stubbs</t>
  </si>
  <si>
    <t>Faiha/Monica</t>
  </si>
  <si>
    <t>laura furnival</t>
  </si>
  <si>
    <t>Vifau/Shamrath</t>
  </si>
  <si>
    <t>OLD</t>
  </si>
  <si>
    <t>Mr. Martin Fairhurst</t>
  </si>
  <si>
    <t>Mrs Karen Messer</t>
  </si>
  <si>
    <t>MS. HONG MEI</t>
  </si>
  <si>
    <t>3249933, 3249932-TRMD</t>
  </si>
  <si>
    <t>Shamrath/Tarush</t>
  </si>
  <si>
    <t>Rahil</t>
  </si>
  <si>
    <t>Jan Jensen</t>
  </si>
  <si>
    <t>Nico Alena</t>
  </si>
  <si>
    <t>Faiha</t>
  </si>
  <si>
    <t>BOOKING CLOSED</t>
  </si>
  <si>
    <t>Olaf Enzenross</t>
  </si>
  <si>
    <t>CXL4</t>
  </si>
  <si>
    <t>Daniel Cotterill</t>
  </si>
  <si>
    <t>Aiperi/Tarush</t>
  </si>
  <si>
    <t>Artem Iushmanov</t>
  </si>
  <si>
    <t>cxl3</t>
  </si>
  <si>
    <t>cxl1</t>
  </si>
  <si>
    <t>Steven Woods</t>
  </si>
  <si>
    <t>Archana/Tarush</t>
  </si>
  <si>
    <t>Sergei Miroshnichenko</t>
  </si>
  <si>
    <t>Aiperi/Maaji</t>
  </si>
  <si>
    <t>Mr. Erik Fitzgerald</t>
  </si>
  <si>
    <t>Tarush</t>
  </si>
  <si>
    <t>CXL 2</t>
  </si>
  <si>
    <t>Rahil/Faiha</t>
  </si>
  <si>
    <t>Walid Rouag</t>
  </si>
  <si>
    <t xml:space="preserve">Mark Curant </t>
  </si>
  <si>
    <t xml:space="preserve">Hui Ju </t>
  </si>
  <si>
    <t>Rahil/UV</t>
  </si>
  <si>
    <t>cxl2</t>
  </si>
  <si>
    <t>Roman Chernitsyn</t>
  </si>
  <si>
    <t>Astrid/Maaji</t>
  </si>
  <si>
    <t>Carl Duckworth</t>
  </si>
  <si>
    <t>Rahil/Aiperi</t>
  </si>
  <si>
    <t>Andrei Kiskichev</t>
  </si>
  <si>
    <t>Anni</t>
  </si>
  <si>
    <t>Borja Garcia Sousa</t>
  </si>
  <si>
    <t>Maaji</t>
  </si>
  <si>
    <t>Jenny/Aiperi</t>
  </si>
  <si>
    <t>Aneem</t>
  </si>
  <si>
    <t>Mrs. Kimberly Stoller</t>
  </si>
  <si>
    <t>SAI</t>
  </si>
  <si>
    <t>Florent Arcangeli</t>
  </si>
  <si>
    <t>Shaifan</t>
  </si>
  <si>
    <t>Anthony Meunier</t>
  </si>
  <si>
    <t>Maria Samperiz Cerezo</t>
  </si>
  <si>
    <t>Mario Cervantee Jimener</t>
  </si>
  <si>
    <t>Jorge Juan Bermejo Celaa</t>
  </si>
  <si>
    <t>Fernando Perez Morlales</t>
  </si>
  <si>
    <t>328/339</t>
  </si>
  <si>
    <t>316/335</t>
  </si>
  <si>
    <t>324/337</t>
  </si>
  <si>
    <t>Ross Garcia Collado</t>
  </si>
  <si>
    <t>Laura Bavastrelli</t>
  </si>
  <si>
    <t>FOC don't make bills</t>
  </si>
  <si>
    <t>PAI</t>
  </si>
  <si>
    <t>No Post</t>
  </si>
  <si>
    <t>Jan Krajicek</t>
  </si>
  <si>
    <t>Carsten Sattel</t>
  </si>
  <si>
    <t>Hongwei Luo</t>
  </si>
  <si>
    <t>Vincent Jin</t>
  </si>
  <si>
    <t>Harun Keskin</t>
  </si>
  <si>
    <t>Win/Maaji</t>
  </si>
  <si>
    <t>Tatjana Shadeck</t>
  </si>
  <si>
    <t>Simone Brida</t>
  </si>
  <si>
    <t>CXL2</t>
  </si>
  <si>
    <t>NO POST</t>
  </si>
  <si>
    <t>Markus Schulte</t>
  </si>
  <si>
    <t>Alix Lefevre</t>
  </si>
  <si>
    <t>Booking Closed</t>
  </si>
  <si>
    <t>William Fougeu</t>
  </si>
  <si>
    <t>685/852</t>
  </si>
  <si>
    <t>Aiperi/Faiha</t>
  </si>
  <si>
    <t>Mike Mosbacher</t>
  </si>
  <si>
    <t>Azizul Izwan</t>
  </si>
  <si>
    <t>Win/Faiha</t>
  </si>
  <si>
    <t>Yawei Lu</t>
  </si>
  <si>
    <t>Xin Wang</t>
  </si>
  <si>
    <t>Yuping Shi</t>
  </si>
  <si>
    <t>Meiling Li</t>
  </si>
  <si>
    <t>CXL1</t>
  </si>
  <si>
    <t>601/847</t>
  </si>
  <si>
    <t>2774700 (TRMD)</t>
  </si>
  <si>
    <t>3012693 (TRMD)</t>
  </si>
  <si>
    <t>3012695 (TRMD)</t>
  </si>
  <si>
    <t>call around 10:15 to inform sea condition</t>
  </si>
  <si>
    <t>Yihe Huang</t>
  </si>
  <si>
    <t>Xuan</t>
  </si>
  <si>
    <t>Pierce, Christina Lynn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</si>
</sst>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</font>
    <font>
      <b/>
      <sz val="10"/>
      <color rgb="FF000000"/>
      <name val="Verdana"/>
      <family val="2"/>
    </font>
    <font>
      <sz val="11"/>
      <color rgb="FF4F3629"/>
      <name val="Arial"/>
      <family val="2"/>
    </font>
    <font>
      <sz val="11"/>
      <color theme="1"/>
      <name val="Arial"/>
      <family val="2"/>
    </font>
    <font>
      <i/>
      <sz val="14"/>
      <color theme="1"/>
      <name val="Calibri"/>
      <family val="2"/>
      <scheme val="minor"/>
    </font>
    <font>
      <strike/>
      <sz val="14"/>
      <color theme="1"/>
      <name val="Calibri"/>
      <family val="2"/>
      <scheme val="minor"/>
    </font>
    <font>
      <b/>
      <sz val="11"/>
      <color rgb="FF4F362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 indent="14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8" fillId="2" borderId="0" xfId="0" applyFont="1" applyFill="1"/>
    <xf numFmtId="0" fontId="8" fillId="0" borderId="0" xfId="0" applyFont="1"/>
    <xf numFmtId="0" fontId="9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5" fillId="0" borderId="3" xfId="0" applyFont="1" applyBorder="1"/>
    <xf numFmtId="0" fontId="2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14" fontId="2" fillId="2" borderId="0" xfId="0" applyNumberFormat="1" applyFont="1" applyFill="1"/>
    <xf numFmtId="14" fontId="2" fillId="0" borderId="0" xfId="0" applyNumberFormat="1" applyFont="1"/>
    <xf numFmtId="14" fontId="3" fillId="0" borderId="0" xfId="0" applyNumberFormat="1" applyFont="1"/>
    <xf numFmtId="14" fontId="4" fillId="0" borderId="3" xfId="0" applyNumberFormat="1" applyFont="1" applyBorder="1"/>
    <xf numFmtId="14" fontId="3" fillId="3" borderId="6" xfId="0" applyNumberFormat="1" applyFont="1" applyFill="1" applyBorder="1" applyAlignment="1">
      <alignment horizontal="center"/>
    </xf>
    <xf numFmtId="14" fontId="2" fillId="3" borderId="8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4" fontId="0" fillId="0" borderId="0" xfId="0" applyNumberFormat="1"/>
    <xf numFmtId="14" fontId="7" fillId="0" borderId="0" xfId="0" applyNumberFormat="1" applyFont="1"/>
    <xf numFmtId="14" fontId="8" fillId="2" borderId="0" xfId="0" applyNumberFormat="1" applyFont="1" applyFill="1"/>
    <xf numFmtId="14" fontId="9" fillId="0" borderId="0" xfId="0" applyNumberFormat="1" applyFont="1"/>
    <xf numFmtId="14" fontId="3" fillId="0" borderId="0" xfId="0" applyNumberFormat="1" applyFont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3" fillId="0" borderId="0" xfId="0" applyFont="1"/>
    <xf numFmtId="0" fontId="14" fillId="0" borderId="0" xfId="0" applyFont="1"/>
    <xf numFmtId="14" fontId="2" fillId="3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top"/>
    </xf>
    <xf numFmtId="0" fontId="17" fillId="0" borderId="1" xfId="0" applyFont="1" applyFill="1" applyBorder="1" applyAlignment="1">
      <alignment horizontal="left" vertical="top"/>
    </xf>
    <xf numFmtId="14" fontId="17" fillId="0" borderId="1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 vertical="top"/>
    </xf>
    <xf numFmtId="0" fontId="2" fillId="4" borderId="1" xfId="0" applyFont="1" applyFill="1" applyBorder="1"/>
    <xf numFmtId="0" fontId="2" fillId="4" borderId="8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3" borderId="8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4" fillId="0" borderId="9" xfId="0" applyFont="1" applyBorder="1"/>
    <xf numFmtId="0" fontId="2" fillId="3" borderId="10" xfId="0" applyFont="1" applyFill="1" applyBorder="1" applyAlignment="1">
      <alignment horizontal="center"/>
    </xf>
    <xf numFmtId="0" fontId="2" fillId="3" borderId="8" xfId="0" applyFont="1" applyFill="1" applyBorder="1"/>
    <xf numFmtId="0" fontId="2" fillId="7" borderId="1" xfId="0" applyFont="1" applyFill="1" applyBorder="1"/>
    <xf numFmtId="0" fontId="18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/>
    <xf numFmtId="0" fontId="2" fillId="4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10" borderId="1" xfId="0" applyFont="1" applyFill="1" applyBorder="1"/>
    <xf numFmtId="0" fontId="3" fillId="3" borderId="11" xfId="0" applyFont="1" applyFill="1" applyBorder="1" applyAlignment="1">
      <alignment horizontal="center"/>
    </xf>
    <xf numFmtId="14" fontId="3" fillId="3" borderId="11" xfId="0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15" fillId="0" borderId="1" xfId="0" applyFont="1" applyBorder="1"/>
    <xf numFmtId="0" fontId="19" fillId="0" borderId="1" xfId="0" applyFont="1" applyBorder="1"/>
    <xf numFmtId="0" fontId="15" fillId="0" borderId="1" xfId="0" applyFont="1" applyBorder="1" applyAlignment="1">
      <alignment vertical="center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21" Type="http://schemas.openxmlformats.org/officeDocument/2006/relationships/usernames" Target="revisions/userNam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2199FC-23D4-438F-BB9A-052E0ABB5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59BB4B-8E8B-46C0-8C08-E07AE0F85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0F73D7-5F65-4F21-AB07-90989219C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7238DD-F9BC-4306-A84F-8ABC4EA9C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96898-B2AC-4D73-874F-0992D38D2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0F3D5B-7ED2-4E90-A93A-74EABF2CD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CD909C-F19E-48CD-88CE-C625F8C8C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50D889-0291-43AC-BF44-D1C37F0AE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09FA9F-2487-4467-BC17-46B406BE2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84FE48-768C-4488-B392-1369697AD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D4CD9-3AC9-4410-AC3A-2DB086312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25AB29-5F8C-439E-A9D0-A5BF06389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3</xdr:col>
      <xdr:colOff>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B89872-909E-4580-8E2B-1D57DEED9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7</xdr:col>
      <xdr:colOff>1200151</xdr:colOff>
      <xdr:row>0</xdr:row>
      <xdr:rowOff>152401</xdr:rowOff>
    </xdr:from>
    <xdr:to>
      <xdr:col>9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FDFDCB-D1AB-4A0D-AF85-1484CDF5D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3</xdr:col>
      <xdr:colOff>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B60F8B-4F4F-4B2A-8E7A-E785588AA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7</xdr:col>
      <xdr:colOff>1200151</xdr:colOff>
      <xdr:row>0</xdr:row>
      <xdr:rowOff>152401</xdr:rowOff>
    </xdr:from>
    <xdr:to>
      <xdr:col>9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8E5CA7-59C2-4C8D-A9B6-A4080E02A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3</xdr:col>
      <xdr:colOff>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E8F345-29F7-4618-99A4-7724EE7D9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7</xdr:col>
      <xdr:colOff>1200151</xdr:colOff>
      <xdr:row>0</xdr:row>
      <xdr:rowOff>152401</xdr:rowOff>
    </xdr:from>
    <xdr:to>
      <xdr:col>9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38FB5C-54E3-4FE8-AA7F-98148B475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807721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1D7D7D-3A51-471E-917C-B9BA5E719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7</xdr:col>
      <xdr:colOff>1200151</xdr:colOff>
      <xdr:row>0</xdr:row>
      <xdr:rowOff>152401</xdr:rowOff>
    </xdr:from>
    <xdr:to>
      <xdr:col>9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94BFF1-8495-4A20-B0C5-AED9D593E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3</xdr:col>
      <xdr:colOff>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7</xdr:col>
      <xdr:colOff>1200151</xdr:colOff>
      <xdr:row>0</xdr:row>
      <xdr:rowOff>152401</xdr:rowOff>
    </xdr:from>
    <xdr:to>
      <xdr:col>9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4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DE8DF8-E6EF-41C0-864B-F6AF73480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830512-6A3E-446D-886C-0E837AAC1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E5E30-DFD5-4DAC-940B-C27CCA7B1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C2F7EC-8DD2-4CB9-A898-102B5EEA6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17" Type="http://schemas.openxmlformats.org/officeDocument/2006/relationships/revisionLog" Target="revisionLog117.xml"/><Relationship Id="rId21" Type="http://schemas.openxmlformats.org/officeDocument/2006/relationships/revisionLog" Target="revisionLog21.xml"/><Relationship Id="rId42" Type="http://schemas.openxmlformats.org/officeDocument/2006/relationships/revisionLog" Target="revisionLog42.xml"/><Relationship Id="rId63" Type="http://schemas.openxmlformats.org/officeDocument/2006/relationships/revisionLog" Target="revisionLog63.xml"/><Relationship Id="rId84" Type="http://schemas.openxmlformats.org/officeDocument/2006/relationships/revisionLog" Target="revisionLog84.xml"/><Relationship Id="rId47" Type="http://schemas.openxmlformats.org/officeDocument/2006/relationships/revisionLog" Target="revisionLog47.xml"/><Relationship Id="rId68" Type="http://schemas.openxmlformats.org/officeDocument/2006/relationships/revisionLog" Target="revisionLog68.xml"/><Relationship Id="rId89" Type="http://schemas.openxmlformats.org/officeDocument/2006/relationships/revisionLog" Target="revisionLog89.xml"/><Relationship Id="rId112" Type="http://schemas.openxmlformats.org/officeDocument/2006/relationships/revisionLog" Target="revisionLog112.xml"/><Relationship Id="rId133" Type="http://schemas.openxmlformats.org/officeDocument/2006/relationships/revisionLog" Target="revisionLog133.xml"/><Relationship Id="rId16" Type="http://schemas.openxmlformats.org/officeDocument/2006/relationships/revisionLog" Target="revisionLog16.xml"/><Relationship Id="rId107" Type="http://schemas.openxmlformats.org/officeDocument/2006/relationships/revisionLog" Target="revisionLog107.xml"/><Relationship Id="rId11" Type="http://schemas.openxmlformats.org/officeDocument/2006/relationships/revisionLog" Target="revisionLog11.xml"/><Relationship Id="rId32" Type="http://schemas.openxmlformats.org/officeDocument/2006/relationships/revisionLog" Target="revisionLog32.xml"/><Relationship Id="rId37" Type="http://schemas.openxmlformats.org/officeDocument/2006/relationships/revisionLog" Target="revisionLog37.xml"/><Relationship Id="rId53" Type="http://schemas.openxmlformats.org/officeDocument/2006/relationships/revisionLog" Target="revisionLog53.xml"/><Relationship Id="rId58" Type="http://schemas.openxmlformats.org/officeDocument/2006/relationships/revisionLog" Target="revisionLog58.xml"/><Relationship Id="rId74" Type="http://schemas.openxmlformats.org/officeDocument/2006/relationships/revisionLog" Target="revisionLog74.xml"/><Relationship Id="rId79" Type="http://schemas.openxmlformats.org/officeDocument/2006/relationships/revisionLog" Target="revisionLog79.xml"/><Relationship Id="rId102" Type="http://schemas.openxmlformats.org/officeDocument/2006/relationships/revisionLog" Target="revisionLog102.xml"/><Relationship Id="rId123" Type="http://schemas.openxmlformats.org/officeDocument/2006/relationships/revisionLog" Target="revisionLog123.xml"/><Relationship Id="rId128" Type="http://schemas.openxmlformats.org/officeDocument/2006/relationships/revisionLog" Target="revisionLog128.xml"/><Relationship Id="rId95" Type="http://schemas.openxmlformats.org/officeDocument/2006/relationships/revisionLog" Target="revisionLog95.xml"/><Relationship Id="rId90" Type="http://schemas.openxmlformats.org/officeDocument/2006/relationships/revisionLog" Target="revisionLog90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43" Type="http://schemas.openxmlformats.org/officeDocument/2006/relationships/revisionLog" Target="revisionLog43.xml"/><Relationship Id="rId48" Type="http://schemas.openxmlformats.org/officeDocument/2006/relationships/revisionLog" Target="revisionLog48.xml"/><Relationship Id="rId64" Type="http://schemas.openxmlformats.org/officeDocument/2006/relationships/revisionLog" Target="revisionLog64.xml"/><Relationship Id="rId69" Type="http://schemas.openxmlformats.org/officeDocument/2006/relationships/revisionLog" Target="revisionLog69.xml"/><Relationship Id="rId113" Type="http://schemas.openxmlformats.org/officeDocument/2006/relationships/revisionLog" Target="revisionLog113.xml"/><Relationship Id="rId118" Type="http://schemas.openxmlformats.org/officeDocument/2006/relationships/revisionLog" Target="revisionLog118.xml"/><Relationship Id="rId134" Type="http://schemas.openxmlformats.org/officeDocument/2006/relationships/revisionLog" Target="revisionLog134.xml"/><Relationship Id="rId80" Type="http://schemas.openxmlformats.org/officeDocument/2006/relationships/revisionLog" Target="revisionLog80.xml"/><Relationship Id="rId85" Type="http://schemas.openxmlformats.org/officeDocument/2006/relationships/revisionLog" Target="revisionLog85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59" Type="http://schemas.openxmlformats.org/officeDocument/2006/relationships/revisionLog" Target="revisionLog59.xml"/><Relationship Id="rId103" Type="http://schemas.openxmlformats.org/officeDocument/2006/relationships/revisionLog" Target="revisionLog103.xml"/><Relationship Id="rId108" Type="http://schemas.openxmlformats.org/officeDocument/2006/relationships/revisionLog" Target="revisionLog108.xml"/><Relationship Id="rId124" Type="http://schemas.openxmlformats.org/officeDocument/2006/relationships/revisionLog" Target="revisionLog124.xml"/><Relationship Id="rId129" Type="http://schemas.openxmlformats.org/officeDocument/2006/relationships/revisionLog" Target="revisionLog129.xml"/><Relationship Id="rId54" Type="http://schemas.openxmlformats.org/officeDocument/2006/relationships/revisionLog" Target="revisionLog54.xml"/><Relationship Id="rId70" Type="http://schemas.openxmlformats.org/officeDocument/2006/relationships/revisionLog" Target="revisionLog70.xml"/><Relationship Id="rId75" Type="http://schemas.openxmlformats.org/officeDocument/2006/relationships/revisionLog" Target="revisionLog75.xml"/><Relationship Id="rId91" Type="http://schemas.openxmlformats.org/officeDocument/2006/relationships/revisionLog" Target="revisionLog91.xml"/><Relationship Id="rId96" Type="http://schemas.openxmlformats.org/officeDocument/2006/relationships/revisionLog" Target="revisionLog96.xml"/><Relationship Id="rId6" Type="http://schemas.openxmlformats.org/officeDocument/2006/relationships/revisionLog" Target="revisionLog6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49" Type="http://schemas.openxmlformats.org/officeDocument/2006/relationships/revisionLog" Target="revisionLog49.xml"/><Relationship Id="rId114" Type="http://schemas.openxmlformats.org/officeDocument/2006/relationships/revisionLog" Target="revisionLog114.xml"/><Relationship Id="rId119" Type="http://schemas.openxmlformats.org/officeDocument/2006/relationships/revisionLog" Target="revisionLog119.xml"/><Relationship Id="rId44" Type="http://schemas.openxmlformats.org/officeDocument/2006/relationships/revisionLog" Target="revisionLog44.xml"/><Relationship Id="rId60" Type="http://schemas.openxmlformats.org/officeDocument/2006/relationships/revisionLog" Target="revisionLog60.xml"/><Relationship Id="rId65" Type="http://schemas.openxmlformats.org/officeDocument/2006/relationships/revisionLog" Target="revisionLog65.xml"/><Relationship Id="rId81" Type="http://schemas.openxmlformats.org/officeDocument/2006/relationships/revisionLog" Target="revisionLog81.xml"/><Relationship Id="rId86" Type="http://schemas.openxmlformats.org/officeDocument/2006/relationships/revisionLog" Target="revisionLog86.xml"/><Relationship Id="rId130" Type="http://schemas.openxmlformats.org/officeDocument/2006/relationships/revisionLog" Target="revisionLog130.xml"/><Relationship Id="rId135" Type="http://schemas.openxmlformats.org/officeDocument/2006/relationships/revisionLog" Target="revisionLog135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39" Type="http://schemas.openxmlformats.org/officeDocument/2006/relationships/revisionLog" Target="revisionLog39.xml"/><Relationship Id="rId109" Type="http://schemas.openxmlformats.org/officeDocument/2006/relationships/revisionLog" Target="revisionLog109.xml"/><Relationship Id="rId34" Type="http://schemas.openxmlformats.org/officeDocument/2006/relationships/revisionLog" Target="revisionLog34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76" Type="http://schemas.openxmlformats.org/officeDocument/2006/relationships/revisionLog" Target="revisionLog76.xml"/><Relationship Id="rId97" Type="http://schemas.openxmlformats.org/officeDocument/2006/relationships/revisionLog" Target="revisionLog97.xml"/><Relationship Id="rId104" Type="http://schemas.openxmlformats.org/officeDocument/2006/relationships/revisionLog" Target="revisionLog104.xml"/><Relationship Id="rId120" Type="http://schemas.openxmlformats.org/officeDocument/2006/relationships/revisionLog" Target="revisionLog120.xml"/><Relationship Id="rId125" Type="http://schemas.openxmlformats.org/officeDocument/2006/relationships/revisionLog" Target="revisionLog125.xml"/><Relationship Id="rId7" Type="http://schemas.openxmlformats.org/officeDocument/2006/relationships/revisionLog" Target="revisionLog7.xml"/><Relationship Id="rId71" Type="http://schemas.openxmlformats.org/officeDocument/2006/relationships/revisionLog" Target="revisionLog71.xml"/><Relationship Id="rId92" Type="http://schemas.openxmlformats.org/officeDocument/2006/relationships/revisionLog" Target="revisionLog92.xml"/><Relationship Id="rId29" Type="http://schemas.openxmlformats.org/officeDocument/2006/relationships/revisionLog" Target="revisionLog29.xml"/><Relationship Id="rId24" Type="http://schemas.openxmlformats.org/officeDocument/2006/relationships/revisionLog" Target="revisionLog24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66" Type="http://schemas.openxmlformats.org/officeDocument/2006/relationships/revisionLog" Target="revisionLog66.xml"/><Relationship Id="rId87" Type="http://schemas.openxmlformats.org/officeDocument/2006/relationships/revisionLog" Target="revisionLog87.xml"/><Relationship Id="rId110" Type="http://schemas.openxmlformats.org/officeDocument/2006/relationships/revisionLog" Target="revisionLog110.xml"/><Relationship Id="rId115" Type="http://schemas.openxmlformats.org/officeDocument/2006/relationships/revisionLog" Target="revisionLog115.xml"/><Relationship Id="rId131" Type="http://schemas.openxmlformats.org/officeDocument/2006/relationships/revisionLog" Target="revisionLog131.xml"/><Relationship Id="rId136" Type="http://schemas.openxmlformats.org/officeDocument/2006/relationships/revisionLog" Target="revisionLog1.xml"/><Relationship Id="rId61" Type="http://schemas.openxmlformats.org/officeDocument/2006/relationships/revisionLog" Target="revisionLog61.xml"/><Relationship Id="rId82" Type="http://schemas.openxmlformats.org/officeDocument/2006/relationships/revisionLog" Target="revisionLog82.xml"/><Relationship Id="rId19" Type="http://schemas.openxmlformats.org/officeDocument/2006/relationships/revisionLog" Target="revisionLog19.xml"/><Relationship Id="rId14" Type="http://schemas.openxmlformats.org/officeDocument/2006/relationships/revisionLog" Target="revisionLog14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56" Type="http://schemas.openxmlformats.org/officeDocument/2006/relationships/revisionLog" Target="revisionLog56.xml"/><Relationship Id="rId77" Type="http://schemas.openxmlformats.org/officeDocument/2006/relationships/revisionLog" Target="revisionLog77.xml"/><Relationship Id="rId100" Type="http://schemas.openxmlformats.org/officeDocument/2006/relationships/revisionLog" Target="revisionLog100.xml"/><Relationship Id="rId105" Type="http://schemas.openxmlformats.org/officeDocument/2006/relationships/revisionLog" Target="revisionLog105.xml"/><Relationship Id="rId126" Type="http://schemas.openxmlformats.org/officeDocument/2006/relationships/revisionLog" Target="revisionLog126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72" Type="http://schemas.openxmlformats.org/officeDocument/2006/relationships/revisionLog" Target="revisionLog72.xml"/><Relationship Id="rId93" Type="http://schemas.openxmlformats.org/officeDocument/2006/relationships/revisionLog" Target="revisionLog93.xml"/><Relationship Id="rId98" Type="http://schemas.openxmlformats.org/officeDocument/2006/relationships/revisionLog" Target="revisionLog98.xml"/><Relationship Id="rId121" Type="http://schemas.openxmlformats.org/officeDocument/2006/relationships/revisionLog" Target="revisionLog121.xml"/><Relationship Id="rId25" Type="http://schemas.openxmlformats.org/officeDocument/2006/relationships/revisionLog" Target="revisionLog25.xml"/><Relationship Id="rId46" Type="http://schemas.openxmlformats.org/officeDocument/2006/relationships/revisionLog" Target="revisionLog46.xml"/><Relationship Id="rId67" Type="http://schemas.openxmlformats.org/officeDocument/2006/relationships/revisionLog" Target="revisionLog67.xml"/><Relationship Id="rId116" Type="http://schemas.openxmlformats.org/officeDocument/2006/relationships/revisionLog" Target="revisionLog116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62" Type="http://schemas.openxmlformats.org/officeDocument/2006/relationships/revisionLog" Target="revisionLog62.xml"/><Relationship Id="rId83" Type="http://schemas.openxmlformats.org/officeDocument/2006/relationships/revisionLog" Target="revisionLog83.xml"/><Relationship Id="rId88" Type="http://schemas.openxmlformats.org/officeDocument/2006/relationships/revisionLog" Target="revisionLog88.xml"/><Relationship Id="rId111" Type="http://schemas.openxmlformats.org/officeDocument/2006/relationships/revisionLog" Target="revisionLog111.xml"/><Relationship Id="rId132" Type="http://schemas.openxmlformats.org/officeDocument/2006/relationships/revisionLog" Target="revisionLog132.xml"/><Relationship Id="rId15" Type="http://schemas.openxmlformats.org/officeDocument/2006/relationships/revisionLog" Target="revisionLog15.xml"/><Relationship Id="rId36" Type="http://schemas.openxmlformats.org/officeDocument/2006/relationships/revisionLog" Target="revisionLog36.xml"/><Relationship Id="rId57" Type="http://schemas.openxmlformats.org/officeDocument/2006/relationships/revisionLog" Target="revisionLog57.xml"/><Relationship Id="rId106" Type="http://schemas.openxmlformats.org/officeDocument/2006/relationships/revisionLog" Target="revisionLog106.xml"/><Relationship Id="rId127" Type="http://schemas.openxmlformats.org/officeDocument/2006/relationships/revisionLog" Target="revisionLog127.xml"/><Relationship Id="rId10" Type="http://schemas.openxmlformats.org/officeDocument/2006/relationships/revisionLog" Target="revisionLog10.xml"/><Relationship Id="rId31" Type="http://schemas.openxmlformats.org/officeDocument/2006/relationships/revisionLog" Target="revisionLog31.xml"/><Relationship Id="rId52" Type="http://schemas.openxmlformats.org/officeDocument/2006/relationships/revisionLog" Target="revisionLog52.xml"/><Relationship Id="rId73" Type="http://schemas.openxmlformats.org/officeDocument/2006/relationships/revisionLog" Target="revisionLog73.xml"/><Relationship Id="rId78" Type="http://schemas.openxmlformats.org/officeDocument/2006/relationships/revisionLog" Target="revisionLog78.xml"/><Relationship Id="rId94" Type="http://schemas.openxmlformats.org/officeDocument/2006/relationships/revisionLog" Target="revisionLog94.xml"/><Relationship Id="rId99" Type="http://schemas.openxmlformats.org/officeDocument/2006/relationships/revisionLog" Target="revisionLog99.xml"/><Relationship Id="rId101" Type="http://schemas.openxmlformats.org/officeDocument/2006/relationships/revisionLog" Target="revisionLog101.xml"/><Relationship Id="rId122" Type="http://schemas.openxmlformats.org/officeDocument/2006/relationships/revisionLog" Target="revisionLog122.xml"/><Relationship Id="rId9" Type="http://schemas.openxmlformats.org/officeDocument/2006/relationships/revisionLog" Target="revisionLog9.xml"/><Relationship Id="rId26" Type="http://schemas.openxmlformats.org/officeDocument/2006/relationships/revisionLog" Target="revisionLog26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E32CB39-5F62-44E6-950D-F040637BE811}" diskRevisions="1" revisionId="902" version="136">
  <header guid="{0499F82D-97E1-4E71-81EF-E47CF1643AFA}" dateTime="2026-04-01T13:56:04" maxSheetId="14" userName="Dive Centre Office" r:id="rId6" minRId="36" maxRId="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CB020F-A14A-4F85-BEA6-EC9D33B7503F}" dateTime="2026-04-01T15:05:40" maxSheetId="14" userName="Dive Center" r:id="rId7" minRId="38" maxRId="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24EF28-36FF-4E30-9AFE-71476C60CA11}" dateTime="2026-04-01T15:05:45" maxSheetId="14" userName="Dive Center" r:id="rId8" minRId="56" maxRId="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202B7F-1487-4DE5-9B45-D95875DD9F5E}" dateTime="2026-04-02T11:03:57" maxSheetId="14" userName="Dive Centre Office" r:id="rId9" minRId="58" maxRId="3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8251AC-EB25-4B51-B444-CC9A00146952}" dateTime="2026-04-03T11:41:31" maxSheetId="14" userName="Assistant DiveCenter Manager" r:id="rId10" minRId="3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5556295-656C-4376-9457-72D702CADDEB}" dateTime="2026-04-03T15:56:41" maxSheetId="14" userName="Dive Centre Office" r:id="rId11" minRId="313" maxRId="3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C5D882E-8486-4D1E-8B70-F2666E3810FC}" dateTime="2026-04-04T13:42:58" maxSheetId="14" userName="Dive Centre Office" r:id="rId12" minRId="3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47C252D-F242-4811-B1DA-B6AAC729688B}" dateTime="2026-04-04T13:51:43" maxSheetId="14" userName="Assistant DiveCenter Manager" r:id="rId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FE1B4B-D135-4BAF-931D-A5C8620B8316}" dateTime="2026-04-04T14:09:10" maxSheetId="14" userName="Dive Centre Office" r:id="rId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A2003B-6555-49F5-A804-6C4395265638}" dateTime="2026-04-04T14:23:07" maxSheetId="14" userName="Dive Centre Office" r:id="rId15" minRId="319" maxRId="3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209D7B-5AAD-4BA1-ACA9-F909DDF594C4}" dateTime="2026-04-04T15:18:24" maxSheetId="14" userName="Dive Centre Office" r:id="rId16" minRId="325" maxRId="3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2D0442-1839-4A71-9969-0D29FBBE56AD}" dateTime="2026-04-04T15:26:09" maxSheetId="14" userName="Dive Centre Office" r:id="rId17" minRId="330" maxRId="3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F7C5921-FE8E-42C4-B61D-F5BBF09AC0BC}" dateTime="2026-04-04T16:23:02" maxSheetId="14" userName="Dive Centre Office" r:id="rId18" minRId="332" maxRId="3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89C8A8-6EB2-4EA0-8443-22E74144A5BE}" dateTime="2026-04-06T08:32:04" maxSheetId="14" userName="Dive Centre Office" r:id="rId19" minRId="334" maxRId="3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4978F4-8B66-41DC-840C-1F88EB709C39}" dateTime="2026-04-06T08:32:59" maxSheetId="14" userName="Dive Centre Office" r:id="rId20" minRId="337" maxRId="3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AEFC3A-D34A-4629-AA74-AFA5B6A5857C}" dateTime="2026-04-06T15:40:03" maxSheetId="14" userName="Dive Centre Office" r:id="rId21" minRId="354" maxRId="3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42DC34-F5F3-4ADD-9742-567C8DB13207}" dateTime="2026-04-07T11:09:40" maxSheetId="14" userName="Assistant DiveCenter Manager" r:id="rId22" minRId="363" maxRId="3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71BBEE-26EC-4DCC-8D77-BF31353CE5CF}" dateTime="2026-04-07T11:15:19" maxSheetId="14" userName="Assistant DiveCenter Manager" r:id="rId23" minRId="3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69744A-67CC-4CBF-9781-958EBC3093C1}" dateTime="2026-04-07T13:34:22" maxSheetId="14" userName="Assistant DiveCenter Manager" r:id="rId24" minRId="383" maxRId="3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F24325-18F6-4A1F-B3FF-62BCB48657B5}" dateTime="2026-04-07T14:26:30" maxSheetId="14" userName="Dive Centre Office" r:id="rId25" minRId="3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6D9E3B-335C-4087-962A-2D27E646BC4F}" dateTime="2026-04-07T15:52:55" maxSheetId="14" userName="Dive Centre Office" r:id="rId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40643D8-0DB2-46B7-8DB2-14ADB8B4D894}" dateTime="2026-04-07T15:54:12" maxSheetId="14" userName="Dive Centre Office" r:id="rId27" minRId="3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5A4D28-F864-4BBF-B426-7F78D20A93FA}" dateTime="2026-04-07T15:54:19" maxSheetId="14" userName="Dive Centre Office" r:id="rId28" minRId="400" maxRId="4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513589-9FA2-4AA0-BD7A-C5D6F62A1856}" dateTime="2026-04-07T15:54:27" maxSheetId="14" userName="Dive Centre Office" r:id="rId29" minRId="4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6C308B-92BD-4A2B-ACFD-2DC7A2839881}" dateTime="2026-04-07T15:55:08" maxSheetId="14" userName="Dive Centre Office" r:id="rId30" minRId="403" maxRId="4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EB81C86-E58E-4018-80B2-70D7D9C4F7D7}" dateTime="2026-04-07T16:14:32" maxSheetId="14" userName="Dive Centre Office" r:id="rId31" minRId="405" maxRId="4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C0A009-0341-4CAB-BBFA-BA90181AA079}" dateTime="2026-04-07T16:16:53" maxSheetId="14" userName="Dive Centre Office" r:id="rId32" minRId="408" maxRId="4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54F6321-BB69-4055-953E-0397CF521D69}" dateTime="2026-04-08T15:20:08" maxSheetId="14" userName="Dive Centre Office" r:id="rId33" minRId="410" maxRId="4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A0BFD2-C4E0-4924-B6ED-E115D88DC25F}" dateTime="2026-04-08T15:22:51" maxSheetId="14" userName="Dive Centre Office" r:id="rId34" minRId="412" maxRId="4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351356-69C5-4FB3-AC58-58EADA56D977}" dateTime="2026-04-08T17:22:36" maxSheetId="14" userName="Dive Centre Office" r:id="rId35" minRId="415" maxRId="4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9854E5-787F-42F0-8862-F1305C40391D}" dateTime="2026-04-08T17:23:10" maxSheetId="14" userName="Dive Centre Office" r:id="rId36" minRId="417" maxRId="4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04063B-A16F-4210-B987-4A9822BA43F0}" dateTime="2026-04-09T08:46:52" maxSheetId="14" userName="Dive Centre Office" r:id="rId37" minRId="419" maxRId="4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324772-6DF8-4E5C-B73C-122F7EA1DF6B}" dateTime="2026-04-09T09:33:42" maxSheetId="14" userName="Dive Centre Office" r:id="rId38" minRId="425" maxRId="4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1B805B-311C-47CF-B844-5740BA8A1C6D}" dateTime="2026-04-09T09:56:40" maxSheetId="14" userName="Dive Centre Office" r:id="rId39" minRId="428" maxRId="4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C72008-0CCE-43F1-A48C-BB3CE5976B69}" dateTime="2026-04-09T10:01:01" maxSheetId="14" userName="Dive Centre Office" r:id="rId40" minRId="437" maxRId="4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4B1868-D072-4D41-84F3-87046628A3B7}" dateTime="2026-04-09T11:55:14" maxSheetId="14" userName="Assistant DiveCenter Manager" r:id="rId41" minRId="442" maxRId="4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13B679-70B8-4DE4-9C04-09576A8A79B4}" dateTime="2026-04-09T13:38:39" maxSheetId="14" userName="Dive Centre Office" r:id="rId42" minRId="4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F551B6-F4B0-458B-A045-03705483E960}" dateTime="2026-04-09T13:48:57" maxSheetId="14" userName="Assistant DiveCenter Manager" r:id="rId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B9A206-A221-4F20-A5DC-FA795B2C4212}" dateTime="2026-04-09T14:08:56" maxSheetId="14" userName="Assistant DiveCenter Manager" r:id="rId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C9EC56-C57E-4C46-ABA4-8F52481439C2}" dateTime="2026-04-10T08:42:20" maxSheetId="14" userName="Dive Centre Office" r:id="rId45" minRId="445" maxRId="4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E50DB4-201C-4D49-88AE-EDB061427DFF}" dateTime="2026-04-10T10:01:10" maxSheetId="14" userName="Dhigurah Water Sports" r:id="rId46" minRId="4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173321-E8EB-4307-AB5B-C82040091850}" dateTime="2026-04-10T10:13:34" maxSheetId="14" userName="Dive Centre Office" r:id="rId47" minRId="4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001AEA-9049-41F6-AD02-386B3A42EF94}" dateTime="2026-04-10T10:14:26" maxSheetId="14" userName="Dive Centre Office" r:id="rId48" minRId="4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100102-7FB2-416D-8CB3-EF11FED8BED8}" dateTime="2026-04-10T10:14:51" maxSheetId="14" userName="Dive Centre Office" r:id="rId49" minRId="450" maxRId="4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678945-CF24-42C1-9E08-A0F5234B9579}" dateTime="2026-04-10T14:51:10" maxSheetId="14" userName="Dive Centre Office" r:id="rId50" minRId="4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253E32-8662-4F0B-A08F-64CB8F88691B}" dateTime="2026-04-10T15:54:17" maxSheetId="14" userName="Dive Centre Office" r:id="rId51" minRId="453" maxRId="4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E46DA5-11B3-468E-906E-87D99430657A}" dateTime="2026-04-11T08:20:38" maxSheetId="14" userName="Dive Centre Office" r:id="rId52" minRId="456" maxRId="4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C4C02D-B5AF-4E83-8D92-B66C3D60C558}" dateTime="2026-04-11T09:39:47" maxSheetId="14" userName="Dive Centre Office" r:id="rId53" minRId="462" maxRId="4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2F27F5-7BBF-408E-8C68-71B19B1568E0}" dateTime="2026-04-11T09:56:10" maxSheetId="14" userName="Dive Centre Office" r:id="rId54" minRId="465" maxRId="4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4D9E30-65E7-40C1-A742-ED070D91EEE8}" dateTime="2026-04-11T10:01:00" maxSheetId="14" userName="Dive Centre Office" r:id="rId55" minRId="4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136BC1-0C03-4167-A1AC-1054D8542506}" dateTime="2026-04-11T10:01:48" maxSheetId="14" userName="Dive Centre Office" r:id="rId56" minRId="469" maxRId="4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704A64-DA7C-4F9F-A1D3-BA0683C97946}" dateTime="2026-04-11T13:33:18" maxSheetId="14" userName="Dive Centre Office" r:id="rId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FD93A0-82E4-4F6C-8485-4D0CEED201FD}" dateTime="2026-04-11T13:53:24" maxSheetId="14" userName="Dive Centre Office" r:id="rId58" minRId="4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AB4063-14AB-4468-8576-EB9C5679D453}" dateTime="2026-04-11T13:57:36" maxSheetId="14" userName="Dive Centre Office" r:id="rId59" minRId="4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67C027-7D38-44EF-9ECD-8BB71C38B2E1}" dateTime="2026-04-11T14:02:35" maxSheetId="14" userName="Dive Centre Office" r:id="rId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9B19C1-3748-49F2-94E4-459235E605E6}" dateTime="2026-04-13T09:20:09" maxSheetId="14" userName="Dive Centre Office" r:id="rId61" minRId="486" maxRId="4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017717-66E6-44F2-8AAE-18FA3E6386D8}" dateTime="2026-04-13T09:21:22" maxSheetId="14" userName="Dive Centre Office" r:id="rId62" minRId="5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840D697-EB5A-419F-B351-F6DB5DD40367}" dateTime="2026-04-13T09:32:13" maxSheetId="14" userName="Dive Centre Office" r:id="rId63" minRId="505" maxRId="5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2D1E21-CC22-4E48-8B6E-345CEEED3263}" dateTime="2026-04-13T09:32:17" maxSheetId="14" userName="Dive Centre Office" r:id="rId64" minRId="5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16DEBE-EA64-4553-973C-4D5732956623}" dateTime="2026-04-13T10:15:48" maxSheetId="14" userName="Dive Centre Office" r:id="rId65" minRId="510" maxRId="5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C4030B-CFFE-47E7-A693-7C1427BBF06C}" dateTime="2026-04-13T10:16:08" maxSheetId="14" userName="Dive Centre Office" r:id="rId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7564EC-E153-4688-9B5B-DBAB5D88CCEC}" dateTime="2026-04-13T11:43:46" maxSheetId="14" userName="Dive Centre Office" r:id="rId67" minRId="512" maxRId="5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66794E-7EE9-4620-913C-D96B9001F0F5}" dateTime="2026-04-13T11:45:04" maxSheetId="14" userName="Dive Centre Office" r:id="rId68" minRId="5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384A32-53F1-45A8-B1D6-12E500AC85B2}" dateTime="2026-04-13T11:47:31" maxSheetId="14" userName="Dive Centre Office" r:id="rId69" minRId="528" maxRId="5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B14842-7A81-4187-B8D4-F8590EEE7853}" dateTime="2026-04-13T15:46:34" maxSheetId="14" userName="Dive Centre Office" r:id="rId70" minRId="531" maxRId="5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1F6FE5F-440E-47D0-8F32-0EEB3BC4C19C}" dateTime="2026-04-13T17:13:13" maxSheetId="14" userName="Assistant DiveCenter Manager" r:id="rId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156E79-E177-4617-B371-74CFA03BD5CB}" dateTime="2026-04-13T17:30:14" maxSheetId="14" userName="Dive Centre Office" r:id="rId72" minRId="537" maxRId="5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28DF55-7D2B-4383-BA66-7C3C25BC7913}" dateTime="2026-04-14T11:01:45" maxSheetId="14" userName="Dive Centre Office" r:id="rId73" minRId="5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F737AC-8471-4882-B93F-B4C8A38CF630}" dateTime="2026-04-14T11:16:23" maxSheetId="14" userName="Dive Centre Office" r:id="rId74" minRId="542" maxRId="5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FB7D0D-0473-4CD8-893A-4F4544909932}" dateTime="2026-04-14T11:31:54" maxSheetId="14" userName="Dive Centre Office" r:id="rId75" minRId="544" maxRId="5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282AB5-3740-4964-9E1D-332DF831BB64}" dateTime="2026-04-14T11:35:45" maxSheetId="14" userName="Dive Centre Office" r:id="rId76" minRId="549" maxRId="5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F21AC7-952F-4B68-9B1F-52E5BF8CDAA2}" dateTime="2026-04-15T09:08:36" maxSheetId="14" userName="Assistant DiveCenter Manager" r:id="rId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AB9EFAD-582F-493C-9F79-84D14D57596A}" dateTime="2026-04-15T11:32:53" maxSheetId="14" userName="Dive Centre Office" r:id="rId78" minRId="555" maxRId="5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B5A079-1CEB-4402-B628-3FAF71F29E0B}" dateTime="2026-04-15T11:38:05" maxSheetId="14" userName="Dive Centre Office" r:id="rId79" minRId="557" maxRId="5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36D873-2BB0-4AEF-AC98-4E360D172ADC}" dateTime="2026-04-15T11:38:11" maxSheetId="14" userName="Dive Centre Office" r:id="rId80" minRId="5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CC1C5EB-AC0D-409D-9DF4-9B800FB8091F}" dateTime="2026-04-15T11:58:49" maxSheetId="14" userName="Dive Centre Office" r:id="rId81" minRId="560" maxRId="5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F59E6B-25BA-4839-B320-4B495A0ACA25}" dateTime="2026-04-15T12:08:15" maxSheetId="14" userName="Dive Centre Office" r:id="rId82" minRId="563" maxRId="5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088FAF-8EB1-4BA6-B717-B0A84B5FCFC0}" dateTime="2026-04-15T13:09:45" maxSheetId="14" userName="Dive Centre Office" r:id="rId83" minRId="5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B8327CB-61A0-4D10-AE74-307D3C817E6B}" dateTime="2026-04-16T13:36:50" maxSheetId="14" userName="Dive Centre Office" r:id="rId84" minRId="5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568703E-F24F-4B57-8F99-0257041AB884}" dateTime="2026-04-17T11:07:35" maxSheetId="14" userName="Dive Centre Office" r:id="rId85" minRId="568" maxRId="5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08BC1F-4ED2-428C-932E-B1ABA94C148D}" dateTime="2026-04-17T11:10:06" maxSheetId="14" userName="Dive Centre Office" r:id="rId86" minRId="573" maxRId="5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0F94D21-6CEE-49E5-AAC9-CEA21DA4EDA6}" dateTime="2026-04-17T12:01:29" maxSheetId="14" userName="Dive Centre Office" r:id="rId87" minRId="578" maxRId="5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4F71E7-B6B0-4889-B61A-C2901268D0FF}" dateTime="2026-04-17T17:05:27" maxSheetId="14" userName="Dive Centre Office" r:id="rId88" minRId="583" maxRId="5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4B492B-7A3C-4512-9906-C6D1B66937D2}" dateTime="2026-04-18T08:12:55" maxSheetId="14" userName="Dive Centre Office" r:id="rId89" minRId="589" maxRId="5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871B54-C014-44C7-9834-CCB89E9D847B}" dateTime="2026-04-18T08:13:01" maxSheetId="14" userName="Dive Centre Office" r:id="rId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032694-1D20-4A74-8B41-5EA4097FF527}" dateTime="2026-04-18T08:13:50" maxSheetId="14" userName="Dive Centre Office" r:id="rId91" minRId="595" maxRId="6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DAB849-45CC-4DCA-811E-E291E18E1CBE}" dateTime="2026-04-18T08:24:12" maxSheetId="14" userName="Dive Centre Office" r:id="rId92" minRId="609" maxRId="6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D2B9A46-EBC2-492B-AE16-FFA51A2688B3}" dateTime="2026-04-18T08:24:16" maxSheetId="14" userName="Dive Centre Office" r:id="rId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F6864E-B02B-4CB3-B7F6-DD906FD0F294}" dateTime="2026-04-18T08:26:07" maxSheetId="14" userName="Dive Centre Office" r:id="rId94" minRId="626" maxRId="6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62D201-045E-40A2-8C7F-880C073EF3DA}" dateTime="2026-04-18T09:40:39" maxSheetId="14" userName="Dive Centre Office" r:id="rId95" minRId="6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99F3CE-2A0A-45B1-903E-916BACB1C7B0}" dateTime="2026-04-18T13:54:17" maxSheetId="14" userName="Dive Centre Office" r:id="rId96" minRId="6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1D227F-3956-41D3-82F3-18DC12F393CF}" dateTime="2026-04-18T14:01:33" maxSheetId="14" userName="Dive Centre Office" r:id="rId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E5C63BE-8A84-4A68-947B-70A00C7BBEB9}" dateTime="2026-04-20T08:51:04" maxSheetId="14" userName="Dive Centre Office" r:id="rId98" minRId="636" maxRId="6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2B0C9A7-FC5B-4BCD-BC0D-F64348282E08}" dateTime="2026-04-20T10:19:47" maxSheetId="14" userName="Dive Centre Office" r:id="rId99" minRId="6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891441-6070-483B-A6AC-4672FB4B6683}" dateTime="2026-04-21T13:46:12" maxSheetId="14" userName="Dive Centre Office" r:id="rId100" minRId="639" maxRId="6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D1D2BD-3FB6-4722-ADAC-599D7DDF1826}" dateTime="2026-04-22T11:37:24" maxSheetId="14" userName="Dive Centre Office" r:id="rId101" minRId="645" maxRId="6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0A540B5-6262-4D05-90E3-B1540E4A4E02}" dateTime="2026-04-22T16:20:44" maxSheetId="14" userName="Dive Centre Office" r:id="rId102" minRId="648" maxRId="6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464EBA-4B2D-4757-B777-3EAFEF4CCB6F}" dateTime="2026-04-22T16:23:07" maxSheetId="14" userName="Dive Centre Office" r:id="rId103" minRId="653" maxRId="6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6FBA87-CC3D-469A-9F54-DD24C53D0E8C}" dateTime="2026-04-22T16:26:07" maxSheetId="14" userName="Dive Centre Office" r:id="rId104" minRId="6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E4EA7E0-311B-468C-BEA2-D008F3AFB4E1}" dateTime="2026-04-22T16:30:37" maxSheetId="14" userName="Dive Centre Office" r:id="rId105" minRId="656" maxRId="6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ADF817-F608-4521-AFA9-8CE467A5E396}" dateTime="2026-04-22T17:30:13" maxSheetId="14" userName="Dive Centre Office" r:id="rId106" minRId="6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15093D-721D-4B4F-AE12-967EF3610C31}" dateTime="2026-04-22T17:30:38" maxSheetId="14" userName="Dive Centre Office" r:id="rId107" minRId="659" maxRId="6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5B9047F-D99E-4162-A6CE-990436C9B0F6}" dateTime="2026-04-23T09:12:14" maxSheetId="14" userName="Dive Centre Office" r:id="rId108" minRId="6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E3ED17-431E-4436-A62B-E91649DC737F}" dateTime="2026-04-23T13:32:05" maxSheetId="14" userName="Dive Centre Office" r:id="rId109" minRId="662" maxRId="6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DBC067-C3D8-430D-A89E-591B76FAF197}" dateTime="2026-04-23T13:45:18" maxSheetId="14" userName="Dive Centre Office" r:id="rId110" minRId="6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912F3E-8403-4881-9330-61412990E474}" dateTime="2026-04-23T14:22:01" maxSheetId="14" userName="Dive Centre Office" r:id="rId1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27771AA-1734-4163-9291-FAAE67581C50}" dateTime="2026-04-23T14:41:29" maxSheetId="14" userName="Dive Centre Office" r:id="rId112" minRId="675" maxRId="6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BF808B7-604A-4561-A78D-9C047EDFF397}" dateTime="2026-04-24T09:55:14" maxSheetId="14" userName="Dive Centre Office" r:id="rId113" minRId="6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006B563-9D69-4FBC-8288-7C2C556CE0B9}" dateTime="2026-04-24T09:55:39" maxSheetId="14" userName="Dive Centre Office" r:id="rId114" minRId="692" maxRId="6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6CA0BB-8025-4FF3-A559-F14B7C6FEAD1}" dateTime="2026-04-24T16:17:22" maxSheetId="14" userName="Assistant DiveCenter Manager" r:id="rId1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EB4F47-E6CF-46BB-A521-79AAF320AB56}" dateTime="2026-04-24T16:48:05" maxSheetId="14" userName="Dive Centre Office" r:id="rId116" minRId="707" maxRId="7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38F964-E65B-4D0D-991B-2E9B48B14C03}" dateTime="2026-04-24T16:48:53" maxSheetId="14" userName="Assistant DiveCenter Manager" r:id="rId117" minRId="7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10106F-2EEA-4822-9981-547EDB60F547}" dateTime="2026-04-24T16:49:35" maxSheetId="14" userName="Dive Centre Office" r:id="rId118" minRId="710" maxRId="7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6C731B-40C0-451E-A74D-4A8E2897D261}" dateTime="2026-04-25T09:53:11" maxSheetId="14" userName="Dive Centre Office" r:id="rId119" minRId="712" maxRId="7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93DBF5-51B4-4D0E-8631-3E604AC09956}" dateTime="2026-04-25T10:38:31" maxSheetId="14" userName="Dive Centre Office" r:id="rId120" minRId="730" maxRId="7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1C8D7C-ED6B-4FE8-BB6D-BCD3E009EFD5}" dateTime="2026-04-25T11:03:10" maxSheetId="14" userName="Dive Centre Office" r:id="rId121" minRId="791" maxRId="7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963AB3-960E-444D-B756-3FD2C04EE3FC}" dateTime="2026-04-25T11:03:57" maxSheetId="14" userName="Dive Centre Office" r:id="rId122" minRId="800" maxRId="8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F07EBC5-74CF-44DC-B733-600CAD89E8AB}" dateTime="2026-04-25T11:04:39" maxSheetId="14" userName="Dive Centre Office" r:id="rId123" minRId="806" maxRId="8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3381C4-6237-43DD-BFED-03FA85D3E667}" dateTime="2026-04-25T12:35:35" maxSheetId="14" userName="Dive Centre Office" r:id="rId124" minRId="854" maxRId="8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E2E419A-9A6D-460C-8BC9-BC46CCFE8295}" dateTime="2026-04-25T14:19:59" maxSheetId="14" userName="Dive Centre Office" r:id="rId125" minRId="8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1BC4B9-C28F-45A2-A918-E666CE15748E}" dateTime="2026-04-26T09:41:00" maxSheetId="14" userName="Dive Centre Office" r:id="rId126" minRId="857" maxRId="8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B78D94-E22B-4AE0-813A-10313A8DA950}" dateTime="2026-04-28T09:53:42" maxSheetId="14" userName="Dive Centre Office" r:id="rId127" minRId="863" maxRId="8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86586F-FCB8-4711-AEAE-4D3C1C0E02F9}" dateTime="2026-04-28T11:33:58" maxSheetId="14" userName="Dive Centre Office" r:id="rId1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2D1E712-00BA-47A9-8849-E2BEBAB35D93}" dateTime="2026-04-28T11:55:09" maxSheetId="14" userName="Dive Centre Office" r:id="rId129" minRId="866" maxRId="8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F32D69-E1DA-4282-9509-BB4444673101}" dateTime="2026-04-28T14:08:51" maxSheetId="14" userName="Assistant DiveCenter Manager" r:id="rId1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6CA7DA-86F4-460A-92C8-D81871EB2443}" dateTime="2026-04-28T14:11:17" maxSheetId="14" userName="Dive Centre Office" r:id="rId131" minRId="882" maxRId="8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2B660A2-8E6F-4382-A1AF-89E148C288C4}" dateTime="2026-04-29T11:02:28" maxSheetId="14" userName="Dive Centre Office" r:id="rId132" minRId="884" maxRId="8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7F88C7-75AC-4B90-BE86-DFA8616AE1F6}" dateTime="2026-04-29T11:02:51" maxSheetId="14" userName="Dive Centre Office" r:id="rId133" minRId="8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AA33A6-7F39-409E-B3CA-FDF89CA04F21}" dateTime="2026-04-29T11:03:27" maxSheetId="14" userName="Dive Centre Office" r:id="rId134" minRId="887" maxRId="8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12E906-E292-4B26-8A12-BC42F4A13BC4}" dateTime="2026-04-30T13:31:41" maxSheetId="14" userName="Assistant DiveCenter Manager" r:id="rId135" minRId="8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32CB39-5F62-44E6-950D-F040637BE811}" dateTime="2026-05-01T08:53:46" maxSheetId="14" userName="Dive Centre Office" r:id="rId1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A8333F4-A272-457D-BE6D-1B569A227B28}" action="delete"/>
  <rdn rId="0" localSheetId="1" customView="1" name="Z_AA8333F4_A272_457D_BE6D_1B569A227B28_.wvu.PrintArea" hidden="1" oldHidden="1">
    <formula>'2'!$A$1:$J$39</formula>
    <oldFormula>'2'!$A$1:$J$39</oldFormula>
  </rdn>
  <rdn rId="0" localSheetId="2" customView="1" name="Z_AA8333F4_A272_457D_BE6D_1B569A227B28_.wvu.PrintArea" hidden="1" oldHidden="1">
    <formula>'4'!$A$1:$J$39</formula>
    <oldFormula>'4'!$A$1:$J$39</oldFormula>
  </rdn>
  <rdn rId="0" localSheetId="3" customView="1" name="Z_AA8333F4_A272_457D_BE6D_1B569A227B28_.wvu.PrintArea" hidden="1" oldHidden="1">
    <formula>'7'!$A$1:$J$39</formula>
    <oldFormula>'7'!$A$1:$J$39</oldFormula>
  </rdn>
  <rdn rId="0" localSheetId="4" customView="1" name="Z_AA8333F4_A272_457D_BE6D_1B569A227B28_.wvu.PrintArea" hidden="1" oldHidden="1">
    <formula>'9'!$A$1:$J$39</formula>
    <oldFormula>'9'!$A$1:$J$39</oldFormula>
  </rdn>
  <rdn rId="0" localSheetId="5" customView="1" name="Z_AA8333F4_A272_457D_BE6D_1B569A227B28_.wvu.PrintArea" hidden="1" oldHidden="1">
    <formula>'11'!$A$1:$J$41</formula>
    <oldFormula>'11'!$A$1:$J$41</oldFormula>
  </rdn>
  <rdn rId="0" localSheetId="6" customView="1" name="Z_AA8333F4_A272_457D_BE6D_1B569A227B28_.wvu.PrintArea" hidden="1" oldHidden="1">
    <formula>'14'!$A$1:$J$39</formula>
    <oldFormula>'14'!$A$1:$J$39</oldFormula>
  </rdn>
  <rdn rId="0" localSheetId="7" customView="1" name="Z_AA8333F4_A272_457D_BE6D_1B569A227B28_.wvu.PrintArea" hidden="1" oldHidden="1">
    <formula>'16'!$A$1:$K$39</formula>
    <oldFormula>'16'!$A$1:$K$39</oldFormula>
  </rdn>
  <rdn rId="0" localSheetId="8" customView="1" name="Z_AA8333F4_A272_457D_BE6D_1B569A227B28_.wvu.PrintArea" hidden="1" oldHidden="1">
    <formula>'18'!$A$1:$K$28</formula>
    <oldFormula>'18'!$A$1:$K$28</oldFormula>
  </rdn>
  <rdn rId="0" localSheetId="9" customView="1" name="Z_AA8333F4_A272_457D_BE6D_1B569A227B28_.wvu.PrintArea" hidden="1" oldHidden="1">
    <formula>'21'!$A$1:$K$39</formula>
    <oldFormula>'21'!$A$1:$K$39</oldFormula>
  </rdn>
  <rdn rId="0" localSheetId="10" customView="1" name="Z_AA8333F4_A272_457D_BE6D_1B569A227B28_.wvu.PrintArea" hidden="1" oldHidden="1">
    <formula>'23'!$A$1:$K$27</formula>
    <oldFormula>'23'!$A$1:$K$27</oldFormula>
  </rdn>
  <rdn rId="0" localSheetId="11" customView="1" name="Z_AA8333F4_A272_457D_BE6D_1B569A227B28_.wvu.PrintArea" hidden="1" oldHidden="1">
    <formula>'25'!$A$1:$K$28</formula>
    <oldFormula>'25'!$A$1:$K$28</oldFormula>
  </rdn>
  <rdn rId="0" localSheetId="12" customView="1" name="Z_AA8333F4_A272_457D_BE6D_1B569A227B28_.wvu.PrintArea" hidden="1" oldHidden="1">
    <formula>'28'!$A$1:$J$39</formula>
    <oldFormula>'28'!$A$1:$J$39</oldFormula>
  </rdn>
  <rdn rId="0" localSheetId="13" customView="1" name="Z_AA8333F4_A272_457D_BE6D_1B569A227B28_.wvu.PrintArea" hidden="1" oldHidden="1">
    <formula>'30'!$A$1:$J$39</formula>
    <oldFormula>'30'!$A$1:$J$39</oldFormula>
  </rdn>
  <rcv guid="{AA8333F4-A272-457D-BE6D-1B569A227B28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" sId="2">
    <nc r="C8" t="inlineStr">
      <is>
        <t>Jan Jensen</t>
      </is>
    </nc>
  </rcc>
  <rcc rId="37" sId="2" numFmtId="19">
    <nc r="D8">
      <v>46119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" sId="2" odxf="1" dxf="1">
    <nc r="B9">
      <v>316</v>
    </nc>
    <odxf>
      <font>
        <i val="0"/>
        <sz val="14"/>
      </font>
      <fill>
        <patternFill patternType="solid">
          <bgColor theme="0"/>
        </patternFill>
      </fill>
    </odxf>
    <ndxf>
      <font>
        <i/>
        <sz val="14"/>
      </font>
      <fill>
        <patternFill patternType="none">
          <bgColor indexed="65"/>
        </patternFill>
      </fill>
    </ndxf>
  </rcc>
  <rcc rId="39" sId="2" odxf="1" dxf="1">
    <nc r="C9" t="inlineStr">
      <is>
        <t>Nico Alena</t>
      </is>
    </nc>
    <odxf>
      <font>
        <i val="0"/>
        <sz val="14"/>
      </font>
      <fill>
        <patternFill patternType="solid">
          <bgColor theme="0"/>
        </patternFill>
      </fill>
    </odxf>
    <ndxf>
      <font>
        <i/>
        <sz val="14"/>
      </font>
      <fill>
        <patternFill patternType="none">
          <bgColor indexed="65"/>
        </patternFill>
      </fill>
    </ndxf>
  </rcc>
  <rcc rId="40" sId="2" odxf="1" dxf="1" numFmtId="19">
    <nc r="D9">
      <v>46123</v>
    </nc>
    <odxf>
      <font>
        <i val="0"/>
        <sz val="14"/>
      </font>
      <fill>
        <patternFill patternType="solid">
          <bgColor theme="0"/>
        </patternFill>
      </fill>
    </odxf>
    <ndxf>
      <font>
        <i/>
        <sz val="14"/>
      </font>
      <fill>
        <patternFill patternType="none">
          <bgColor indexed="65"/>
        </patternFill>
      </fill>
    </ndxf>
  </rcc>
  <rcc rId="41" sId="2" odxf="1" dxf="1">
    <nc r="E9">
      <v>2</v>
    </nc>
    <odxf>
      <font>
        <i val="0"/>
        <sz val="14"/>
      </font>
      <fill>
        <patternFill patternType="solid">
          <bgColor theme="0"/>
        </patternFill>
      </fill>
    </odxf>
    <ndxf>
      <font>
        <i/>
        <sz val="14"/>
      </font>
      <fill>
        <patternFill patternType="none">
          <bgColor indexed="65"/>
        </patternFill>
      </fill>
    </ndxf>
  </rcc>
  <rfmt sheetId="2" sqref="F9" start="0" length="0">
    <dxf>
      <font>
        <i/>
        <sz val="14"/>
      </font>
      <fill>
        <patternFill patternType="none">
          <bgColor indexed="65"/>
        </patternFill>
      </fill>
    </dxf>
  </rfmt>
  <rfmt sheetId="2" sqref="G9" start="0" length="0">
    <dxf>
      <font>
        <i/>
        <sz val="14"/>
      </font>
      <fill>
        <patternFill patternType="none">
          <bgColor indexed="65"/>
        </patternFill>
      </fill>
    </dxf>
  </rfmt>
  <rfmt sheetId="2" sqref="H9" start="0" length="0">
    <dxf>
      <font>
        <i/>
        <sz val="14"/>
      </font>
      <fill>
        <patternFill patternType="none">
          <bgColor indexed="65"/>
        </patternFill>
      </fill>
    </dxf>
  </rfmt>
  <rcc rId="42" sId="2" odxf="1" dxf="1">
    <nc r="I9" t="inlineStr">
      <is>
        <t>Faiha</t>
      </is>
    </nc>
    <odxf>
      <font>
        <i val="0"/>
        <sz val="14"/>
      </font>
      <fill>
        <patternFill patternType="solid">
          <bgColor theme="0"/>
        </patternFill>
      </fill>
    </odxf>
    <ndxf>
      <font>
        <i/>
        <sz val="14"/>
      </font>
      <fill>
        <patternFill patternType="none">
          <bgColor indexed="65"/>
        </patternFill>
      </fill>
    </ndxf>
  </rcc>
  <rdn rId="0" localSheetId="1" customView="1" name="Z_3FD70E66_B699_4089_A2E2_369960B2F041_.wvu.PrintArea" hidden="1" oldHidden="1">
    <formula>'2'!$A$1:$J$39</formula>
  </rdn>
  <rdn rId="0" localSheetId="2" customView="1" name="Z_3FD70E66_B699_4089_A2E2_369960B2F041_.wvu.PrintArea" hidden="1" oldHidden="1">
    <formula>'4'!$A$1:$J$39</formula>
  </rdn>
  <rdn rId="0" localSheetId="3" customView="1" name="Z_3FD70E66_B699_4089_A2E2_369960B2F041_.wvu.PrintArea" hidden="1" oldHidden="1">
    <formula>'7'!$A$1:$J$39</formula>
  </rdn>
  <rdn rId="0" localSheetId="4" customView="1" name="Z_3FD70E66_B699_4089_A2E2_369960B2F041_.wvu.PrintArea" hidden="1" oldHidden="1">
    <formula>'9'!$A$1:$J$39</formula>
  </rdn>
  <rdn rId="0" localSheetId="5" customView="1" name="Z_3FD70E66_B699_4089_A2E2_369960B2F041_.wvu.PrintArea" hidden="1" oldHidden="1">
    <formula>'11'!$A$1:$J$39</formula>
  </rdn>
  <rdn rId="0" localSheetId="6" customView="1" name="Z_3FD70E66_B699_4089_A2E2_369960B2F041_.wvu.PrintArea" hidden="1" oldHidden="1">
    <formula>'14'!$A$1:$J$39</formula>
  </rdn>
  <rdn rId="0" localSheetId="7" customView="1" name="Z_3FD70E66_B699_4089_A2E2_369960B2F041_.wvu.PrintArea" hidden="1" oldHidden="1">
    <formula>'16'!$A$1:$J$39</formula>
  </rdn>
  <rdn rId="0" localSheetId="8" customView="1" name="Z_3FD70E66_B699_4089_A2E2_369960B2F041_.wvu.PrintArea" hidden="1" oldHidden="1">
    <formula>'18'!$A$1:$J$39</formula>
  </rdn>
  <rdn rId="0" localSheetId="9" customView="1" name="Z_3FD70E66_B699_4089_A2E2_369960B2F041_.wvu.PrintArea" hidden="1" oldHidden="1">
    <formula>'21'!$A$1:$J$39</formula>
  </rdn>
  <rdn rId="0" localSheetId="10" customView="1" name="Z_3FD70E66_B699_4089_A2E2_369960B2F041_.wvu.PrintArea" hidden="1" oldHidden="1">
    <formula>'23'!$A$1:$J$39</formula>
  </rdn>
  <rdn rId="0" localSheetId="11" customView="1" name="Z_3FD70E66_B699_4089_A2E2_369960B2F041_.wvu.PrintArea" hidden="1" oldHidden="1">
    <formula>'25'!$A$1:$J$39</formula>
  </rdn>
  <rdn rId="0" localSheetId="12" customView="1" name="Z_3FD70E66_B699_4089_A2E2_369960B2F041_.wvu.PrintArea" hidden="1" oldHidden="1">
    <formula>'28'!$A$1:$J$39</formula>
  </rdn>
  <rdn rId="0" localSheetId="13" customView="1" name="Z_3FD70E66_B699_4089_A2E2_369960B2F041_.wvu.PrintArea" hidden="1" oldHidden="1">
    <formula>'30'!$A$1:$J$39</formula>
  </rdn>
  <rcv guid="{3FD70E66-B699-4089-A2E2-369960B2F041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" sId="2" odxf="1" dxf="1">
    <nc r="J9" t="inlineStr">
      <is>
        <t>Faiha</t>
      </is>
    </nc>
    <odxf>
      <font>
        <i val="0"/>
        <sz val="14"/>
      </font>
      <fill>
        <patternFill patternType="solid">
          <bgColor theme="0"/>
        </patternFill>
      </fill>
    </odxf>
    <ndxf>
      <font>
        <i/>
        <sz val="14"/>
      </font>
      <fill>
        <patternFill patternType="none">
          <bgColor indexed="65"/>
        </patternFill>
      </fill>
    </ndxf>
  </rcc>
  <rcc rId="57" sId="2">
    <oc r="I9" t="inlineStr">
      <is>
        <t>Faiha</t>
      </is>
    </oc>
    <nc r="I9"/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" sId="1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59" sId="1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60" sId="1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61" sId="1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62" sId="1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63" sId="1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64" sId="1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65" sId="1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66" sId="1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67" sId="1">
    <oc r="K17">
      <f>IF(OR(NOT(ISERROR(MATCH(RIGHT(B17,3)+0,#REF!,0))),NOT(ISERROR(MATCH(LEFT(B17,3)+0,#REF!,0)))),"No Post","")</f>
    </oc>
    <nc r="K17">
      <f>IF(OR(NOT(ISERROR(MATCH(RIGHT(B17,3)+0,#REF!,0))),NOT(ISERROR(MATCH(LEFT(B17,3)+0,#REF!,0)))),"No Post","")</f>
    </nc>
  </rcc>
  <rcc rId="68" sId="1">
    <oc r="K18">
      <f>IF(OR(NOT(ISERROR(MATCH(RIGHT(B18,3)+0,#REF!,0))),NOT(ISERROR(MATCH(LEFT(B18,3)+0,#REF!,0)))),"No Post","")</f>
    </oc>
    <nc r="K18">
      <f>IF(OR(NOT(ISERROR(MATCH(RIGHT(B18,3)+0,#REF!,0))),NOT(ISERROR(MATCH(LEFT(B18,3)+0,#REF!,0)))),"No Post","")</f>
    </nc>
  </rcc>
  <rcc rId="69" sId="1">
    <oc r="K19">
      <f>IF(OR(NOT(ISERROR(MATCH(RIGHT(B19,3)+0,#REF!,0))),NOT(ISERROR(MATCH(LEFT(B19,3)+0,#REF!,0)))),"No Post","")</f>
    </oc>
    <nc r="K19">
      <f>IF(OR(NOT(ISERROR(MATCH(RIGHT(B19,3)+0,#REF!,0))),NOT(ISERROR(MATCH(LEFT(B19,3)+0,#REF!,0)))),"No Post","")</f>
    </nc>
  </rcc>
  <rcc rId="70" sId="1">
    <oc r="K20">
      <f>IF(OR(NOT(ISERROR(MATCH(RIGHT(B20,3)+0,#REF!,0))),NOT(ISERROR(MATCH(LEFT(B20,3)+0,#REF!,0)))),"No Post","")</f>
    </oc>
    <nc r="K20">
      <f>IF(OR(NOT(ISERROR(MATCH(RIGHT(B20,3)+0,#REF!,0))),NOT(ISERROR(MATCH(LEFT(B20,3)+0,#REF!,0)))),"No Post","")</f>
    </nc>
  </rcc>
  <rcc rId="71" sId="1">
    <oc r="K21">
      <f>IF(OR(NOT(ISERROR(MATCH(RIGHT(B21,3)+0,#REF!,0))),NOT(ISERROR(MATCH(LEFT(B21,3)+0,#REF!,0)))),"No Post","")</f>
    </oc>
    <nc r="K21">
      <f>IF(OR(NOT(ISERROR(MATCH(RIGHT(B21,3)+0,#REF!,0))),NOT(ISERROR(MATCH(LEFT(B21,3)+0,#REF!,0)))),"No Post","")</f>
    </nc>
  </rcc>
  <rcc rId="72" sId="1">
    <oc r="K22">
      <f>IF(OR(NOT(ISERROR(MATCH(RIGHT(B22,3)+0,#REF!,0))),NOT(ISERROR(MATCH(LEFT(B22,3)+0,#REF!,0)))),"No Post","")</f>
    </oc>
    <nc r="K22">
      <f>IF(OR(NOT(ISERROR(MATCH(RIGHT(B22,3)+0,#REF!,0))),NOT(ISERROR(MATCH(LEFT(B22,3)+0,#REF!,0)))),"No Post","")</f>
    </nc>
  </rcc>
  <rcc rId="73" sId="1">
    <oc r="K23">
      <f>IF(OR(NOT(ISERROR(MATCH(RIGHT(B23,3)+0,#REF!,0))),NOT(ISERROR(MATCH(LEFT(B23,3)+0,#REF!,0)))),"No Post","")</f>
    </oc>
    <nc r="K23">
      <f>IF(OR(NOT(ISERROR(MATCH(RIGHT(B23,3)+0,#REF!,0))),NOT(ISERROR(MATCH(LEFT(B23,3)+0,#REF!,0)))),"No Post","")</f>
    </nc>
  </rcc>
  <rcc rId="74" sId="1">
    <oc r="K24">
      <f>IF(OR(NOT(ISERROR(MATCH(RIGHT(B24,3)+0,#REF!,0))),NOT(ISERROR(MATCH(LEFT(B24,3)+0,#REF!,0)))),"No Post","")</f>
    </oc>
    <nc r="K24">
      <f>IF(OR(NOT(ISERROR(MATCH(RIGHT(B24,3)+0,#REF!,0))),NOT(ISERROR(MATCH(LEFT(B24,3)+0,#REF!,0)))),"No Post","")</f>
    </nc>
  </rcc>
  <rcc rId="75" sId="1">
    <oc r="K25">
      <f>IF(OR(NOT(ISERROR(MATCH(RIGHT(B25,3)+0,#REF!,0))),NOT(ISERROR(MATCH(LEFT(B25,3)+0,#REF!,0)))),"No Post","")</f>
    </oc>
    <nc r="K25">
      <f>IF(OR(NOT(ISERROR(MATCH(RIGHT(B25,3)+0,#REF!,0))),NOT(ISERROR(MATCH(LEFT(B25,3)+0,#REF!,0)))),"No Post","")</f>
    </nc>
  </rcc>
  <rcc rId="76" sId="1">
    <oc r="K26">
      <f>IF(OR(NOT(ISERROR(MATCH(RIGHT(B26,3)+0,#REF!,0))),NOT(ISERROR(MATCH(LEFT(B26,3)+0,#REF!,0)))),"No Post","")</f>
    </oc>
    <nc r="K26">
      <f>IF(OR(NOT(ISERROR(MATCH(RIGHT(B26,3)+0,#REF!,0))),NOT(ISERROR(MATCH(LEFT(B26,3)+0,#REF!,0)))),"No Post","")</f>
    </nc>
  </rcc>
  <rcc rId="77" sId="2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78" sId="2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79" sId="2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80" sId="2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81" sId="2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82" sId="2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83" sId="2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84" sId="2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85" sId="2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86" sId="2">
    <oc r="K17">
      <f>IF(OR(NOT(ISERROR(MATCH(RIGHT(B17,3)+0,#REF!,0))),NOT(ISERROR(MATCH(LEFT(B17,3)+0,#REF!,0)))),"No Post","")</f>
    </oc>
    <nc r="K17">
      <f>IF(OR(NOT(ISERROR(MATCH(RIGHT(B17,3)+0,#REF!,0))),NOT(ISERROR(MATCH(LEFT(B17,3)+0,#REF!,0)))),"No Post","")</f>
    </nc>
  </rcc>
  <rcc rId="87" sId="2">
    <oc r="K18">
      <f>IF(OR(NOT(ISERROR(MATCH(RIGHT(B18,3)+0,#REF!,0))),NOT(ISERROR(MATCH(LEFT(B18,3)+0,#REF!,0)))),"No Post","")</f>
    </oc>
    <nc r="K18">
      <f>IF(OR(NOT(ISERROR(MATCH(RIGHT(B18,3)+0,#REF!,0))),NOT(ISERROR(MATCH(LEFT(B18,3)+0,#REF!,0)))),"No Post","")</f>
    </nc>
  </rcc>
  <rcc rId="88" sId="2">
    <oc r="K19">
      <f>IF(OR(NOT(ISERROR(MATCH(RIGHT(B19,3)+0,#REF!,0))),NOT(ISERROR(MATCH(LEFT(B19,3)+0,#REF!,0)))),"No Post","")</f>
    </oc>
    <nc r="K19">
      <f>IF(OR(NOT(ISERROR(MATCH(RIGHT(B19,3)+0,#REF!,0))),NOT(ISERROR(MATCH(LEFT(B19,3)+0,#REF!,0)))),"No Post","")</f>
    </nc>
  </rcc>
  <rcc rId="89" sId="2">
    <oc r="K20">
      <f>IF(OR(NOT(ISERROR(MATCH(RIGHT(B20,3)+0,#REF!,0))),NOT(ISERROR(MATCH(LEFT(B20,3)+0,#REF!,0)))),"No Post","")</f>
    </oc>
    <nc r="K20">
      <f>IF(OR(NOT(ISERROR(MATCH(RIGHT(B20,3)+0,#REF!,0))),NOT(ISERROR(MATCH(LEFT(B20,3)+0,#REF!,0)))),"No Post","")</f>
    </nc>
  </rcc>
  <rcc rId="90" sId="2">
    <oc r="K21">
      <f>IF(OR(NOT(ISERROR(MATCH(RIGHT(B21,3)+0,#REF!,0))),NOT(ISERROR(MATCH(LEFT(B21,3)+0,#REF!,0)))),"No Post","")</f>
    </oc>
    <nc r="K21">
      <f>IF(OR(NOT(ISERROR(MATCH(RIGHT(B21,3)+0,#REF!,0))),NOT(ISERROR(MATCH(LEFT(B21,3)+0,#REF!,0)))),"No Post","")</f>
    </nc>
  </rcc>
  <rcc rId="91" sId="2">
    <oc r="K22">
      <f>IF(OR(NOT(ISERROR(MATCH(RIGHT(B22,3)+0,#REF!,0))),NOT(ISERROR(MATCH(LEFT(B22,3)+0,#REF!,0)))),"No Post","")</f>
    </oc>
    <nc r="K22">
      <f>IF(OR(NOT(ISERROR(MATCH(RIGHT(B22,3)+0,#REF!,0))),NOT(ISERROR(MATCH(LEFT(B22,3)+0,#REF!,0)))),"No Post","")</f>
    </nc>
  </rcc>
  <rcc rId="92" sId="2">
    <oc r="K23">
      <f>IF(OR(NOT(ISERROR(MATCH(RIGHT(B23,3)+0,#REF!,0))),NOT(ISERROR(MATCH(LEFT(B23,3)+0,#REF!,0)))),"No Post","")</f>
    </oc>
    <nc r="K23">
      <f>IF(OR(NOT(ISERROR(MATCH(RIGHT(B23,3)+0,#REF!,0))),NOT(ISERROR(MATCH(LEFT(B23,3)+0,#REF!,0)))),"No Post","")</f>
    </nc>
  </rcc>
  <rcc rId="93" sId="2">
    <oc r="K24">
      <f>IF(OR(NOT(ISERROR(MATCH(RIGHT(B24,3)+0,#REF!,0))),NOT(ISERROR(MATCH(LEFT(B24,3)+0,#REF!,0)))),"No Post","")</f>
    </oc>
    <nc r="K24">
      <f>IF(OR(NOT(ISERROR(MATCH(RIGHT(B24,3)+0,#REF!,0))),NOT(ISERROR(MATCH(LEFT(B24,3)+0,#REF!,0)))),"No Post","")</f>
    </nc>
  </rcc>
  <rcc rId="94" sId="2">
    <oc r="K25">
      <f>IF(OR(NOT(ISERROR(MATCH(RIGHT(B25,3)+0,#REF!,0))),NOT(ISERROR(MATCH(LEFT(B25,3)+0,#REF!,0)))),"No Post","")</f>
    </oc>
    <nc r="K25">
      <f>IF(OR(NOT(ISERROR(MATCH(RIGHT(B25,3)+0,#REF!,0))),NOT(ISERROR(MATCH(LEFT(B25,3)+0,#REF!,0)))),"No Post","")</f>
    </nc>
  </rcc>
  <rcc rId="95" sId="2">
    <oc r="K26">
      <f>IF(OR(NOT(ISERROR(MATCH(RIGHT(B26,3)+0,#REF!,0))),NOT(ISERROR(MATCH(LEFT(B26,3)+0,#REF!,0)))),"No Post","")</f>
    </oc>
    <nc r="K26">
      <f>IF(OR(NOT(ISERROR(MATCH(RIGHT(B26,3)+0,#REF!,0))),NOT(ISERROR(MATCH(LEFT(B26,3)+0,#REF!,0)))),"No Post","")</f>
    </nc>
  </rcc>
  <rcc rId="96" sId="3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97" sId="3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98" sId="3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99" sId="3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00" sId="3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01" sId="3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02" sId="3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03" sId="3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04" sId="3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05" sId="3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06" sId="3">
    <oc r="K17">
      <f>IF(OR(NOT(ISERROR(MATCH(RIGHT(B17,3)+0,#REF!,0))),NOT(ISERROR(MATCH(LEFT(B17,3)+0,#REF!,0)))),"No Post","")</f>
    </oc>
    <nc r="K17">
      <f>IF(OR(NOT(ISERROR(MATCH(RIGHT(B17,3)+0,#REF!,0))),NOT(ISERROR(MATCH(LEFT(B17,3)+0,#REF!,0)))),"No Post","")</f>
    </nc>
  </rcc>
  <rcc rId="107" sId="3">
    <oc r="K18">
      <f>IF(OR(NOT(ISERROR(MATCH(RIGHT(B18,3)+0,#REF!,0))),NOT(ISERROR(MATCH(LEFT(B18,3)+0,#REF!,0)))),"No Post","")</f>
    </oc>
    <nc r="K18">
      <f>IF(OR(NOT(ISERROR(MATCH(RIGHT(B18,3)+0,#REF!,0))),NOT(ISERROR(MATCH(LEFT(B18,3)+0,#REF!,0)))),"No Post","")</f>
    </nc>
  </rcc>
  <rcc rId="108" sId="3">
    <oc r="K19">
      <f>IF(OR(NOT(ISERROR(MATCH(RIGHT(B19,3)+0,#REF!,0))),NOT(ISERROR(MATCH(LEFT(B19,3)+0,#REF!,0)))),"No Post","")</f>
    </oc>
    <nc r="K19">
      <f>IF(OR(NOT(ISERROR(MATCH(RIGHT(B19,3)+0,#REF!,0))),NOT(ISERROR(MATCH(LEFT(B19,3)+0,#REF!,0)))),"No Post","")</f>
    </nc>
  </rcc>
  <rcc rId="109" sId="3">
    <oc r="K20">
      <f>IF(OR(NOT(ISERROR(MATCH(RIGHT(B20,3)+0,#REF!,0))),NOT(ISERROR(MATCH(LEFT(B20,3)+0,#REF!,0)))),"No Post","")</f>
    </oc>
    <nc r="K20">
      <f>IF(OR(NOT(ISERROR(MATCH(RIGHT(B20,3)+0,#REF!,0))),NOT(ISERROR(MATCH(LEFT(B20,3)+0,#REF!,0)))),"No Post","")</f>
    </nc>
  </rcc>
  <rcc rId="110" sId="3">
    <oc r="K21">
      <f>IF(OR(NOT(ISERROR(MATCH(RIGHT(B21,3)+0,#REF!,0))),NOT(ISERROR(MATCH(LEFT(B21,3)+0,#REF!,0)))),"No Post","")</f>
    </oc>
    <nc r="K21">
      <f>IF(OR(NOT(ISERROR(MATCH(RIGHT(B21,3)+0,#REF!,0))),NOT(ISERROR(MATCH(LEFT(B21,3)+0,#REF!,0)))),"No Post","")</f>
    </nc>
  </rcc>
  <rcc rId="111" sId="3">
    <oc r="K22">
      <f>IF(OR(NOT(ISERROR(MATCH(RIGHT(B22,3)+0,#REF!,0))),NOT(ISERROR(MATCH(LEFT(B22,3)+0,#REF!,0)))),"No Post","")</f>
    </oc>
    <nc r="K22">
      <f>IF(OR(NOT(ISERROR(MATCH(RIGHT(B22,3)+0,#REF!,0))),NOT(ISERROR(MATCH(LEFT(B22,3)+0,#REF!,0)))),"No Post","")</f>
    </nc>
  </rcc>
  <rcc rId="112" sId="3">
    <oc r="K23">
      <f>IF(OR(NOT(ISERROR(MATCH(RIGHT(B23,3)+0,#REF!,0))),NOT(ISERROR(MATCH(LEFT(B23,3)+0,#REF!,0)))),"No Post","")</f>
    </oc>
    <nc r="K23">
      <f>IF(OR(NOT(ISERROR(MATCH(RIGHT(B23,3)+0,#REF!,0))),NOT(ISERROR(MATCH(LEFT(B23,3)+0,#REF!,0)))),"No Post","")</f>
    </nc>
  </rcc>
  <rcc rId="113" sId="3">
    <oc r="K24">
      <f>IF(OR(NOT(ISERROR(MATCH(RIGHT(B24,3)+0,#REF!,0))),NOT(ISERROR(MATCH(LEFT(B24,3)+0,#REF!,0)))),"No Post","")</f>
    </oc>
    <nc r="K24">
      <f>IF(OR(NOT(ISERROR(MATCH(RIGHT(B24,3)+0,#REF!,0))),NOT(ISERROR(MATCH(LEFT(B24,3)+0,#REF!,0)))),"No Post","")</f>
    </nc>
  </rcc>
  <rcc rId="114" sId="3">
    <oc r="K25">
      <f>IF(OR(NOT(ISERROR(MATCH(RIGHT(B25,3)+0,#REF!,0))),NOT(ISERROR(MATCH(LEFT(B25,3)+0,#REF!,0)))),"No Post","")</f>
    </oc>
    <nc r="K25">
      <f>IF(OR(NOT(ISERROR(MATCH(RIGHT(B25,3)+0,#REF!,0))),NOT(ISERROR(MATCH(LEFT(B25,3)+0,#REF!,0)))),"No Post","")</f>
    </nc>
  </rcc>
  <rcc rId="115" sId="3">
    <oc r="K26">
      <f>IF(OR(NOT(ISERROR(MATCH(RIGHT(B26,3)+0,#REF!,0))),NOT(ISERROR(MATCH(LEFT(B26,3)+0,#REF!,0)))),"No Post","")</f>
    </oc>
    <nc r="K26">
      <f>IF(OR(NOT(ISERROR(MATCH(RIGHT(B26,3)+0,#REF!,0))),NOT(ISERROR(MATCH(LEFT(B26,3)+0,#REF!,0)))),"No Post","")</f>
    </nc>
  </rcc>
  <rcc rId="116" sId="4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17" sId="4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18" sId="4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19" sId="4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20" sId="4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21" sId="4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22" sId="4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23" sId="4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24" sId="4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25" sId="4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26" sId="4">
    <oc r="K17">
      <f>IF(OR(NOT(ISERROR(MATCH(RIGHT(B17,3)+0,#REF!,0))),NOT(ISERROR(MATCH(LEFT(B17,3)+0,#REF!,0)))),"No Post","")</f>
    </oc>
    <nc r="K17">
      <f>IF(OR(NOT(ISERROR(MATCH(RIGHT(B17,3)+0,#REF!,0))),NOT(ISERROR(MATCH(LEFT(B17,3)+0,#REF!,0)))),"No Post","")</f>
    </nc>
  </rcc>
  <rcc rId="127" sId="4">
    <oc r="K18">
      <f>IF(OR(NOT(ISERROR(MATCH(RIGHT(B18,3)+0,#REF!,0))),NOT(ISERROR(MATCH(LEFT(B18,3)+0,#REF!,0)))),"No Post","")</f>
    </oc>
    <nc r="K18">
      <f>IF(OR(NOT(ISERROR(MATCH(RIGHT(B18,3)+0,#REF!,0))),NOT(ISERROR(MATCH(LEFT(B18,3)+0,#REF!,0)))),"No Post","")</f>
    </nc>
  </rcc>
  <rcc rId="128" sId="4">
    <oc r="K19">
      <f>IF(OR(NOT(ISERROR(MATCH(RIGHT(B19,3)+0,#REF!,0))),NOT(ISERROR(MATCH(LEFT(B19,3)+0,#REF!,0)))),"No Post","")</f>
    </oc>
    <nc r="K19">
      <f>IF(OR(NOT(ISERROR(MATCH(RIGHT(B19,3)+0,#REF!,0))),NOT(ISERROR(MATCH(LEFT(B19,3)+0,#REF!,0)))),"No Post","")</f>
    </nc>
  </rcc>
  <rcc rId="129" sId="4">
    <oc r="K20">
      <f>IF(OR(NOT(ISERROR(MATCH(RIGHT(B20,3)+0,#REF!,0))),NOT(ISERROR(MATCH(LEFT(B20,3)+0,#REF!,0)))),"No Post","")</f>
    </oc>
    <nc r="K20">
      <f>IF(OR(NOT(ISERROR(MATCH(RIGHT(B20,3)+0,#REF!,0))),NOT(ISERROR(MATCH(LEFT(B20,3)+0,#REF!,0)))),"No Post","")</f>
    </nc>
  </rcc>
  <rcc rId="130" sId="4">
    <oc r="K21">
      <f>IF(OR(NOT(ISERROR(MATCH(RIGHT(B21,3)+0,#REF!,0))),NOT(ISERROR(MATCH(LEFT(B21,3)+0,#REF!,0)))),"No Post","")</f>
    </oc>
    <nc r="K21">
      <f>IF(OR(NOT(ISERROR(MATCH(RIGHT(B21,3)+0,#REF!,0))),NOT(ISERROR(MATCH(LEFT(B21,3)+0,#REF!,0)))),"No Post","")</f>
    </nc>
  </rcc>
  <rcc rId="131" sId="4">
    <oc r="K22">
      <f>IF(OR(NOT(ISERROR(MATCH(RIGHT(B22,3)+0,#REF!,0))),NOT(ISERROR(MATCH(LEFT(B22,3)+0,#REF!,0)))),"No Post","")</f>
    </oc>
    <nc r="K22">
      <f>IF(OR(NOT(ISERROR(MATCH(RIGHT(B22,3)+0,#REF!,0))),NOT(ISERROR(MATCH(LEFT(B22,3)+0,#REF!,0)))),"No Post","")</f>
    </nc>
  </rcc>
  <rcc rId="132" sId="4">
    <oc r="K23">
      <f>IF(OR(NOT(ISERROR(MATCH(RIGHT(B23,3)+0,#REF!,0))),NOT(ISERROR(MATCH(LEFT(B23,3)+0,#REF!,0)))),"No Post","")</f>
    </oc>
    <nc r="K23">
      <f>IF(OR(NOT(ISERROR(MATCH(RIGHT(B23,3)+0,#REF!,0))),NOT(ISERROR(MATCH(LEFT(B23,3)+0,#REF!,0)))),"No Post","")</f>
    </nc>
  </rcc>
  <rcc rId="133" sId="4">
    <oc r="K24">
      <f>IF(OR(NOT(ISERROR(MATCH(RIGHT(B24,3)+0,#REF!,0))),NOT(ISERROR(MATCH(LEFT(B24,3)+0,#REF!,0)))),"No Post","")</f>
    </oc>
    <nc r="K24">
      <f>IF(OR(NOT(ISERROR(MATCH(RIGHT(B24,3)+0,#REF!,0))),NOT(ISERROR(MATCH(LEFT(B24,3)+0,#REF!,0)))),"No Post","")</f>
    </nc>
  </rcc>
  <rcc rId="134" sId="4">
    <oc r="K25">
      <f>IF(OR(NOT(ISERROR(MATCH(RIGHT(B25,3)+0,#REF!,0))),NOT(ISERROR(MATCH(LEFT(B25,3)+0,#REF!,0)))),"No Post","")</f>
    </oc>
    <nc r="K25">
      <f>IF(OR(NOT(ISERROR(MATCH(RIGHT(B25,3)+0,#REF!,0))),NOT(ISERROR(MATCH(LEFT(B25,3)+0,#REF!,0)))),"No Post","")</f>
    </nc>
  </rcc>
  <rcc rId="135" sId="4">
    <oc r="K26">
      <f>IF(OR(NOT(ISERROR(MATCH(RIGHT(B26,3)+0,#REF!,0))),NOT(ISERROR(MATCH(LEFT(B26,3)+0,#REF!,0)))),"No Post","")</f>
    </oc>
    <nc r="K26">
      <f>IF(OR(NOT(ISERROR(MATCH(RIGHT(B26,3)+0,#REF!,0))),NOT(ISERROR(MATCH(LEFT(B26,3)+0,#REF!,0)))),"No Post","")</f>
    </nc>
  </rcc>
  <rcc rId="136" sId="5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37" sId="5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38" sId="5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39" sId="5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40" sId="5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41" sId="5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42" sId="5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43" sId="5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44" sId="5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45" sId="5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46" sId="5">
    <oc r="K17">
      <f>IF(OR(NOT(ISERROR(MATCH(RIGHT(B17,3)+0,#REF!,0))),NOT(ISERROR(MATCH(LEFT(B17,3)+0,#REF!,0)))),"No Post","")</f>
    </oc>
    <nc r="K17">
      <f>IF(OR(NOT(ISERROR(MATCH(RIGHT(B17,3)+0,#REF!,0))),NOT(ISERROR(MATCH(LEFT(B17,3)+0,#REF!,0)))),"No Post","")</f>
    </nc>
  </rcc>
  <rcc rId="147" sId="5">
    <oc r="K18">
      <f>IF(OR(NOT(ISERROR(MATCH(RIGHT(B18,3)+0,#REF!,0))),NOT(ISERROR(MATCH(LEFT(B18,3)+0,#REF!,0)))),"No Post","")</f>
    </oc>
    <nc r="K18">
      <f>IF(OR(NOT(ISERROR(MATCH(RIGHT(B18,3)+0,#REF!,0))),NOT(ISERROR(MATCH(LEFT(B18,3)+0,#REF!,0)))),"No Post","")</f>
    </nc>
  </rcc>
  <rcc rId="148" sId="5">
    <oc r="K19">
      <f>IF(OR(NOT(ISERROR(MATCH(RIGHT(B19,3)+0,#REF!,0))),NOT(ISERROR(MATCH(LEFT(B19,3)+0,#REF!,0)))),"No Post","")</f>
    </oc>
    <nc r="K19">
      <f>IF(OR(NOT(ISERROR(MATCH(RIGHT(B19,3)+0,#REF!,0))),NOT(ISERROR(MATCH(LEFT(B19,3)+0,#REF!,0)))),"No Post","")</f>
    </nc>
  </rcc>
  <rcc rId="149" sId="5">
    <oc r="K20">
      <f>IF(OR(NOT(ISERROR(MATCH(RIGHT(B20,3)+0,#REF!,0))),NOT(ISERROR(MATCH(LEFT(B20,3)+0,#REF!,0)))),"No Post","")</f>
    </oc>
    <nc r="K20">
      <f>IF(OR(NOT(ISERROR(MATCH(RIGHT(B20,3)+0,#REF!,0))),NOT(ISERROR(MATCH(LEFT(B20,3)+0,#REF!,0)))),"No Post","")</f>
    </nc>
  </rcc>
  <rcc rId="150" sId="5">
    <oc r="K21">
      <f>IF(OR(NOT(ISERROR(MATCH(RIGHT(B21,3)+0,#REF!,0))),NOT(ISERROR(MATCH(LEFT(B21,3)+0,#REF!,0)))),"No Post","")</f>
    </oc>
    <nc r="K21">
      <f>IF(OR(NOT(ISERROR(MATCH(RIGHT(B21,3)+0,#REF!,0))),NOT(ISERROR(MATCH(LEFT(B21,3)+0,#REF!,0)))),"No Post","")</f>
    </nc>
  </rcc>
  <rcc rId="151" sId="5">
    <oc r="K22">
      <f>IF(OR(NOT(ISERROR(MATCH(RIGHT(B22,3)+0,#REF!,0))),NOT(ISERROR(MATCH(LEFT(B22,3)+0,#REF!,0)))),"No Post","")</f>
    </oc>
    <nc r="K22">
      <f>IF(OR(NOT(ISERROR(MATCH(RIGHT(B22,3)+0,#REF!,0))),NOT(ISERROR(MATCH(LEFT(B22,3)+0,#REF!,0)))),"No Post","")</f>
    </nc>
  </rcc>
  <rcc rId="152" sId="5">
    <oc r="K23">
      <f>IF(OR(NOT(ISERROR(MATCH(RIGHT(B23,3)+0,#REF!,0))),NOT(ISERROR(MATCH(LEFT(B23,3)+0,#REF!,0)))),"No Post","")</f>
    </oc>
    <nc r="K23">
      <f>IF(OR(NOT(ISERROR(MATCH(RIGHT(B23,3)+0,#REF!,0))),NOT(ISERROR(MATCH(LEFT(B23,3)+0,#REF!,0)))),"No Post","")</f>
    </nc>
  </rcc>
  <rcc rId="153" sId="5">
    <oc r="K24">
      <f>IF(OR(NOT(ISERROR(MATCH(RIGHT(B24,3)+0,#REF!,0))),NOT(ISERROR(MATCH(LEFT(B24,3)+0,#REF!,0)))),"No Post","")</f>
    </oc>
    <nc r="K24">
      <f>IF(OR(NOT(ISERROR(MATCH(RIGHT(B24,3)+0,#REF!,0))),NOT(ISERROR(MATCH(LEFT(B24,3)+0,#REF!,0)))),"No Post","")</f>
    </nc>
  </rcc>
  <rcc rId="154" sId="5">
    <oc r="K25">
      <f>IF(OR(NOT(ISERROR(MATCH(RIGHT(B25,3)+0,#REF!,0))),NOT(ISERROR(MATCH(LEFT(B25,3)+0,#REF!,0)))),"No Post","")</f>
    </oc>
    <nc r="K25">
      <f>IF(OR(NOT(ISERROR(MATCH(RIGHT(B25,3)+0,#REF!,0))),NOT(ISERROR(MATCH(LEFT(B25,3)+0,#REF!,0)))),"No Post","")</f>
    </nc>
  </rcc>
  <rcc rId="155" sId="5">
    <oc r="K26">
      <f>IF(OR(NOT(ISERROR(MATCH(RIGHT(B26,3)+0,#REF!,0))),NOT(ISERROR(MATCH(LEFT(B26,3)+0,#REF!,0)))),"No Post","")</f>
    </oc>
    <nc r="K26">
      <f>IF(OR(NOT(ISERROR(MATCH(RIGHT(B26,3)+0,#REF!,0))),NOT(ISERROR(MATCH(LEFT(B26,3)+0,#REF!,0)))),"No Post","")</f>
    </nc>
  </rcc>
  <rcc rId="156" sId="6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57" sId="6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58" sId="6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59" sId="6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60" sId="6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61" sId="6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62" sId="6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63" sId="6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64" sId="6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65" sId="6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66" sId="6">
    <oc r="K17">
      <f>IF(OR(NOT(ISERROR(MATCH(RIGHT(B17,3)+0,#REF!,0))),NOT(ISERROR(MATCH(LEFT(B17,3)+0,#REF!,0)))),"No Post","")</f>
    </oc>
    <nc r="K17">
      <f>IF(OR(NOT(ISERROR(MATCH(RIGHT(B17,3)+0,#REF!,0))),NOT(ISERROR(MATCH(LEFT(B17,3)+0,#REF!,0)))),"No Post","")</f>
    </nc>
  </rcc>
  <rcc rId="167" sId="6">
    <oc r="K18">
      <f>IF(OR(NOT(ISERROR(MATCH(RIGHT(B18,3)+0,#REF!,0))),NOT(ISERROR(MATCH(LEFT(B18,3)+0,#REF!,0)))),"No Post","")</f>
    </oc>
    <nc r="K18">
      <f>IF(OR(NOT(ISERROR(MATCH(RIGHT(B18,3)+0,#REF!,0))),NOT(ISERROR(MATCH(LEFT(B18,3)+0,#REF!,0)))),"No Post","")</f>
    </nc>
  </rcc>
  <rcc rId="168" sId="6">
    <oc r="K19">
      <f>IF(OR(NOT(ISERROR(MATCH(RIGHT(B19,3)+0,#REF!,0))),NOT(ISERROR(MATCH(LEFT(B19,3)+0,#REF!,0)))),"No Post","")</f>
    </oc>
    <nc r="K19">
      <f>IF(OR(NOT(ISERROR(MATCH(RIGHT(B19,3)+0,#REF!,0))),NOT(ISERROR(MATCH(LEFT(B19,3)+0,#REF!,0)))),"No Post","")</f>
    </nc>
  </rcc>
  <rcc rId="169" sId="6">
    <oc r="K20">
      <f>IF(OR(NOT(ISERROR(MATCH(RIGHT(B20,3)+0,#REF!,0))),NOT(ISERROR(MATCH(LEFT(B20,3)+0,#REF!,0)))),"No Post","")</f>
    </oc>
    <nc r="K20">
      <f>IF(OR(NOT(ISERROR(MATCH(RIGHT(B20,3)+0,#REF!,0))),NOT(ISERROR(MATCH(LEFT(B20,3)+0,#REF!,0)))),"No Post","")</f>
    </nc>
  </rcc>
  <rcc rId="170" sId="6">
    <oc r="K21">
      <f>IF(OR(NOT(ISERROR(MATCH(RIGHT(B21,3)+0,#REF!,0))),NOT(ISERROR(MATCH(LEFT(B21,3)+0,#REF!,0)))),"No Post","")</f>
    </oc>
    <nc r="K21">
      <f>IF(OR(NOT(ISERROR(MATCH(RIGHT(B21,3)+0,#REF!,0))),NOT(ISERROR(MATCH(LEFT(B21,3)+0,#REF!,0)))),"No Post","")</f>
    </nc>
  </rcc>
  <rcc rId="171" sId="6">
    <oc r="K22">
      <f>IF(OR(NOT(ISERROR(MATCH(RIGHT(B22,3)+0,#REF!,0))),NOT(ISERROR(MATCH(LEFT(B22,3)+0,#REF!,0)))),"No Post","")</f>
    </oc>
    <nc r="K22">
      <f>IF(OR(NOT(ISERROR(MATCH(RIGHT(B22,3)+0,#REF!,0))),NOT(ISERROR(MATCH(LEFT(B22,3)+0,#REF!,0)))),"No Post","")</f>
    </nc>
  </rcc>
  <rcc rId="172" sId="6">
    <oc r="K23">
      <f>IF(OR(NOT(ISERROR(MATCH(RIGHT(B23,3)+0,#REF!,0))),NOT(ISERROR(MATCH(LEFT(B23,3)+0,#REF!,0)))),"No Post","")</f>
    </oc>
    <nc r="K23">
      <f>IF(OR(NOT(ISERROR(MATCH(RIGHT(B23,3)+0,#REF!,0))),NOT(ISERROR(MATCH(LEFT(B23,3)+0,#REF!,0)))),"No Post","")</f>
    </nc>
  </rcc>
  <rcc rId="173" sId="6">
    <oc r="K24">
      <f>IF(OR(NOT(ISERROR(MATCH(RIGHT(B24,3)+0,#REF!,0))),NOT(ISERROR(MATCH(LEFT(B24,3)+0,#REF!,0)))),"No Post","")</f>
    </oc>
    <nc r="K24">
      <f>IF(OR(NOT(ISERROR(MATCH(RIGHT(B24,3)+0,#REF!,0))),NOT(ISERROR(MATCH(LEFT(B24,3)+0,#REF!,0)))),"No Post","")</f>
    </nc>
  </rcc>
  <rcc rId="174" sId="6">
    <oc r="K25">
      <f>IF(OR(NOT(ISERROR(MATCH(RIGHT(B25,3)+0,#REF!,0))),NOT(ISERROR(MATCH(LEFT(B25,3)+0,#REF!,0)))),"No Post","")</f>
    </oc>
    <nc r="K25">
      <f>IF(OR(NOT(ISERROR(MATCH(RIGHT(B25,3)+0,#REF!,0))),NOT(ISERROR(MATCH(LEFT(B25,3)+0,#REF!,0)))),"No Post","")</f>
    </nc>
  </rcc>
  <rcc rId="175" sId="6">
    <oc r="K26">
      <f>IF(OR(NOT(ISERROR(MATCH(RIGHT(B26,3)+0,#REF!,0))),NOT(ISERROR(MATCH(LEFT(B26,3)+0,#REF!,0)))),"No Post","")</f>
    </oc>
    <nc r="K26">
      <f>IF(OR(NOT(ISERROR(MATCH(RIGHT(B26,3)+0,#REF!,0))),NOT(ISERROR(MATCH(LEFT(B26,3)+0,#REF!,0)))),"No Post","")</f>
    </nc>
  </rcc>
  <rcc rId="176" sId="7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77" sId="7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78" sId="7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79" sId="7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80" sId="7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81" sId="7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82" sId="7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83" sId="7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84" sId="7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85" sId="7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86" sId="7">
    <oc r="K17">
      <f>IF(OR(NOT(ISERROR(MATCH(RIGHT(B17,3)+0,#REF!,0))),NOT(ISERROR(MATCH(LEFT(B17,3)+0,#REF!,0)))),"No Post","")</f>
    </oc>
    <nc r="K17">
      <f>IF(OR(NOT(ISERROR(MATCH(RIGHT(B17,3)+0,#REF!,0))),NOT(ISERROR(MATCH(LEFT(B17,3)+0,#REF!,0)))),"No Post","")</f>
    </nc>
  </rcc>
  <rcc rId="187" sId="7">
    <oc r="K18">
      <f>IF(OR(NOT(ISERROR(MATCH(RIGHT(B18,3)+0,#REF!,0))),NOT(ISERROR(MATCH(LEFT(B18,3)+0,#REF!,0)))),"No Post","")</f>
    </oc>
    <nc r="K18">
      <f>IF(OR(NOT(ISERROR(MATCH(RIGHT(B18,3)+0,#REF!,0))),NOT(ISERROR(MATCH(LEFT(B18,3)+0,#REF!,0)))),"No Post","")</f>
    </nc>
  </rcc>
  <rcc rId="188" sId="7">
    <oc r="K19">
      <f>IF(OR(NOT(ISERROR(MATCH(RIGHT(B19,3)+0,#REF!,0))),NOT(ISERROR(MATCH(LEFT(B19,3)+0,#REF!,0)))),"No Post","")</f>
    </oc>
    <nc r="K19">
      <f>IF(OR(NOT(ISERROR(MATCH(RIGHT(B19,3)+0,#REF!,0))),NOT(ISERROR(MATCH(LEFT(B19,3)+0,#REF!,0)))),"No Post","")</f>
    </nc>
  </rcc>
  <rcc rId="189" sId="7">
    <oc r="K20">
      <f>IF(OR(NOT(ISERROR(MATCH(RIGHT(B20,3)+0,#REF!,0))),NOT(ISERROR(MATCH(LEFT(B20,3)+0,#REF!,0)))),"No Post","")</f>
    </oc>
    <nc r="K20">
      <f>IF(OR(NOT(ISERROR(MATCH(RIGHT(B20,3)+0,#REF!,0))),NOT(ISERROR(MATCH(LEFT(B20,3)+0,#REF!,0)))),"No Post","")</f>
    </nc>
  </rcc>
  <rcc rId="190" sId="7">
    <oc r="K21">
      <f>IF(OR(NOT(ISERROR(MATCH(RIGHT(B21,3)+0,#REF!,0))),NOT(ISERROR(MATCH(LEFT(B21,3)+0,#REF!,0)))),"No Post","")</f>
    </oc>
    <nc r="K21">
      <f>IF(OR(NOT(ISERROR(MATCH(RIGHT(B21,3)+0,#REF!,0))),NOT(ISERROR(MATCH(LEFT(B21,3)+0,#REF!,0)))),"No Post","")</f>
    </nc>
  </rcc>
  <rcc rId="191" sId="7">
    <oc r="K22">
      <f>IF(OR(NOT(ISERROR(MATCH(RIGHT(B22,3)+0,#REF!,0))),NOT(ISERROR(MATCH(LEFT(B22,3)+0,#REF!,0)))),"No Post","")</f>
    </oc>
    <nc r="K22">
      <f>IF(OR(NOT(ISERROR(MATCH(RIGHT(B22,3)+0,#REF!,0))),NOT(ISERROR(MATCH(LEFT(B22,3)+0,#REF!,0)))),"No Post","")</f>
    </nc>
  </rcc>
  <rcc rId="192" sId="7">
    <oc r="K23">
      <f>IF(OR(NOT(ISERROR(MATCH(RIGHT(B23,3)+0,#REF!,0))),NOT(ISERROR(MATCH(LEFT(B23,3)+0,#REF!,0)))),"No Post","")</f>
    </oc>
    <nc r="K23">
      <f>IF(OR(NOT(ISERROR(MATCH(RIGHT(B23,3)+0,#REF!,0))),NOT(ISERROR(MATCH(LEFT(B23,3)+0,#REF!,0)))),"No Post","")</f>
    </nc>
  </rcc>
  <rcc rId="193" sId="7">
    <oc r="K24">
      <f>IF(OR(NOT(ISERROR(MATCH(RIGHT(B24,3)+0,#REF!,0))),NOT(ISERROR(MATCH(LEFT(B24,3)+0,#REF!,0)))),"No Post","")</f>
    </oc>
    <nc r="K24">
      <f>IF(OR(NOT(ISERROR(MATCH(RIGHT(B24,3)+0,#REF!,0))),NOT(ISERROR(MATCH(LEFT(B24,3)+0,#REF!,0)))),"No Post","")</f>
    </nc>
  </rcc>
  <rcc rId="194" sId="7">
    <oc r="K25">
      <f>IF(OR(NOT(ISERROR(MATCH(RIGHT(B25,3)+0,#REF!,0))),NOT(ISERROR(MATCH(LEFT(B25,3)+0,#REF!,0)))),"No Post","")</f>
    </oc>
    <nc r="K25">
      <f>IF(OR(NOT(ISERROR(MATCH(RIGHT(B25,3)+0,#REF!,0))),NOT(ISERROR(MATCH(LEFT(B25,3)+0,#REF!,0)))),"No Post","")</f>
    </nc>
  </rcc>
  <rcc rId="195" sId="7">
    <oc r="K26">
      <f>IF(OR(NOT(ISERROR(MATCH(RIGHT(B26,3)+0,#REF!,0))),NOT(ISERROR(MATCH(LEFT(B26,3)+0,#REF!,0)))),"No Post","")</f>
    </oc>
    <nc r="K26">
      <f>IF(OR(NOT(ISERROR(MATCH(RIGHT(B26,3)+0,#REF!,0))),NOT(ISERROR(MATCH(LEFT(B26,3)+0,#REF!,0)))),"No Post","")</f>
    </nc>
  </rcc>
  <rcc rId="196" sId="8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97" sId="8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98" sId="8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99" sId="8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200" sId="8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201" sId="8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202" sId="8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203" sId="8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204" sId="8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205" sId="8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206" sId="8">
    <oc r="K17">
      <f>IF(OR(NOT(ISERROR(MATCH(RIGHT(B17,3)+0,#REF!,0))),NOT(ISERROR(MATCH(LEFT(B17,3)+0,#REF!,0)))),"No Post","")</f>
    </oc>
    <nc r="K17">
      <f>IF(OR(NOT(ISERROR(MATCH(RIGHT(B17,3)+0,#REF!,0))),NOT(ISERROR(MATCH(LEFT(B17,3)+0,#REF!,0)))),"No Post","")</f>
    </nc>
  </rcc>
  <rcc rId="207" sId="8">
    <oc r="K18">
      <f>IF(OR(NOT(ISERROR(MATCH(RIGHT(B18,3)+0,#REF!,0))),NOT(ISERROR(MATCH(LEFT(B18,3)+0,#REF!,0)))),"No Post","")</f>
    </oc>
    <nc r="K18">
      <f>IF(OR(NOT(ISERROR(MATCH(RIGHT(B18,3)+0,#REF!,0))),NOT(ISERROR(MATCH(LEFT(B18,3)+0,#REF!,0)))),"No Post","")</f>
    </nc>
  </rcc>
  <rcc rId="208" sId="8">
    <oc r="K19">
      <f>IF(OR(NOT(ISERROR(MATCH(RIGHT(B19,3)+0,#REF!,0))),NOT(ISERROR(MATCH(LEFT(B19,3)+0,#REF!,0)))),"No Post","")</f>
    </oc>
    <nc r="K19">
      <f>IF(OR(NOT(ISERROR(MATCH(RIGHT(B19,3)+0,#REF!,0))),NOT(ISERROR(MATCH(LEFT(B19,3)+0,#REF!,0)))),"No Post","")</f>
    </nc>
  </rcc>
  <rcc rId="209" sId="8">
    <oc r="K20">
      <f>IF(OR(NOT(ISERROR(MATCH(RIGHT(B20,3)+0,#REF!,0))),NOT(ISERROR(MATCH(LEFT(B20,3)+0,#REF!,0)))),"No Post","")</f>
    </oc>
    <nc r="K20">
      <f>IF(OR(NOT(ISERROR(MATCH(RIGHT(B20,3)+0,#REF!,0))),NOT(ISERROR(MATCH(LEFT(B20,3)+0,#REF!,0)))),"No Post","")</f>
    </nc>
  </rcc>
  <rcc rId="210" sId="8">
    <oc r="K21">
      <f>IF(OR(NOT(ISERROR(MATCH(RIGHT(B21,3)+0,#REF!,0))),NOT(ISERROR(MATCH(LEFT(B21,3)+0,#REF!,0)))),"No Post","")</f>
    </oc>
    <nc r="K21">
      <f>IF(OR(NOT(ISERROR(MATCH(RIGHT(B21,3)+0,#REF!,0))),NOT(ISERROR(MATCH(LEFT(B21,3)+0,#REF!,0)))),"No Post","")</f>
    </nc>
  </rcc>
  <rcc rId="211" sId="8">
    <oc r="K22">
      <f>IF(OR(NOT(ISERROR(MATCH(RIGHT(B22,3)+0,#REF!,0))),NOT(ISERROR(MATCH(LEFT(B22,3)+0,#REF!,0)))),"No Post","")</f>
    </oc>
    <nc r="K22">
      <f>IF(OR(NOT(ISERROR(MATCH(RIGHT(B22,3)+0,#REF!,0))),NOT(ISERROR(MATCH(LEFT(B22,3)+0,#REF!,0)))),"No Post","")</f>
    </nc>
  </rcc>
  <rcc rId="212" sId="8">
    <oc r="K23">
      <f>IF(OR(NOT(ISERROR(MATCH(RIGHT(B23,3)+0,#REF!,0))),NOT(ISERROR(MATCH(LEFT(B23,3)+0,#REF!,0)))),"No Post","")</f>
    </oc>
    <nc r="K23">
      <f>IF(OR(NOT(ISERROR(MATCH(RIGHT(B23,3)+0,#REF!,0))),NOT(ISERROR(MATCH(LEFT(B23,3)+0,#REF!,0)))),"No Post","")</f>
    </nc>
  </rcc>
  <rcc rId="213" sId="8">
    <oc r="K24">
      <f>IF(OR(NOT(ISERROR(MATCH(RIGHT(B24,3)+0,#REF!,0))),NOT(ISERROR(MATCH(LEFT(B24,3)+0,#REF!,0)))),"No Post","")</f>
    </oc>
    <nc r="K24">
      <f>IF(OR(NOT(ISERROR(MATCH(RIGHT(B24,3)+0,#REF!,0))),NOT(ISERROR(MATCH(LEFT(B24,3)+0,#REF!,0)))),"No Post","")</f>
    </nc>
  </rcc>
  <rcc rId="214" sId="8">
    <oc r="K25">
      <f>IF(OR(NOT(ISERROR(MATCH(RIGHT(B25,3)+0,#REF!,0))),NOT(ISERROR(MATCH(LEFT(B25,3)+0,#REF!,0)))),"No Post","")</f>
    </oc>
    <nc r="K25">
      <f>IF(OR(NOT(ISERROR(MATCH(RIGHT(B25,3)+0,#REF!,0))),NOT(ISERROR(MATCH(LEFT(B25,3)+0,#REF!,0)))),"No Post","")</f>
    </nc>
  </rcc>
  <rcc rId="215" sId="8">
    <oc r="K26">
      <f>IF(OR(NOT(ISERROR(MATCH(RIGHT(B26,3)+0,#REF!,0))),NOT(ISERROR(MATCH(LEFT(B26,3)+0,#REF!,0)))),"No Post","")</f>
    </oc>
    <nc r="K26">
      <f>IF(OR(NOT(ISERROR(MATCH(RIGHT(B26,3)+0,#REF!,0))),NOT(ISERROR(MATCH(LEFT(B26,3)+0,#REF!,0)))),"No Post","")</f>
    </nc>
  </rcc>
  <rcc rId="216" sId="9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217" sId="9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218" sId="9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219" sId="9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220" sId="9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221" sId="9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222" sId="9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223" sId="9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224" sId="9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225" sId="9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226" sId="9">
    <oc r="K17">
      <f>IF(OR(NOT(ISERROR(MATCH(RIGHT(B17,3)+0,#REF!,0))),NOT(ISERROR(MATCH(LEFT(B17,3)+0,#REF!,0)))),"No Post","")</f>
    </oc>
    <nc r="K17">
      <f>IF(OR(NOT(ISERROR(MATCH(RIGHT(B17,3)+0,#REF!,0))),NOT(ISERROR(MATCH(LEFT(B17,3)+0,#REF!,0)))),"No Post","")</f>
    </nc>
  </rcc>
  <rcc rId="227" sId="9">
    <oc r="K18">
      <f>IF(OR(NOT(ISERROR(MATCH(RIGHT(B18,3)+0,#REF!,0))),NOT(ISERROR(MATCH(LEFT(B18,3)+0,#REF!,0)))),"No Post","")</f>
    </oc>
    <nc r="K18">
      <f>IF(OR(NOT(ISERROR(MATCH(RIGHT(B18,3)+0,#REF!,0))),NOT(ISERROR(MATCH(LEFT(B18,3)+0,#REF!,0)))),"No Post","")</f>
    </nc>
  </rcc>
  <rcc rId="228" sId="9">
    <oc r="K19">
      <f>IF(OR(NOT(ISERROR(MATCH(RIGHT(B19,3)+0,#REF!,0))),NOT(ISERROR(MATCH(LEFT(B19,3)+0,#REF!,0)))),"No Post","")</f>
    </oc>
    <nc r="K19">
      <f>IF(OR(NOT(ISERROR(MATCH(RIGHT(B19,3)+0,#REF!,0))),NOT(ISERROR(MATCH(LEFT(B19,3)+0,#REF!,0)))),"No Post","")</f>
    </nc>
  </rcc>
  <rcc rId="229" sId="9">
    <oc r="K20">
      <f>IF(OR(NOT(ISERROR(MATCH(RIGHT(B20,3)+0,#REF!,0))),NOT(ISERROR(MATCH(LEFT(B20,3)+0,#REF!,0)))),"No Post","")</f>
    </oc>
    <nc r="K20">
      <f>IF(OR(NOT(ISERROR(MATCH(RIGHT(B20,3)+0,#REF!,0))),NOT(ISERROR(MATCH(LEFT(B20,3)+0,#REF!,0)))),"No Post","")</f>
    </nc>
  </rcc>
  <rcc rId="230" sId="9">
    <oc r="K21">
      <f>IF(OR(NOT(ISERROR(MATCH(RIGHT(B21,3)+0,#REF!,0))),NOT(ISERROR(MATCH(LEFT(B21,3)+0,#REF!,0)))),"No Post","")</f>
    </oc>
    <nc r="K21">
      <f>IF(OR(NOT(ISERROR(MATCH(RIGHT(B21,3)+0,#REF!,0))),NOT(ISERROR(MATCH(LEFT(B21,3)+0,#REF!,0)))),"No Post","")</f>
    </nc>
  </rcc>
  <rcc rId="231" sId="9">
    <oc r="K22">
      <f>IF(OR(NOT(ISERROR(MATCH(RIGHT(B22,3)+0,#REF!,0))),NOT(ISERROR(MATCH(LEFT(B22,3)+0,#REF!,0)))),"No Post","")</f>
    </oc>
    <nc r="K22">
      <f>IF(OR(NOT(ISERROR(MATCH(RIGHT(B22,3)+0,#REF!,0))),NOT(ISERROR(MATCH(LEFT(B22,3)+0,#REF!,0)))),"No Post","")</f>
    </nc>
  </rcc>
  <rcc rId="232" sId="9">
    <oc r="K23">
      <f>IF(OR(NOT(ISERROR(MATCH(RIGHT(B23,3)+0,#REF!,0))),NOT(ISERROR(MATCH(LEFT(B23,3)+0,#REF!,0)))),"No Post","")</f>
    </oc>
    <nc r="K23">
      <f>IF(OR(NOT(ISERROR(MATCH(RIGHT(B23,3)+0,#REF!,0))),NOT(ISERROR(MATCH(LEFT(B23,3)+0,#REF!,0)))),"No Post","")</f>
    </nc>
  </rcc>
  <rcc rId="233" sId="9">
    <oc r="K24">
      <f>IF(OR(NOT(ISERROR(MATCH(RIGHT(B24,3)+0,#REF!,0))),NOT(ISERROR(MATCH(LEFT(B24,3)+0,#REF!,0)))),"No Post","")</f>
    </oc>
    <nc r="K24">
      <f>IF(OR(NOT(ISERROR(MATCH(RIGHT(B24,3)+0,#REF!,0))),NOT(ISERROR(MATCH(LEFT(B24,3)+0,#REF!,0)))),"No Post","")</f>
    </nc>
  </rcc>
  <rcc rId="234" sId="9">
    <oc r="K25">
      <f>IF(OR(NOT(ISERROR(MATCH(RIGHT(B25,3)+0,#REF!,0))),NOT(ISERROR(MATCH(LEFT(B25,3)+0,#REF!,0)))),"No Post","")</f>
    </oc>
    <nc r="K25">
      <f>IF(OR(NOT(ISERROR(MATCH(RIGHT(B25,3)+0,#REF!,0))),NOT(ISERROR(MATCH(LEFT(B25,3)+0,#REF!,0)))),"No Post","")</f>
    </nc>
  </rcc>
  <rcc rId="235" sId="9">
    <oc r="K26">
      <f>IF(OR(NOT(ISERROR(MATCH(RIGHT(B26,3)+0,#REF!,0))),NOT(ISERROR(MATCH(LEFT(B26,3)+0,#REF!,0)))),"No Post","")</f>
    </oc>
    <nc r="K26">
      <f>IF(OR(NOT(ISERROR(MATCH(RIGHT(B26,3)+0,#REF!,0))),NOT(ISERROR(MATCH(LEFT(B26,3)+0,#REF!,0)))),"No Post","")</f>
    </nc>
  </rcc>
  <rcc rId="236" sId="10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237" sId="10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238" sId="10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239" sId="10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240" sId="10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241" sId="10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242" sId="10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243" sId="10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244" sId="10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245" sId="10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246" sId="10">
    <oc r="K17">
      <f>IF(OR(NOT(ISERROR(MATCH(RIGHT(B17,3)+0,#REF!,0))),NOT(ISERROR(MATCH(LEFT(B17,3)+0,#REF!,0)))),"No Post","")</f>
    </oc>
    <nc r="K17">
      <f>IF(OR(NOT(ISERROR(MATCH(RIGHT(B17,3)+0,#REF!,0))),NOT(ISERROR(MATCH(LEFT(B17,3)+0,#REF!,0)))),"No Post","")</f>
    </nc>
  </rcc>
  <rcc rId="247" sId="10">
    <oc r="K18">
      <f>IF(OR(NOT(ISERROR(MATCH(RIGHT(B18,3)+0,#REF!,0))),NOT(ISERROR(MATCH(LEFT(B18,3)+0,#REF!,0)))),"No Post","")</f>
    </oc>
    <nc r="K18">
      <f>IF(OR(NOT(ISERROR(MATCH(RIGHT(B18,3)+0,#REF!,0))),NOT(ISERROR(MATCH(LEFT(B18,3)+0,#REF!,0)))),"No Post","")</f>
    </nc>
  </rcc>
  <rcc rId="248" sId="10">
    <oc r="K19">
      <f>IF(OR(NOT(ISERROR(MATCH(RIGHT(B19,3)+0,#REF!,0))),NOT(ISERROR(MATCH(LEFT(B19,3)+0,#REF!,0)))),"No Post","")</f>
    </oc>
    <nc r="K19">
      <f>IF(OR(NOT(ISERROR(MATCH(RIGHT(B19,3)+0,#REF!,0))),NOT(ISERROR(MATCH(LEFT(B19,3)+0,#REF!,0)))),"No Post","")</f>
    </nc>
  </rcc>
  <rcc rId="249" sId="10">
    <oc r="K20">
      <f>IF(OR(NOT(ISERROR(MATCH(RIGHT(B20,3)+0,#REF!,0))),NOT(ISERROR(MATCH(LEFT(B20,3)+0,#REF!,0)))),"No Post","")</f>
    </oc>
    <nc r="K20">
      <f>IF(OR(NOT(ISERROR(MATCH(RIGHT(B20,3)+0,#REF!,0))),NOT(ISERROR(MATCH(LEFT(B20,3)+0,#REF!,0)))),"No Post","")</f>
    </nc>
  </rcc>
  <rcc rId="250" sId="10">
    <oc r="K21">
      <f>IF(OR(NOT(ISERROR(MATCH(RIGHT(B21,3)+0,#REF!,0))),NOT(ISERROR(MATCH(LEFT(B21,3)+0,#REF!,0)))),"No Post","")</f>
    </oc>
    <nc r="K21">
      <f>IF(OR(NOT(ISERROR(MATCH(RIGHT(B21,3)+0,#REF!,0))),NOT(ISERROR(MATCH(LEFT(B21,3)+0,#REF!,0)))),"No Post","")</f>
    </nc>
  </rcc>
  <rcc rId="251" sId="10">
    <oc r="K22">
      <f>IF(OR(NOT(ISERROR(MATCH(RIGHT(B22,3)+0,#REF!,0))),NOT(ISERROR(MATCH(LEFT(B22,3)+0,#REF!,0)))),"No Post","")</f>
    </oc>
    <nc r="K22">
      <f>IF(OR(NOT(ISERROR(MATCH(RIGHT(B22,3)+0,#REF!,0))),NOT(ISERROR(MATCH(LEFT(B22,3)+0,#REF!,0)))),"No Post","")</f>
    </nc>
  </rcc>
  <rcc rId="252" sId="10">
    <oc r="K23">
      <f>IF(OR(NOT(ISERROR(MATCH(RIGHT(B23,3)+0,#REF!,0))),NOT(ISERROR(MATCH(LEFT(B23,3)+0,#REF!,0)))),"No Post","")</f>
    </oc>
    <nc r="K23">
      <f>IF(OR(NOT(ISERROR(MATCH(RIGHT(B23,3)+0,#REF!,0))),NOT(ISERROR(MATCH(LEFT(B23,3)+0,#REF!,0)))),"No Post","")</f>
    </nc>
  </rcc>
  <rcc rId="253" sId="10">
    <oc r="K24">
      <f>IF(OR(NOT(ISERROR(MATCH(RIGHT(B24,3)+0,#REF!,0))),NOT(ISERROR(MATCH(LEFT(B24,3)+0,#REF!,0)))),"No Post","")</f>
    </oc>
    <nc r="K24">
      <f>IF(OR(NOT(ISERROR(MATCH(RIGHT(B24,3)+0,#REF!,0))),NOT(ISERROR(MATCH(LEFT(B24,3)+0,#REF!,0)))),"No Post","")</f>
    </nc>
  </rcc>
  <rcc rId="254" sId="10">
    <oc r="K25">
      <f>IF(OR(NOT(ISERROR(MATCH(RIGHT(B25,3)+0,#REF!,0))),NOT(ISERROR(MATCH(LEFT(B25,3)+0,#REF!,0)))),"No Post","")</f>
    </oc>
    <nc r="K25">
      <f>IF(OR(NOT(ISERROR(MATCH(RIGHT(B25,3)+0,#REF!,0))),NOT(ISERROR(MATCH(LEFT(B25,3)+0,#REF!,0)))),"No Post","")</f>
    </nc>
  </rcc>
  <rcc rId="255" sId="10">
    <oc r="K26">
      <f>IF(OR(NOT(ISERROR(MATCH(RIGHT(B26,3)+0,#REF!,0))),NOT(ISERROR(MATCH(LEFT(B26,3)+0,#REF!,0)))),"No Post","")</f>
    </oc>
    <nc r="K26">
      <f>IF(OR(NOT(ISERROR(MATCH(RIGHT(B26,3)+0,#REF!,0))),NOT(ISERROR(MATCH(LEFT(B26,3)+0,#REF!,0)))),"No Post","")</f>
    </nc>
  </rcc>
  <rcc rId="256" sId="11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257" sId="11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258" sId="11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259" sId="11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260" sId="11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261" sId="11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262" sId="11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263" sId="11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264" sId="11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265" sId="11">
    <oc r="K17">
      <f>IF(OR(NOT(ISERROR(MATCH(RIGHT(B17,3)+0,#REF!,0))),NOT(ISERROR(MATCH(LEFT(B17,3)+0,#REF!,0)))),"No Post","")</f>
    </oc>
    <nc r="K17">
      <f>IF(OR(NOT(ISERROR(MATCH(RIGHT(B17,3)+0,#REF!,0))),NOT(ISERROR(MATCH(LEFT(B17,3)+0,#REF!,0)))),"No Post","")</f>
    </nc>
  </rcc>
  <rcc rId="266" sId="11">
    <oc r="K18">
      <f>IF(OR(NOT(ISERROR(MATCH(RIGHT(B18,3)+0,#REF!,0))),NOT(ISERROR(MATCH(LEFT(B18,3)+0,#REF!,0)))),"No Post","")</f>
    </oc>
    <nc r="K18">
      <f>IF(OR(NOT(ISERROR(MATCH(RIGHT(B18,3)+0,#REF!,0))),NOT(ISERROR(MATCH(LEFT(B18,3)+0,#REF!,0)))),"No Post","")</f>
    </nc>
  </rcc>
  <rcc rId="267" sId="11">
    <oc r="K19">
      <f>IF(OR(NOT(ISERROR(MATCH(RIGHT(B19,3)+0,#REF!,0))),NOT(ISERROR(MATCH(LEFT(B19,3)+0,#REF!,0)))),"No Post","")</f>
    </oc>
    <nc r="K19">
      <f>IF(OR(NOT(ISERROR(MATCH(RIGHT(B19,3)+0,#REF!,0))),NOT(ISERROR(MATCH(LEFT(B19,3)+0,#REF!,0)))),"No Post","")</f>
    </nc>
  </rcc>
  <rcc rId="268" sId="11">
    <oc r="K20">
      <f>IF(OR(NOT(ISERROR(MATCH(RIGHT(B20,3)+0,#REF!,0))),NOT(ISERROR(MATCH(LEFT(B20,3)+0,#REF!,0)))),"No Post","")</f>
    </oc>
    <nc r="K20">
      <f>IF(OR(NOT(ISERROR(MATCH(RIGHT(B20,3)+0,#REF!,0))),NOT(ISERROR(MATCH(LEFT(B20,3)+0,#REF!,0)))),"No Post","")</f>
    </nc>
  </rcc>
  <rcc rId="269" sId="11">
    <oc r="K21">
      <f>IF(OR(NOT(ISERROR(MATCH(RIGHT(B21,3)+0,#REF!,0))),NOT(ISERROR(MATCH(LEFT(B21,3)+0,#REF!,0)))),"No Post","")</f>
    </oc>
    <nc r="K21">
      <f>IF(OR(NOT(ISERROR(MATCH(RIGHT(B21,3)+0,#REF!,0))),NOT(ISERROR(MATCH(LEFT(B21,3)+0,#REF!,0)))),"No Post","")</f>
    </nc>
  </rcc>
  <rcc rId="270" sId="11">
    <oc r="K22">
      <f>IF(OR(NOT(ISERROR(MATCH(RIGHT(B22,3)+0,#REF!,0))),NOT(ISERROR(MATCH(LEFT(B22,3)+0,#REF!,0)))),"No Post","")</f>
    </oc>
    <nc r="K22">
      <f>IF(OR(NOT(ISERROR(MATCH(RIGHT(B22,3)+0,#REF!,0))),NOT(ISERROR(MATCH(LEFT(B22,3)+0,#REF!,0)))),"No Post","")</f>
    </nc>
  </rcc>
  <rcc rId="271" sId="11">
    <oc r="K23">
      <f>IF(OR(NOT(ISERROR(MATCH(RIGHT(B23,3)+0,#REF!,0))),NOT(ISERROR(MATCH(LEFT(B23,3)+0,#REF!,0)))),"No Post","")</f>
    </oc>
    <nc r="K23">
      <f>IF(OR(NOT(ISERROR(MATCH(RIGHT(B23,3)+0,#REF!,0))),NOT(ISERROR(MATCH(LEFT(B23,3)+0,#REF!,0)))),"No Post","")</f>
    </nc>
  </rcc>
  <rcc rId="272" sId="11">
    <oc r="K24">
      <f>IF(OR(NOT(ISERROR(MATCH(RIGHT(B24,3)+0,#REF!,0))),NOT(ISERROR(MATCH(LEFT(B24,3)+0,#REF!,0)))),"No Post","")</f>
    </oc>
    <nc r="K24">
      <f>IF(OR(NOT(ISERROR(MATCH(RIGHT(B24,3)+0,#REF!,0))),NOT(ISERROR(MATCH(LEFT(B24,3)+0,#REF!,0)))),"No Post","")</f>
    </nc>
  </rcc>
  <rcc rId="273" sId="11">
    <oc r="K25">
      <f>IF(OR(NOT(ISERROR(MATCH(RIGHT(B25,3)+0,#REF!,0))),NOT(ISERROR(MATCH(LEFT(B25,3)+0,#REF!,0)))),"No Post","")</f>
    </oc>
    <nc r="K25">
      <f>IF(OR(NOT(ISERROR(MATCH(RIGHT(B25,3)+0,#REF!,0))),NOT(ISERROR(MATCH(LEFT(B25,3)+0,#REF!,0)))),"No Post","")</f>
    </nc>
  </rcc>
  <rcc rId="274" sId="11">
    <oc r="K26">
      <f>IF(OR(NOT(ISERROR(MATCH(RIGHT(B26,3)+0,#REF!,0))),NOT(ISERROR(MATCH(LEFT(B26,3)+0,#REF!,0)))),"No Post","")</f>
    </oc>
    <nc r="K26">
      <f>IF(OR(NOT(ISERROR(MATCH(RIGHT(B26,3)+0,#REF!,0))),NOT(ISERROR(MATCH(LEFT(B26,3)+0,#REF!,0)))),"No Post","")</f>
    </nc>
  </rcc>
  <rcc rId="275" sId="12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276" sId="12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277" sId="12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278" sId="12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279" sId="12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280" sId="12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281" sId="12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282" sId="12">
    <oc r="K17">
      <f>IF(OR(NOT(ISERROR(MATCH(RIGHT(B17,3)+0,#REF!,0))),NOT(ISERROR(MATCH(LEFT(B17,3)+0,#REF!,0)))),"No Post","")</f>
    </oc>
    <nc r="K17">
      <f>IF(OR(NOT(ISERROR(MATCH(RIGHT(B17,3)+0,#REF!,0))),NOT(ISERROR(MATCH(LEFT(B17,3)+0,#REF!,0)))),"No Post","")</f>
    </nc>
  </rcc>
  <rcc rId="283" sId="12">
    <oc r="K18">
      <f>IF(OR(NOT(ISERROR(MATCH(RIGHT(B18,3)+0,#REF!,0))),NOT(ISERROR(MATCH(LEFT(B18,3)+0,#REF!,0)))),"No Post","")</f>
    </oc>
    <nc r="K18">
      <f>IF(OR(NOT(ISERROR(MATCH(RIGHT(B18,3)+0,#REF!,0))),NOT(ISERROR(MATCH(LEFT(B18,3)+0,#REF!,0)))),"No Post","")</f>
    </nc>
  </rcc>
  <rcc rId="284" sId="12">
    <oc r="K19">
      <f>IF(OR(NOT(ISERROR(MATCH(RIGHT(B19,3)+0,#REF!,0))),NOT(ISERROR(MATCH(LEFT(B19,3)+0,#REF!,0)))),"No Post","")</f>
    </oc>
    <nc r="K19">
      <f>IF(OR(NOT(ISERROR(MATCH(RIGHT(B19,3)+0,#REF!,0))),NOT(ISERROR(MATCH(LEFT(B19,3)+0,#REF!,0)))),"No Post","")</f>
    </nc>
  </rcc>
  <rcc rId="285" sId="12">
    <oc r="K20">
      <f>IF(OR(NOT(ISERROR(MATCH(RIGHT(B20,3)+0,#REF!,0))),NOT(ISERROR(MATCH(LEFT(B20,3)+0,#REF!,0)))),"No Post","")</f>
    </oc>
    <nc r="K20">
      <f>IF(OR(NOT(ISERROR(MATCH(RIGHT(B20,3)+0,#REF!,0))),NOT(ISERROR(MATCH(LEFT(B20,3)+0,#REF!,0)))),"No Post","")</f>
    </nc>
  </rcc>
  <rcc rId="286" sId="12">
    <oc r="K21">
      <f>IF(OR(NOT(ISERROR(MATCH(RIGHT(B21,3)+0,#REF!,0))),NOT(ISERROR(MATCH(LEFT(B21,3)+0,#REF!,0)))),"No Post","")</f>
    </oc>
    <nc r="K21">
      <f>IF(OR(NOT(ISERROR(MATCH(RIGHT(B21,3)+0,#REF!,0))),NOT(ISERROR(MATCH(LEFT(B21,3)+0,#REF!,0)))),"No Post","")</f>
    </nc>
  </rcc>
  <rcc rId="287" sId="12">
    <oc r="K22">
      <f>IF(OR(NOT(ISERROR(MATCH(RIGHT(B22,3)+0,#REF!,0))),NOT(ISERROR(MATCH(LEFT(B22,3)+0,#REF!,0)))),"No Post","")</f>
    </oc>
    <nc r="K22">
      <f>IF(OR(NOT(ISERROR(MATCH(RIGHT(B22,3)+0,#REF!,0))),NOT(ISERROR(MATCH(LEFT(B22,3)+0,#REF!,0)))),"No Post","")</f>
    </nc>
  </rcc>
  <rcc rId="288" sId="12">
    <oc r="K23">
      <f>IF(OR(NOT(ISERROR(MATCH(RIGHT(B23,3)+0,#REF!,0))),NOT(ISERROR(MATCH(LEFT(B23,3)+0,#REF!,0)))),"No Post","")</f>
    </oc>
    <nc r="K23">
      <f>IF(OR(NOT(ISERROR(MATCH(RIGHT(B23,3)+0,#REF!,0))),NOT(ISERROR(MATCH(LEFT(B23,3)+0,#REF!,0)))),"No Post","")</f>
    </nc>
  </rcc>
  <rcc rId="289" sId="12">
    <oc r="K24">
      <f>IF(OR(NOT(ISERROR(MATCH(RIGHT(B24,3)+0,#REF!,0))),NOT(ISERROR(MATCH(LEFT(B24,3)+0,#REF!,0)))),"No Post","")</f>
    </oc>
    <nc r="K24">
      <f>IF(OR(NOT(ISERROR(MATCH(RIGHT(B24,3)+0,#REF!,0))),NOT(ISERROR(MATCH(LEFT(B24,3)+0,#REF!,0)))),"No Post","")</f>
    </nc>
  </rcc>
  <rcc rId="290" sId="12">
    <oc r="K25">
      <f>IF(OR(NOT(ISERROR(MATCH(RIGHT(B25,3)+0,#REF!,0))),NOT(ISERROR(MATCH(LEFT(B25,3)+0,#REF!,0)))),"No Post","")</f>
    </oc>
    <nc r="K25">
      <f>IF(OR(NOT(ISERROR(MATCH(RIGHT(B25,3)+0,#REF!,0))),NOT(ISERROR(MATCH(LEFT(B25,3)+0,#REF!,0)))),"No Post","")</f>
    </nc>
  </rcc>
  <rcc rId="291" sId="12">
    <oc r="K26">
      <f>IF(OR(NOT(ISERROR(MATCH(RIGHT(B26,3)+0,#REF!,0))),NOT(ISERROR(MATCH(LEFT(B26,3)+0,#REF!,0)))),"No Post","")</f>
    </oc>
    <nc r="K26">
      <f>IF(OR(NOT(ISERROR(MATCH(RIGHT(B26,3)+0,#REF!,0))),NOT(ISERROR(MATCH(LEFT(B26,3)+0,#REF!,0)))),"No Post","")</f>
    </nc>
  </rcc>
  <rcc rId="292" sId="13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293" sId="13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294" sId="13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295" sId="13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296" sId="13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297" sId="13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298" sId="13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299" sId="13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300" sId="13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301" sId="13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302" sId="13">
    <oc r="K17">
      <f>IF(OR(NOT(ISERROR(MATCH(RIGHT(B17,3)+0,#REF!,0))),NOT(ISERROR(MATCH(LEFT(B17,3)+0,#REF!,0)))),"No Post","")</f>
    </oc>
    <nc r="K17">
      <f>IF(OR(NOT(ISERROR(MATCH(RIGHT(B17,3)+0,#REF!,0))),NOT(ISERROR(MATCH(LEFT(B17,3)+0,#REF!,0)))),"No Post","")</f>
    </nc>
  </rcc>
  <rcc rId="303" sId="13">
    <oc r="K18">
      <f>IF(OR(NOT(ISERROR(MATCH(RIGHT(B18,3)+0,#REF!,0))),NOT(ISERROR(MATCH(LEFT(B18,3)+0,#REF!,0)))),"No Post","")</f>
    </oc>
    <nc r="K18">
      <f>IF(OR(NOT(ISERROR(MATCH(RIGHT(B18,3)+0,#REF!,0))),NOT(ISERROR(MATCH(LEFT(B18,3)+0,#REF!,0)))),"No Post","")</f>
    </nc>
  </rcc>
  <rcc rId="304" sId="13">
    <oc r="K19">
      <f>IF(OR(NOT(ISERROR(MATCH(RIGHT(B19,3)+0,#REF!,0))),NOT(ISERROR(MATCH(LEFT(B19,3)+0,#REF!,0)))),"No Post","")</f>
    </oc>
    <nc r="K19">
      <f>IF(OR(NOT(ISERROR(MATCH(RIGHT(B19,3)+0,#REF!,0))),NOT(ISERROR(MATCH(LEFT(B19,3)+0,#REF!,0)))),"No Post","")</f>
    </nc>
  </rcc>
  <rcc rId="305" sId="13">
    <oc r="K20">
      <f>IF(OR(NOT(ISERROR(MATCH(RIGHT(B20,3)+0,#REF!,0))),NOT(ISERROR(MATCH(LEFT(B20,3)+0,#REF!,0)))),"No Post","")</f>
    </oc>
    <nc r="K20">
      <f>IF(OR(NOT(ISERROR(MATCH(RIGHT(B20,3)+0,#REF!,0))),NOT(ISERROR(MATCH(LEFT(B20,3)+0,#REF!,0)))),"No Post","")</f>
    </nc>
  </rcc>
  <rcc rId="306" sId="13">
    <oc r="K21">
      <f>IF(OR(NOT(ISERROR(MATCH(RIGHT(B21,3)+0,#REF!,0))),NOT(ISERROR(MATCH(LEFT(B21,3)+0,#REF!,0)))),"No Post","")</f>
    </oc>
    <nc r="K21">
      <f>IF(OR(NOT(ISERROR(MATCH(RIGHT(B21,3)+0,#REF!,0))),NOT(ISERROR(MATCH(LEFT(B21,3)+0,#REF!,0)))),"No Post","")</f>
    </nc>
  </rcc>
  <rcc rId="307" sId="13">
    <oc r="K22">
      <f>IF(OR(NOT(ISERROR(MATCH(RIGHT(B22,3)+0,#REF!,0))),NOT(ISERROR(MATCH(LEFT(B22,3)+0,#REF!,0)))),"No Post","")</f>
    </oc>
    <nc r="K22">
      <f>IF(OR(NOT(ISERROR(MATCH(RIGHT(B22,3)+0,#REF!,0))),NOT(ISERROR(MATCH(LEFT(B22,3)+0,#REF!,0)))),"No Post","")</f>
    </nc>
  </rcc>
  <rcc rId="308" sId="13">
    <oc r="K23">
      <f>IF(OR(NOT(ISERROR(MATCH(RIGHT(B23,3)+0,#REF!,0))),NOT(ISERROR(MATCH(LEFT(B23,3)+0,#REF!,0)))),"No Post","")</f>
    </oc>
    <nc r="K23">
      <f>IF(OR(NOT(ISERROR(MATCH(RIGHT(B23,3)+0,#REF!,0))),NOT(ISERROR(MATCH(LEFT(B23,3)+0,#REF!,0)))),"No Post","")</f>
    </nc>
  </rcc>
  <rcc rId="309" sId="13">
    <oc r="K24">
      <f>IF(OR(NOT(ISERROR(MATCH(RIGHT(B24,3)+0,#REF!,0))),NOT(ISERROR(MATCH(LEFT(B24,3)+0,#REF!,0)))),"No Post","")</f>
    </oc>
    <nc r="K24">
      <f>IF(OR(NOT(ISERROR(MATCH(RIGHT(B24,3)+0,#REF!,0))),NOT(ISERROR(MATCH(LEFT(B24,3)+0,#REF!,0)))),"No Post","")</f>
    </nc>
  </rcc>
  <rcc rId="310" sId="13">
    <oc r="K25">
      <f>IF(OR(NOT(ISERROR(MATCH(RIGHT(B25,3)+0,#REF!,0))),NOT(ISERROR(MATCH(LEFT(B25,3)+0,#REF!,0)))),"No Post","")</f>
    </oc>
    <nc r="K25">
      <f>IF(OR(NOT(ISERROR(MATCH(RIGHT(B25,3)+0,#REF!,0))),NOT(ISERROR(MATCH(LEFT(B25,3)+0,#REF!,0)))),"No Post","")</f>
    </nc>
  </rcc>
  <rcc rId="311" sId="13">
    <oc r="K26">
      <f>IF(OR(NOT(ISERROR(MATCH(RIGHT(B26,3)+0,#REF!,0))),NOT(ISERROR(MATCH(LEFT(B26,3)+0,#REF!,0)))),"No Post","")</f>
    </oc>
    <nc r="K26">
      <f>IF(OR(NOT(ISERROR(MATCH(RIGHT(B26,3)+0,#REF!,0))),NOT(ISERROR(MATCH(LEFT(B26,3)+0,#REF!,0)))),"No Post","")</f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" sId="2">
    <nc r="C11" t="inlineStr">
      <is>
        <t>BOOKING CLOSED</t>
      </is>
    </nc>
  </rcc>
  <rfmt sheetId="2" sqref="C11">
    <dxf>
      <fill>
        <patternFill>
          <bgColor rgb="FFFF0000"/>
        </patternFill>
      </fill>
    </dxf>
  </rfmt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3" sId="2">
    <nc r="B10">
      <v>618</v>
    </nc>
  </rcc>
  <rcc rId="314" sId="2">
    <nc r="E10">
      <v>2</v>
    </nc>
  </rcc>
  <rcc rId="315" sId="2">
    <nc r="J10" t="inlineStr">
      <is>
        <t>Faiha</t>
      </is>
    </nc>
  </rcc>
  <rcc rId="316" sId="2">
    <nc r="C10" t="inlineStr">
      <is>
        <t>Olaf Enzenross</t>
      </is>
    </nc>
  </rcc>
  <rcc rId="317" sId="2" numFmtId="19">
    <nc r="D10">
      <v>46122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10">
    <dxf>
      <fill>
        <patternFill>
          <bgColor rgb="FF00B050"/>
        </patternFill>
      </fill>
    </dxf>
  </rfmt>
  <rfmt sheetId="2" sqref="B9">
    <dxf>
      <fill>
        <patternFill patternType="solid">
          <bgColor rgb="FF00B050"/>
        </patternFill>
      </fill>
    </dxf>
  </rfmt>
  <rcc rId="318" sId="2">
    <oc r="E7">
      <v>4</v>
    </oc>
    <nc r="E7" t="inlineStr">
      <is>
        <t>CXL4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8">
    <dxf>
      <fill>
        <patternFill>
          <bgColor rgb="FF92D050"/>
        </patternFill>
      </fill>
    </dxf>
  </rfmt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8">
    <dxf>
      <fill>
        <patternFill>
          <bgColor rgb="FF00B050"/>
        </patternFill>
      </fill>
    </dxf>
  </rfmt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9" sId="3">
    <nc r="B7">
      <v>817</v>
    </nc>
  </rcc>
  <rcc rId="320" sId="3">
    <nc r="E7">
      <v>2</v>
    </nc>
  </rcc>
  <rcc rId="321" sId="3">
    <nc r="J7" t="inlineStr">
      <is>
        <t>Faiha</t>
      </is>
    </nc>
  </rcc>
  <rcc rId="322" sId="3">
    <nc r="F7">
      <v>2</v>
    </nc>
  </rcc>
  <rcc rId="323" sId="3">
    <nc r="C7" t="inlineStr">
      <is>
        <t>Daniel Cotterill</t>
      </is>
    </nc>
  </rcc>
  <rcc rId="324" sId="3" numFmtId="19">
    <nc r="D7">
      <v>46123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5" sId="3">
    <nc r="E8">
      <v>2</v>
    </nc>
  </rcc>
  <rcc rId="326" sId="3">
    <nc r="F8">
      <v>2</v>
    </nc>
  </rcc>
  <rcc rId="327" sId="3">
    <nc r="B8">
      <v>615</v>
    </nc>
  </rcc>
  <rcc rId="328" sId="3">
    <nc r="J8" t="inlineStr">
      <is>
        <t>Aiperi/Tarush</t>
      </is>
    </nc>
  </rcc>
  <rcc rId="329" sId="3">
    <nc r="C8" t="inlineStr">
      <is>
        <t>Artem Iushmanov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0" sId="3">
    <oc r="E8">
      <v>2</v>
    </oc>
    <nc r="E8">
      <v>3</v>
    </nc>
  </rcc>
  <rcc rId="331" sId="3">
    <oc r="F8">
      <v>2</v>
    </oc>
    <nc r="F8">
      <v>1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2" sId="3">
    <oc r="E8">
      <v>3</v>
    </oc>
    <nc r="E8" t="inlineStr">
      <is>
        <t>cxl3</t>
      </is>
    </nc>
  </rcc>
  <rcc rId="333" sId="3">
    <oc r="F8">
      <v>1</v>
    </oc>
    <nc r="F8" t="inlineStr">
      <is>
        <t>cxl1</t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" sId="4">
    <nc r="B7">
      <v>815</v>
    </nc>
  </rcc>
  <rcc rId="335" sId="4">
    <nc r="E7">
      <v>2</v>
    </nc>
  </rcc>
  <rcc rId="336" sId="4">
    <nc r="F7">
      <v>2</v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B7" start="0" length="0">
    <dxf>
      <border outline="0">
        <top style="thin">
          <color indexed="64"/>
        </top>
      </border>
    </dxf>
  </rfmt>
  <rcc rId="337" sId="4" odxf="1" dxf="1">
    <nc r="C7" t="inlineStr">
      <is>
        <t>Steven Woods</t>
      </is>
    </nc>
    <odxf>
      <alignment horizontal="left" readingOrder="0"/>
      <border outline="0">
        <top/>
      </border>
    </odxf>
    <ndxf>
      <alignment horizontal="center" readingOrder="0"/>
      <border outline="0">
        <top style="thin">
          <color indexed="64"/>
        </top>
      </border>
    </ndxf>
  </rcc>
  <rcc rId="338" sId="4" odxf="1" dxf="1" numFmtId="19">
    <nc r="D7">
      <v>46129</v>
    </nc>
    <odxf>
      <border outline="0">
        <top/>
      </border>
    </odxf>
    <ndxf>
      <border outline="0">
        <top style="thin">
          <color indexed="64"/>
        </top>
      </border>
    </ndxf>
  </rcc>
  <rfmt sheetId="4" sqref="E7" start="0" length="0">
    <dxf>
      <border outline="0">
        <top style="thin">
          <color indexed="64"/>
        </top>
      </border>
    </dxf>
  </rfmt>
  <rfmt sheetId="4" sqref="F7" start="0" length="0">
    <dxf>
      <border outline="0">
        <top style="thin">
          <color indexed="64"/>
        </top>
      </border>
    </dxf>
  </rfmt>
  <rfmt sheetId="4" sqref="G7" start="0" length="0">
    <dxf>
      <border outline="0">
        <top style="thin">
          <color indexed="64"/>
        </top>
      </border>
    </dxf>
  </rfmt>
  <rfmt sheetId="4" sqref="H7" start="0" length="0">
    <dxf>
      <border outline="0">
        <top style="thin">
          <color indexed="64"/>
        </top>
      </border>
    </dxf>
  </rfmt>
  <rcc rId="339" sId="4" odxf="1" dxf="1">
    <nc r="I7" t="inlineStr">
      <is>
        <t>Archana/Tarush</t>
      </is>
    </nc>
    <odxf>
      <border outline="0">
        <top/>
      </border>
    </odxf>
    <ndxf>
      <border outline="0">
        <top style="thin">
          <color indexed="64"/>
        </top>
      </border>
    </ndxf>
  </rcc>
  <rm rId="340" sheetId="4" source="I7" destination="J7" sourceSheetId="4">
    <rfmt sheetId="4" sqref="J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</rm>
  <rcv guid="{AA8333F4-A272-457D-BE6D-1B569A227B28}" action="delete"/>
  <rdn rId="0" localSheetId="1" customView="1" name="Z_AA8333F4_A272_457D_BE6D_1B569A227B28_.wvu.PrintArea" hidden="1" oldHidden="1">
    <formula>'2'!$A$1:$J$39</formula>
    <oldFormula>'2'!$A$1:$J$39</oldFormula>
  </rdn>
  <rdn rId="0" localSheetId="2" customView="1" name="Z_AA8333F4_A272_457D_BE6D_1B569A227B28_.wvu.PrintArea" hidden="1" oldHidden="1">
    <formula>'4'!$A$1:$J$39</formula>
    <oldFormula>'4'!$A$1:$J$39</oldFormula>
  </rdn>
  <rdn rId="0" localSheetId="3" customView="1" name="Z_AA8333F4_A272_457D_BE6D_1B569A227B28_.wvu.PrintArea" hidden="1" oldHidden="1">
    <formula>'7'!$A$1:$J$39</formula>
    <oldFormula>'7'!$A$1:$J$39</oldFormula>
  </rdn>
  <rdn rId="0" localSheetId="4" customView="1" name="Z_AA8333F4_A272_457D_BE6D_1B569A227B28_.wvu.PrintArea" hidden="1" oldHidden="1">
    <formula>'9'!$A$1:$J$39</formula>
    <oldFormula>'9'!$A$1:$J$39</oldFormula>
  </rdn>
  <rdn rId="0" localSheetId="5" customView="1" name="Z_AA8333F4_A272_457D_BE6D_1B569A227B28_.wvu.PrintArea" hidden="1" oldHidden="1">
    <formula>'11'!$A$1:$J$39</formula>
    <oldFormula>'11'!$A$1:$J$39</oldFormula>
  </rdn>
  <rdn rId="0" localSheetId="6" customView="1" name="Z_AA8333F4_A272_457D_BE6D_1B569A227B28_.wvu.PrintArea" hidden="1" oldHidden="1">
    <formula>'14'!$A$1:$J$39</formula>
    <oldFormula>'14'!$A$1:$J$39</oldFormula>
  </rdn>
  <rdn rId="0" localSheetId="7" customView="1" name="Z_AA8333F4_A272_457D_BE6D_1B569A227B28_.wvu.PrintArea" hidden="1" oldHidden="1">
    <formula>'16'!$A$1:$J$39</formula>
    <oldFormula>'16'!$A$1:$J$39</oldFormula>
  </rdn>
  <rdn rId="0" localSheetId="8" customView="1" name="Z_AA8333F4_A272_457D_BE6D_1B569A227B28_.wvu.PrintArea" hidden="1" oldHidden="1">
    <formula>'18'!$A$1:$J$39</formula>
    <oldFormula>'18'!$A$1:$J$39</oldFormula>
  </rdn>
  <rdn rId="0" localSheetId="9" customView="1" name="Z_AA8333F4_A272_457D_BE6D_1B569A227B28_.wvu.PrintArea" hidden="1" oldHidden="1">
    <formula>'21'!$A$1:$J$39</formula>
    <oldFormula>'21'!$A$1:$J$39</oldFormula>
  </rdn>
  <rdn rId="0" localSheetId="10" customView="1" name="Z_AA8333F4_A272_457D_BE6D_1B569A227B28_.wvu.PrintArea" hidden="1" oldHidden="1">
    <formula>'23'!$A$1:$J$39</formula>
    <oldFormula>'23'!$A$1:$J$39</oldFormula>
  </rdn>
  <rdn rId="0" localSheetId="11" customView="1" name="Z_AA8333F4_A272_457D_BE6D_1B569A227B28_.wvu.PrintArea" hidden="1" oldHidden="1">
    <formula>'25'!$A$1:$J$39</formula>
    <oldFormula>'25'!$A$1:$J$39</oldFormula>
  </rdn>
  <rdn rId="0" localSheetId="12" customView="1" name="Z_AA8333F4_A272_457D_BE6D_1B569A227B28_.wvu.PrintArea" hidden="1" oldHidden="1">
    <formula>'28'!$A$1:$J$39</formula>
    <oldFormula>'28'!$A$1:$J$39</oldFormula>
  </rdn>
  <rdn rId="0" localSheetId="13" customView="1" name="Z_AA8333F4_A272_457D_BE6D_1B569A227B28_.wvu.PrintArea" hidden="1" oldHidden="1">
    <formula>'30'!$A$1:$J$39</formula>
    <oldFormula>'30'!$A$1:$J$39</oldFormula>
  </rdn>
  <rcv guid="{AA8333F4-A272-457D-BE6D-1B569A227B28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4" sId="4">
    <nc r="B8">
      <v>613</v>
    </nc>
  </rcc>
  <rcc rId="355" sId="4" odxf="1" dxf="1">
    <nc r="C8" t="inlineStr">
      <is>
        <t>Sergei Miroshnichenko</t>
      </is>
    </nc>
    <odxf>
      <alignment horizontal="left" readingOrder="0"/>
    </odxf>
    <ndxf>
      <alignment horizontal="center" readingOrder="0"/>
    </ndxf>
  </rcc>
  <rcc rId="356" sId="4" numFmtId="19">
    <nc r="D8">
      <v>46124</v>
    </nc>
  </rcc>
  <rcc rId="357" sId="4">
    <nc r="E8">
      <v>2</v>
    </nc>
  </rcc>
  <rcc rId="358" sId="4">
    <nc r="F8">
      <v>1</v>
    </nc>
  </rcc>
  <rcc rId="359" sId="4">
    <nc r="B9">
      <v>614</v>
    </nc>
  </rcc>
  <rfmt sheetId="4" sqref="C9" start="0" length="0">
    <dxf>
      <alignment horizontal="center" readingOrder="0"/>
    </dxf>
  </rfmt>
  <rcc rId="360" sId="4">
    <nc r="E9">
      <v>2</v>
    </nc>
  </rcc>
  <rcc rId="361" sId="4">
    <nc r="J8" t="inlineStr">
      <is>
        <t>Aiperi/Maaji</t>
      </is>
    </nc>
  </rcc>
  <rcc rId="362" sId="4">
    <nc r="J9" t="inlineStr">
      <is>
        <t>Aiperi/Maaji</t>
      </is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3" sId="5" odxf="1" dxf="1">
    <nc r="B9">
      <v>852</v>
    </nc>
    <odxf>
      <alignment vertical="top" readingOrder="0"/>
    </odxf>
    <ndxf>
      <alignment vertical="center" readingOrder="0"/>
    </ndxf>
  </rcc>
  <rcc rId="364" sId="5" odxf="1" dxf="1">
    <nc r="C9" t="inlineStr">
      <is>
        <t>Mr. Erik Fitzgerald</t>
      </is>
    </nc>
    <odxf>
      <alignment vertical="top" readingOrder="0"/>
    </odxf>
    <ndxf>
      <alignment vertical="center" readingOrder="0"/>
    </ndxf>
  </rcc>
  <rcc rId="365" sId="5" odxf="1" dxf="1" numFmtId="19">
    <nc r="D9">
      <v>46124</v>
    </nc>
    <odxf>
      <alignment vertical="top" readingOrder="0"/>
    </odxf>
    <ndxf>
      <alignment vertical="center" readingOrder="0"/>
    </ndxf>
  </rcc>
  <rcc rId="366" sId="5" odxf="1" dxf="1">
    <nc r="E9">
      <v>3</v>
    </nc>
    <odxf>
      <alignment vertical="top" readingOrder="0"/>
    </odxf>
    <ndxf>
      <alignment vertical="center" readingOrder="0"/>
    </ndxf>
  </rcc>
  <rfmt sheetId="5" sqref="F9" start="0" length="0">
    <dxf>
      <alignment vertical="center" readingOrder="0"/>
    </dxf>
  </rfmt>
  <rfmt sheetId="5" sqref="G9" start="0" length="0">
    <dxf>
      <alignment vertical="center" readingOrder="0"/>
    </dxf>
  </rfmt>
  <rfmt sheetId="5" sqref="H9" start="0" length="0">
    <dxf>
      <alignment horizontal="left" vertical="center" readingOrder="0"/>
    </dxf>
  </rfmt>
  <rcc rId="367" sId="5" odxf="1" dxf="1">
    <nc r="I9" t="inlineStr">
      <is>
        <t>Tarush</t>
      </is>
    </nc>
    <odxf>
      <alignment horizontal="center" vertical="top" readingOrder="0"/>
    </odxf>
    <ndxf>
      <alignment horizontal="left" vertical="center" readingOrder="0"/>
    </ndxf>
  </rcc>
  <rm rId="368" sheetId="5" source="I9" destination="J9" sourceSheetId="5">
    <rfmt sheetId="5" sqref="J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v guid="{C196B21B-5907-4E7A-90A7-4D3D9BC207B9}" action="delete"/>
  <rdn rId="0" localSheetId="1" customView="1" name="Z_C196B21B_5907_4E7A_90A7_4D3D9BC207B9_.wvu.PrintArea" hidden="1" oldHidden="1">
    <formula>'2'!$A$1:$J$39</formula>
    <oldFormula>'2'!$A$1:$J$39</oldFormula>
  </rdn>
  <rdn rId="0" localSheetId="2" customView="1" name="Z_C196B21B_5907_4E7A_90A7_4D3D9BC207B9_.wvu.PrintArea" hidden="1" oldHidden="1">
    <formula>'4'!$A$1:$J$39</formula>
    <oldFormula>'4'!$A$1:$J$39</oldFormula>
  </rdn>
  <rdn rId="0" localSheetId="3" customView="1" name="Z_C196B21B_5907_4E7A_90A7_4D3D9BC207B9_.wvu.PrintArea" hidden="1" oldHidden="1">
    <formula>'7'!$A$1:$J$39</formula>
    <oldFormula>'7'!$A$1:$J$39</oldFormula>
  </rdn>
  <rdn rId="0" localSheetId="4" customView="1" name="Z_C196B21B_5907_4E7A_90A7_4D3D9BC207B9_.wvu.PrintArea" hidden="1" oldHidden="1">
    <formula>'9'!$A$1:$J$39</formula>
    <oldFormula>'9'!$A$1:$J$39</oldFormula>
  </rdn>
  <rdn rId="0" localSheetId="5" customView="1" name="Z_C196B21B_5907_4E7A_90A7_4D3D9BC207B9_.wvu.PrintArea" hidden="1" oldHidden="1">
    <formula>'11'!$A$1:$J$39</formula>
    <oldFormula>'11'!$A$1:$J$39</oldFormula>
  </rdn>
  <rdn rId="0" localSheetId="6" customView="1" name="Z_C196B21B_5907_4E7A_90A7_4D3D9BC207B9_.wvu.PrintArea" hidden="1" oldHidden="1">
    <formula>'14'!$A$1:$J$39</formula>
    <oldFormula>'14'!$A$1:$J$39</oldFormula>
  </rdn>
  <rdn rId="0" localSheetId="7" customView="1" name="Z_C196B21B_5907_4E7A_90A7_4D3D9BC207B9_.wvu.PrintArea" hidden="1" oldHidden="1">
    <formula>'16'!$A$1:$J$39</formula>
    <oldFormula>'16'!$A$1:$J$39</oldFormula>
  </rdn>
  <rdn rId="0" localSheetId="8" customView="1" name="Z_C196B21B_5907_4E7A_90A7_4D3D9BC207B9_.wvu.PrintArea" hidden="1" oldHidden="1">
    <formula>'18'!$A$1:$J$39</formula>
    <oldFormula>'18'!$A$1:$J$39</oldFormula>
  </rdn>
  <rdn rId="0" localSheetId="9" customView="1" name="Z_C196B21B_5907_4E7A_90A7_4D3D9BC207B9_.wvu.PrintArea" hidden="1" oldHidden="1">
    <formula>'21'!$A$1:$J$39</formula>
    <oldFormula>'21'!$A$1:$J$39</oldFormula>
  </rdn>
  <rdn rId="0" localSheetId="10" customView="1" name="Z_C196B21B_5907_4E7A_90A7_4D3D9BC207B9_.wvu.PrintArea" hidden="1" oldHidden="1">
    <formula>'23'!$A$1:$J$39</formula>
    <oldFormula>'23'!$A$1:$J$39</oldFormula>
  </rdn>
  <rdn rId="0" localSheetId="11" customView="1" name="Z_C196B21B_5907_4E7A_90A7_4D3D9BC207B9_.wvu.PrintArea" hidden="1" oldHidden="1">
    <formula>'25'!$A$1:$J$39</formula>
    <oldFormula>'25'!$A$1:$J$39</oldFormula>
  </rdn>
  <rdn rId="0" localSheetId="12" customView="1" name="Z_C196B21B_5907_4E7A_90A7_4D3D9BC207B9_.wvu.PrintArea" hidden="1" oldHidden="1">
    <formula>'28'!$A$1:$J$39</formula>
    <oldFormula>'28'!$A$1:$J$39</oldFormula>
  </rdn>
  <rdn rId="0" localSheetId="13" customView="1" name="Z_C196B21B_5907_4E7A_90A7_4D3D9BC207B9_.wvu.PrintArea" hidden="1" oldHidden="1">
    <formula>'30'!$A$1:$J$39</formula>
    <oldFormula>'30'!$A$1:$J$39</oldFormula>
  </rdn>
  <rcv guid="{C196B21B-5907-4E7A-90A7-4D3D9BC207B9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2" sId="5">
    <oc r="E9">
      <v>3</v>
    </oc>
    <nc r="E9">
      <v>2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3" sId="3">
    <oc r="E7">
      <v>2</v>
    </oc>
    <nc r="E7" t="inlineStr">
      <is>
        <t>CXL 2</t>
      </is>
    </nc>
  </rcc>
  <rcc rId="384" sId="3">
    <oc r="F7">
      <v>2</v>
    </oc>
    <nc r="F7" t="inlineStr">
      <is>
        <t>CXL 2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5" sId="3">
    <nc r="C9">
      <v>0</v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A8333F4-A272-457D-BE6D-1B569A227B28}" action="delete"/>
  <rdn rId="0" localSheetId="1" customView="1" name="Z_AA8333F4_A272_457D_BE6D_1B569A227B28_.wvu.PrintArea" hidden="1" oldHidden="1">
    <formula>'2'!$A$1:$J$39</formula>
    <oldFormula>'2'!$A$1:$J$39</oldFormula>
  </rdn>
  <rdn rId="0" localSheetId="2" customView="1" name="Z_AA8333F4_A272_457D_BE6D_1B569A227B28_.wvu.PrintArea" hidden="1" oldHidden="1">
    <formula>'4'!$A$1:$J$39</formula>
    <oldFormula>'4'!$A$1:$J$39</oldFormula>
  </rdn>
  <rdn rId="0" localSheetId="3" customView="1" name="Z_AA8333F4_A272_457D_BE6D_1B569A227B28_.wvu.PrintArea" hidden="1" oldHidden="1">
    <formula>'7'!$A$1:$J$39</formula>
    <oldFormula>'7'!$A$1:$J$39</oldFormula>
  </rdn>
  <rdn rId="0" localSheetId="4" customView="1" name="Z_AA8333F4_A272_457D_BE6D_1B569A227B28_.wvu.PrintArea" hidden="1" oldHidden="1">
    <formula>'9'!$A$1:$J$39</formula>
    <oldFormula>'9'!$A$1:$J$39</oldFormula>
  </rdn>
  <rdn rId="0" localSheetId="5" customView="1" name="Z_AA8333F4_A272_457D_BE6D_1B569A227B28_.wvu.PrintArea" hidden="1" oldHidden="1">
    <formula>'11'!$A$1:$J$39</formula>
    <oldFormula>'11'!$A$1:$J$39</oldFormula>
  </rdn>
  <rdn rId="0" localSheetId="6" customView="1" name="Z_AA8333F4_A272_457D_BE6D_1B569A227B28_.wvu.PrintArea" hidden="1" oldHidden="1">
    <formula>'14'!$A$1:$J$39</formula>
    <oldFormula>'14'!$A$1:$J$39</oldFormula>
  </rdn>
  <rdn rId="0" localSheetId="7" customView="1" name="Z_AA8333F4_A272_457D_BE6D_1B569A227B28_.wvu.PrintArea" hidden="1" oldHidden="1">
    <formula>'16'!$A$1:$J$39</formula>
    <oldFormula>'16'!$A$1:$J$39</oldFormula>
  </rdn>
  <rdn rId="0" localSheetId="8" customView="1" name="Z_AA8333F4_A272_457D_BE6D_1B569A227B28_.wvu.PrintArea" hidden="1" oldHidden="1">
    <formula>'18'!$A$1:$J$39</formula>
    <oldFormula>'18'!$A$1:$J$39</oldFormula>
  </rdn>
  <rdn rId="0" localSheetId="9" customView="1" name="Z_AA8333F4_A272_457D_BE6D_1B569A227B28_.wvu.PrintArea" hidden="1" oldHidden="1">
    <formula>'21'!$A$1:$J$39</formula>
    <oldFormula>'21'!$A$1:$J$39</oldFormula>
  </rdn>
  <rdn rId="0" localSheetId="10" customView="1" name="Z_AA8333F4_A272_457D_BE6D_1B569A227B28_.wvu.PrintArea" hidden="1" oldHidden="1">
    <formula>'23'!$A$1:$J$39</formula>
    <oldFormula>'23'!$A$1:$J$39</oldFormula>
  </rdn>
  <rdn rId="0" localSheetId="11" customView="1" name="Z_AA8333F4_A272_457D_BE6D_1B569A227B28_.wvu.PrintArea" hidden="1" oldHidden="1">
    <formula>'25'!$A$1:$J$39</formula>
    <oldFormula>'25'!$A$1:$J$39</oldFormula>
  </rdn>
  <rdn rId="0" localSheetId="12" customView="1" name="Z_AA8333F4_A272_457D_BE6D_1B569A227B28_.wvu.PrintArea" hidden="1" oldHidden="1">
    <formula>'28'!$A$1:$J$39</formula>
    <oldFormula>'28'!$A$1:$J$39</oldFormula>
  </rdn>
  <rdn rId="0" localSheetId="13" customView="1" name="Z_AA8333F4_A272_457D_BE6D_1B569A227B28_.wvu.PrintArea" hidden="1" oldHidden="1">
    <formula>'30'!$A$1:$J$39</formula>
    <oldFormula>'30'!$A$1:$J$39</oldFormula>
  </rdn>
  <rcv guid="{AA8333F4-A272-457D-BE6D-1B569A227B28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9" sId="3">
    <oc r="C9">
      <v>0</v>
    </oc>
    <nc r="C9"/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0" sId="4">
    <nc r="B10">
      <v>851</v>
    </nc>
  </rcc>
  <rcc rId="401" sId="4">
    <nc r="E10">
      <v>2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2" sId="4">
    <nc r="J10" t="inlineStr">
      <is>
        <t>Rahil/Faiha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3" sId="4">
    <nc r="C10" t="inlineStr">
      <is>
        <t>Walid Rouag</t>
      </is>
    </nc>
  </rcc>
  <rcc rId="404" sId="4" numFmtId="19">
    <nc r="D10">
      <v>46122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5" sId="4">
    <nc r="B11">
      <v>887</v>
    </nc>
  </rcc>
  <rcc rId="406" sId="4">
    <nc r="E11">
      <v>2</v>
    </nc>
  </rcc>
  <rcc rId="407" sId="4">
    <nc r="J11" t="inlineStr">
      <is>
        <t>Faiha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8" sId="4">
    <nc r="C11" t="inlineStr">
      <is>
        <t xml:space="preserve">Mark Curant </t>
      </is>
    </nc>
  </rcc>
  <rcc rId="409" sId="4" numFmtId="19">
    <nc r="D11">
      <v>46124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0" sId="4">
    <nc r="B12">
      <v>842</v>
    </nc>
  </rcc>
  <rcc rId="411" sId="4">
    <nc r="E12">
      <v>2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2" sId="4">
    <nc r="C12" t="inlineStr">
      <is>
        <t xml:space="preserve">Hui Ju </t>
      </is>
    </nc>
  </rcc>
  <rcc rId="413" sId="4" numFmtId="19">
    <nc r="D12">
      <v>46125</v>
    </nc>
  </rcc>
  <rcc rId="414" sId="4">
    <nc r="J12" t="inlineStr">
      <is>
        <t>Rahil/UV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5" sId="4">
    <oc r="E7">
      <v>2</v>
    </oc>
    <nc r="E7" t="inlineStr">
      <is>
        <t>cxl2</t>
      </is>
    </nc>
  </rcc>
  <rcc rId="416" sId="4">
    <oc r="F7">
      <v>2</v>
    </oc>
    <nc r="F7" t="inlineStr">
      <is>
        <t>cxl2</t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7" sId="4">
    <nc r="C9" t="inlineStr">
      <is>
        <t>Roman Chernitsyn</t>
      </is>
    </nc>
  </rcc>
  <rcc rId="418" sId="4" numFmtId="19">
    <nc r="D9">
      <v>46126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9" sId="4">
    <nc r="B13">
      <v>816</v>
    </nc>
  </rcc>
  <rcc rId="420" sId="4">
    <nc r="E13">
      <v>2</v>
    </nc>
  </rcc>
  <rcc rId="421" sId="4">
    <nc r="F13">
      <v>1</v>
    </nc>
  </rcc>
  <rcc rId="422" sId="4">
    <nc r="J13" t="inlineStr">
      <is>
        <t>Astrid/Maaji</t>
      </is>
    </nc>
  </rcc>
  <rcc rId="423" sId="4">
    <nc r="C13" t="inlineStr">
      <is>
        <t>Carl Duckworth</t>
      </is>
    </nc>
  </rcc>
  <rcc rId="424" sId="4" numFmtId="19">
    <nc r="D13">
      <v>46123</v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5" sId="4">
    <oc r="E13">
      <v>2</v>
    </oc>
    <nc r="E13" t="inlineStr">
      <is>
        <t>CXL 2</t>
      </is>
    </nc>
  </rcc>
  <rcc rId="426" sId="4">
    <oc r="E27">
      <f>SUM(E22:E26)</f>
    </oc>
    <nc r="E27">
      <f>SUM(E7:E26)</f>
    </nc>
  </rcc>
  <rcc rId="427" sId="4">
    <oc r="F27">
      <f>SUM(F22:F26)</f>
    </oc>
    <nc r="F27">
      <f>SUM(F7:F26)</f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8" sId="5">
    <nc r="B10">
      <v>613</v>
    </nc>
  </rcc>
  <rcc rId="429" sId="5">
    <nc r="B11">
      <v>604</v>
    </nc>
  </rcc>
  <rcc rId="430" sId="5">
    <nc r="E10">
      <v>2</v>
    </nc>
  </rcc>
  <rcc rId="431" sId="5">
    <nc r="E11">
      <v>2</v>
    </nc>
  </rcc>
  <rcc rId="432" sId="5">
    <nc r="J10" t="inlineStr">
      <is>
        <t>Rahil/Aiperi</t>
      </is>
    </nc>
  </rcc>
  <rcc rId="433" sId="5">
    <nc r="J11" t="inlineStr">
      <is>
        <t>Rahil/Aiperi</t>
      </is>
    </nc>
  </rcc>
  <rcc rId="434" sId="4">
    <nc r="B14">
      <v>604</v>
    </nc>
  </rcc>
  <rcc rId="435" sId="4">
    <nc r="J14" t="inlineStr">
      <is>
        <t>Rahil/Aiperi</t>
      </is>
    </nc>
  </rcc>
  <rcc rId="436" sId="4">
    <nc r="E14">
      <v>2</v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7" sId="5" odxf="1" dxf="1">
    <nc r="C10" t="inlineStr">
      <is>
        <t>Sergei Miroshnichenko</t>
      </is>
    </nc>
    <odxf>
      <alignment horizontal="left" readingOrder="0"/>
    </odxf>
    <ndxf>
      <alignment horizontal="center" readingOrder="0"/>
    </ndxf>
  </rcc>
  <rcc rId="438" sId="5" numFmtId="19">
    <nc r="D10">
      <v>46124</v>
    </nc>
  </rcc>
  <rcc rId="439" sId="5">
    <nc r="F10">
      <v>1</v>
    </nc>
  </rcc>
  <rcc rId="440" sId="5">
    <nc r="C11" t="inlineStr">
      <is>
        <t>Andrei Kiskichev</t>
      </is>
    </nc>
  </rcc>
  <rcc rId="441" sId="5" numFmtId="19">
    <nc r="D11">
      <v>46124</v>
    </nc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2" sId="4">
    <nc r="C14" t="inlineStr">
      <is>
        <t>Andrei Kiskichev</t>
      </is>
    </nc>
  </rcc>
  <rcc rId="443" sId="4" numFmtId="19">
    <nc r="D14">
      <v>46124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4" sId="4">
    <oc r="F13">
      <v>1</v>
    </oc>
    <nc r="F13" t="inlineStr">
      <is>
        <t>cxl1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A11">
    <dxf>
      <fill>
        <patternFill patternType="solid">
          <bgColor rgb="FFFF0000"/>
        </patternFill>
      </fill>
    </dxf>
  </rfmt>
  <rfmt sheetId="4" sqref="A10">
    <dxf>
      <fill>
        <patternFill patternType="solid">
          <bgColor rgb="FFFF0000"/>
        </patternFill>
      </fill>
    </dxf>
  </rfmt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A12">
    <dxf>
      <fill>
        <patternFill>
          <bgColor rgb="FFFF0000"/>
        </patternFill>
      </fill>
    </dxf>
  </rfmt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5" sId="5">
    <oc r="B8" t="inlineStr">
      <is>
        <t>Prebooking</t>
      </is>
    </oc>
    <nc r="B8">
      <v>802</v>
    </nc>
  </rcc>
  <rcc rId="446" sId="5">
    <oc r="E8">
      <v>2</v>
    </oc>
    <nc r="E8" t="inlineStr">
      <is>
        <t>cxl2</t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7" sId="5" odxf="1" dxf="1">
    <nc r="C13" t="inlineStr">
      <is>
        <t>BOOKING CLOSED</t>
      </is>
    </nc>
    <odxf>
      <fill>
        <patternFill>
          <bgColor theme="0"/>
        </patternFill>
      </fill>
      <alignment horizontal="left" vertical="top" readingOrder="0"/>
      <border outline="0">
        <top style="thin">
          <color indexed="64"/>
        </top>
      </border>
    </odxf>
    <ndxf>
      <fill>
        <patternFill>
          <bgColor rgb="FFFF0000"/>
        </patternFill>
      </fill>
      <alignment horizontal="general" vertical="center" readingOrder="0"/>
      <border outline="0">
        <top/>
      </border>
    </ndxf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8" sId="5">
    <nc r="B12">
      <v>217</v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9" sId="5">
    <nc r="J12" t="inlineStr">
      <is>
        <t>Lorenzo/Aneem</t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0" sId="5">
    <oc r="B12">
      <v>217</v>
    </oc>
    <nc r="B12"/>
  </rcc>
  <rcc rId="451" sId="5">
    <oc r="J12" t="inlineStr">
      <is>
        <t>Lorenzo/Aneem</t>
      </is>
    </oc>
    <nc r="J12"/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2" sId="5">
    <oc r="B7" t="inlineStr">
      <is>
        <t>Prebooking</t>
      </is>
    </oc>
    <nc r="B7">
      <v>653</v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3" sId="5">
    <nc r="B12">
      <v>805</v>
    </nc>
  </rcc>
  <rcc rId="454" sId="5">
    <nc r="E12">
      <v>2</v>
    </nc>
  </rcc>
  <rcc rId="455" sId="5">
    <nc r="J12" t="inlineStr">
      <is>
        <t>Anni</t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6" sId="5" ref="A13:XFD13" action="insertRow"/>
  <rcc rId="457" sId="5">
    <nc r="B13">
      <v>841</v>
    </nc>
  </rcc>
  <rcc rId="458" sId="5" odxf="1" dxf="1">
    <nc r="C13" t="inlineStr">
      <is>
        <t>Borja Garcia Sousa</t>
      </is>
    </nc>
    <odxf>
      <alignment horizontal="left" readingOrder="0"/>
      <border outline="0">
        <top/>
      </border>
    </odxf>
    <ndxf>
      <alignment horizontal="center" readingOrder="0"/>
      <border outline="0">
        <top style="thin">
          <color indexed="64"/>
        </top>
      </border>
    </ndxf>
  </rcc>
  <rcc rId="459" sId="5" numFmtId="19">
    <nc r="D13">
      <v>46125</v>
    </nc>
  </rcc>
  <rcc rId="460" sId="5">
    <nc r="E13">
      <v>1</v>
    </nc>
  </rcc>
  <rcc rId="461" sId="5">
    <nc r="J13" t="inlineStr">
      <is>
        <t>Maaji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2" sId="5" ref="A14:XFD14" action="insertRow"/>
  <rcc rId="463" sId="5">
    <nc r="C14" t="inlineStr">
      <is>
        <t>Jenny/Aiperi</t>
      </is>
    </nc>
  </rcc>
  <rcc rId="464" sId="5">
    <nc r="E14">
      <v>2</v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5" sId="6">
    <nc r="B7">
      <v>871</v>
    </nc>
  </rcc>
  <rcc rId="466" sId="6">
    <nc r="E7">
      <v>2</v>
    </nc>
  </rcc>
  <rcc rId="467" sId="6">
    <nc r="J7" t="inlineStr">
      <is>
        <t>Aneem</t>
      </is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8" sId="6" xfDxf="1" dxf="1">
    <nc r="C7" t="inlineStr">
      <is>
        <t>Mrs. Kimberly Stoller</t>
      </is>
    </nc>
    <ndxf>
      <font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9" sId="6" xfDxf="1" dxf="1" numFmtId="19">
    <nc r="D7">
      <v>46128</v>
    </nc>
    <ndxf>
      <font>
        <sz val="14"/>
      </font>
      <numFmt numFmtId="19" formatCode="dd/mm/yyyy"/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470" sId="6">
    <nc r="I7" t="inlineStr">
      <is>
        <t>SAI</t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A8333F4-A272-457D-BE6D-1B569A227B28}" action="delete"/>
  <rdn rId="0" localSheetId="1" customView="1" name="Z_AA8333F4_A272_457D_BE6D_1B569A227B28_.wvu.PrintArea" hidden="1" oldHidden="1">
    <formula>'2'!$A$1:$J$39</formula>
    <oldFormula>'2'!$A$1:$J$39</oldFormula>
  </rdn>
  <rdn rId="0" localSheetId="2" customView="1" name="Z_AA8333F4_A272_457D_BE6D_1B569A227B28_.wvu.PrintArea" hidden="1" oldHidden="1">
    <formula>'4'!$A$1:$J$39</formula>
    <oldFormula>'4'!$A$1:$J$39</oldFormula>
  </rdn>
  <rdn rId="0" localSheetId="3" customView="1" name="Z_AA8333F4_A272_457D_BE6D_1B569A227B28_.wvu.PrintArea" hidden="1" oldHidden="1">
    <formula>'7'!$A$1:$J$39</formula>
    <oldFormula>'7'!$A$1:$J$39</oldFormula>
  </rdn>
  <rdn rId="0" localSheetId="4" customView="1" name="Z_AA8333F4_A272_457D_BE6D_1B569A227B28_.wvu.PrintArea" hidden="1" oldHidden="1">
    <formula>'9'!$A$1:$J$39</formula>
    <oldFormula>'9'!$A$1:$J$39</oldFormula>
  </rdn>
  <rdn rId="0" localSheetId="5" customView="1" name="Z_AA8333F4_A272_457D_BE6D_1B569A227B28_.wvu.PrintArea" hidden="1" oldHidden="1">
    <formula>'11'!$A$1:$J$41</formula>
    <oldFormula>'11'!$A$1:$J$41</oldFormula>
  </rdn>
  <rdn rId="0" localSheetId="6" customView="1" name="Z_AA8333F4_A272_457D_BE6D_1B569A227B28_.wvu.PrintArea" hidden="1" oldHidden="1">
    <formula>'14'!$A$1:$J$39</formula>
    <oldFormula>'14'!$A$1:$J$39</oldFormula>
  </rdn>
  <rdn rId="0" localSheetId="7" customView="1" name="Z_AA8333F4_A272_457D_BE6D_1B569A227B28_.wvu.PrintArea" hidden="1" oldHidden="1">
    <formula>'16'!$A$1:$J$39</formula>
    <oldFormula>'16'!$A$1:$J$39</oldFormula>
  </rdn>
  <rdn rId="0" localSheetId="8" customView="1" name="Z_AA8333F4_A272_457D_BE6D_1B569A227B28_.wvu.PrintArea" hidden="1" oldHidden="1">
    <formula>'18'!$A$1:$J$39</formula>
    <oldFormula>'18'!$A$1:$J$39</oldFormula>
  </rdn>
  <rdn rId="0" localSheetId="9" customView="1" name="Z_AA8333F4_A272_457D_BE6D_1B569A227B28_.wvu.PrintArea" hidden="1" oldHidden="1">
    <formula>'21'!$A$1:$J$39</formula>
    <oldFormula>'21'!$A$1:$J$39</oldFormula>
  </rdn>
  <rdn rId="0" localSheetId="10" customView="1" name="Z_AA8333F4_A272_457D_BE6D_1B569A227B28_.wvu.PrintArea" hidden="1" oldHidden="1">
    <formula>'23'!$A$1:$J$39</formula>
    <oldFormula>'23'!$A$1:$J$39</oldFormula>
  </rdn>
  <rdn rId="0" localSheetId="11" customView="1" name="Z_AA8333F4_A272_457D_BE6D_1B569A227B28_.wvu.PrintArea" hidden="1" oldHidden="1">
    <formula>'25'!$A$1:$J$39</formula>
    <oldFormula>'25'!$A$1:$J$39</oldFormula>
  </rdn>
  <rdn rId="0" localSheetId="12" customView="1" name="Z_AA8333F4_A272_457D_BE6D_1B569A227B28_.wvu.PrintArea" hidden="1" oldHidden="1">
    <formula>'28'!$A$1:$J$39</formula>
    <oldFormula>'28'!$A$1:$J$39</oldFormula>
  </rdn>
  <rdn rId="0" localSheetId="13" customView="1" name="Z_AA8333F4_A272_457D_BE6D_1B569A227B28_.wvu.PrintArea" hidden="1" oldHidden="1">
    <formula>'30'!$A$1:$J$39</formula>
    <oldFormula>'30'!$A$1:$J$39</oldFormula>
  </rdn>
  <rcv guid="{AA8333F4-A272-457D-BE6D-1B569A227B28}" action="add"/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4" sId="5">
    <nc r="E19" t="inlineStr">
      <is>
        <t>;/.</t>
      </is>
    </nc>
  </rcc>
  <rfmt sheetId="5" sqref="B7">
    <dxf>
      <fill>
        <patternFill>
          <bgColor rgb="FF92D050"/>
        </patternFill>
      </fill>
    </dxf>
  </rfmt>
  <rfmt sheetId="5" sqref="B13">
    <dxf>
      <fill>
        <patternFill>
          <bgColor rgb="FF92D050"/>
        </patternFill>
      </fill>
    </dxf>
  </rfmt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5" sId="5">
    <oc r="E19" t="inlineStr">
      <is>
        <t>;/.</t>
      </is>
    </oc>
    <nc r="E19"/>
  </rcc>
  <rfmt sheetId="5" sqref="B9">
    <dxf>
      <fill>
        <patternFill>
          <bgColor rgb="FF92D050"/>
        </patternFill>
      </fill>
    </dxf>
  </rfmt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12">
    <dxf>
      <fill>
        <patternFill>
          <bgColor rgb="FF92D050"/>
        </patternFill>
      </fill>
    </dxf>
  </rfmt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6" sId="6" odxf="1" dxf="1">
    <nc r="B8">
      <v>322</v>
    </nc>
    <ndxf>
      <alignment vertical="center" readingOrder="0"/>
    </ndxf>
  </rcc>
  <rcc rId="487" sId="6" odxf="1" dxf="1">
    <nc r="C8" t="inlineStr">
      <is>
        <t>Florent Arcangeli</t>
      </is>
    </nc>
    <odxf>
      <alignment horizontal="left" vertical="top" readingOrder="0"/>
    </odxf>
    <ndxf>
      <alignment horizontal="center" vertical="center" readingOrder="0"/>
    </ndxf>
  </rcc>
  <rcc rId="488" sId="6" odxf="1" dxf="1" numFmtId="19">
    <nc r="D8">
      <v>46128</v>
    </nc>
    <odxf>
      <alignment vertical="top" readingOrder="0"/>
    </odxf>
    <ndxf>
      <alignment vertical="center" readingOrder="0"/>
    </ndxf>
  </rcc>
  <rcc rId="489" sId="6" odxf="1" dxf="1">
    <nc r="E8">
      <v>2</v>
    </nc>
    <odxf>
      <alignment vertical="top" readingOrder="0"/>
    </odxf>
    <ndxf>
      <alignment vertical="center" readingOrder="0"/>
    </ndxf>
  </rcc>
  <rfmt sheetId="6" sqref="F8" start="0" length="0">
    <dxf>
      <alignment vertical="center" readingOrder="0"/>
    </dxf>
  </rfmt>
  <rfmt sheetId="6" sqref="G8" start="0" length="0">
    <dxf>
      <alignment vertical="center" readingOrder="0"/>
    </dxf>
  </rfmt>
  <rfmt sheetId="6" sqref="H8" start="0" length="0">
    <dxf>
      <alignment vertical="center" readingOrder="0"/>
    </dxf>
  </rfmt>
  <rfmt sheetId="6" sqref="I8" start="0" length="0">
    <dxf>
      <alignment vertical="center" readingOrder="0"/>
    </dxf>
  </rfmt>
  <rcc rId="490" sId="6">
    <nc r="J8" t="inlineStr">
      <is>
        <t>Shaifan</t>
      </is>
    </nc>
  </rcc>
  <rcv guid="{AA8333F4-A272-457D-BE6D-1B569A227B28}" action="delete"/>
  <rdn rId="0" localSheetId="1" customView="1" name="Z_AA8333F4_A272_457D_BE6D_1B569A227B28_.wvu.PrintArea" hidden="1" oldHidden="1">
    <formula>'2'!$A$1:$J$39</formula>
    <oldFormula>'2'!$A$1:$J$39</oldFormula>
  </rdn>
  <rdn rId="0" localSheetId="2" customView="1" name="Z_AA8333F4_A272_457D_BE6D_1B569A227B28_.wvu.PrintArea" hidden="1" oldHidden="1">
    <formula>'4'!$A$1:$J$39</formula>
    <oldFormula>'4'!$A$1:$J$39</oldFormula>
  </rdn>
  <rdn rId="0" localSheetId="3" customView="1" name="Z_AA8333F4_A272_457D_BE6D_1B569A227B28_.wvu.PrintArea" hidden="1" oldHidden="1">
    <formula>'7'!$A$1:$J$39</formula>
    <oldFormula>'7'!$A$1:$J$39</oldFormula>
  </rdn>
  <rdn rId="0" localSheetId="4" customView="1" name="Z_AA8333F4_A272_457D_BE6D_1B569A227B28_.wvu.PrintArea" hidden="1" oldHidden="1">
    <formula>'9'!$A$1:$J$39</formula>
    <oldFormula>'9'!$A$1:$J$39</oldFormula>
  </rdn>
  <rdn rId="0" localSheetId="5" customView="1" name="Z_AA8333F4_A272_457D_BE6D_1B569A227B28_.wvu.PrintArea" hidden="1" oldHidden="1">
    <formula>'11'!$A$1:$J$41</formula>
    <oldFormula>'11'!$A$1:$J$41</oldFormula>
  </rdn>
  <rdn rId="0" localSheetId="6" customView="1" name="Z_AA8333F4_A272_457D_BE6D_1B569A227B28_.wvu.PrintArea" hidden="1" oldHidden="1">
    <formula>'14'!$A$1:$J$39</formula>
    <oldFormula>'14'!$A$1:$J$39</oldFormula>
  </rdn>
  <rdn rId="0" localSheetId="7" customView="1" name="Z_AA8333F4_A272_457D_BE6D_1B569A227B28_.wvu.PrintArea" hidden="1" oldHidden="1">
    <formula>'16'!$A$1:$J$39</formula>
    <oldFormula>'16'!$A$1:$J$39</oldFormula>
  </rdn>
  <rdn rId="0" localSheetId="8" customView="1" name="Z_AA8333F4_A272_457D_BE6D_1B569A227B28_.wvu.PrintArea" hidden="1" oldHidden="1">
    <formula>'18'!$A$1:$J$39</formula>
    <oldFormula>'18'!$A$1:$J$39</oldFormula>
  </rdn>
  <rdn rId="0" localSheetId="9" customView="1" name="Z_AA8333F4_A272_457D_BE6D_1B569A227B28_.wvu.PrintArea" hidden="1" oldHidden="1">
    <formula>'21'!$A$1:$J$39</formula>
    <oldFormula>'21'!$A$1:$J$39</oldFormula>
  </rdn>
  <rdn rId="0" localSheetId="10" customView="1" name="Z_AA8333F4_A272_457D_BE6D_1B569A227B28_.wvu.PrintArea" hidden="1" oldHidden="1">
    <formula>'23'!$A$1:$J$39</formula>
    <oldFormula>'23'!$A$1:$J$39</oldFormula>
  </rdn>
  <rdn rId="0" localSheetId="11" customView="1" name="Z_AA8333F4_A272_457D_BE6D_1B569A227B28_.wvu.PrintArea" hidden="1" oldHidden="1">
    <formula>'25'!$A$1:$J$39</formula>
    <oldFormula>'25'!$A$1:$J$39</oldFormula>
  </rdn>
  <rdn rId="0" localSheetId="12" customView="1" name="Z_AA8333F4_A272_457D_BE6D_1B569A227B28_.wvu.PrintArea" hidden="1" oldHidden="1">
    <formula>'28'!$A$1:$J$39</formula>
    <oldFormula>'28'!$A$1:$J$39</oldFormula>
  </rdn>
  <rdn rId="0" localSheetId="13" customView="1" name="Z_AA8333F4_A272_457D_BE6D_1B569A227B28_.wvu.PrintArea" hidden="1" oldHidden="1">
    <formula>'30'!$A$1:$J$39</formula>
    <oldFormula>'30'!$A$1:$J$39</oldFormula>
  </rdn>
  <rcv guid="{AA8333F4-A272-457D-BE6D-1B569A227B28}" action="add"/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4" sId="6">
    <nc r="I8" t="inlineStr">
      <is>
        <t>FOC</t>
      </is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5" sId="6" odxf="1" dxf="1">
    <nc r="B9">
      <v>603</v>
    </nc>
    <odxf>
      <border outline="0">
        <top style="thin">
          <color indexed="64"/>
        </top>
      </border>
    </odxf>
    <ndxf>
      <border outline="0">
        <top/>
      </border>
    </ndxf>
  </rcc>
  <rcc rId="506" sId="6" odxf="1" dxf="1">
    <nc r="C9" t="inlineStr">
      <is>
        <t>Anthony Meunier</t>
      </is>
    </nc>
    <odxf>
      <border outline="0">
        <top style="thin">
          <color indexed="64"/>
        </top>
      </border>
    </odxf>
    <ndxf>
      <border outline="0">
        <top/>
      </border>
    </ndxf>
  </rcc>
  <rcc rId="507" sId="6" odxf="1" dxf="1" numFmtId="19">
    <nc r="D9">
      <v>46132</v>
    </nc>
    <odxf>
      <border outline="0">
        <top style="thin">
          <color indexed="64"/>
        </top>
      </border>
    </odxf>
    <ndxf>
      <border outline="0">
        <top/>
      </border>
    </ndxf>
  </rcc>
  <rcc rId="508" sId="6" odxf="1" dxf="1">
    <nc r="E9">
      <v>2</v>
    </nc>
    <odxf>
      <border outline="0">
        <top style="thin">
          <color indexed="64"/>
        </top>
      </border>
    </odxf>
    <ndxf>
      <border outline="0">
        <top/>
      </border>
    </ndxf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9" sId="6">
    <nc r="J9" t="inlineStr">
      <is>
        <t>Faiha</t>
      </is>
    </nc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0" sId="5" odxf="1" dxf="1">
    <nc r="C12" t="inlineStr">
      <is>
        <t>Maria Samperiz Cerezo</t>
      </is>
    </nc>
    <odxf>
      <alignment horizontal="left" readingOrder="0"/>
    </odxf>
    <ndxf>
      <alignment horizontal="center" readingOrder="0"/>
    </ndxf>
  </rcc>
  <rcc rId="511" sId="5" numFmtId="19">
    <nc r="D12">
      <v>46129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7:J14">
    <dxf>
      <alignment vertical="center" readingOrder="0"/>
    </dxf>
  </rfmt>
  <rfmt sheetId="5" sqref="B7:J14">
    <dxf>
      <alignment horizontal="general" readingOrder="0"/>
    </dxf>
  </rfmt>
  <rfmt sheetId="5" sqref="B7:J14">
    <dxf>
      <alignment horizontal="center" readingOrder="0"/>
    </dxf>
  </rfmt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2" sId="6" odxf="1" dxf="1">
    <nc r="B10">
      <v>335</v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cc rId="513" sId="6" odxf="1" dxf="1">
    <nc r="C10" t="inlineStr">
      <is>
        <t>Mario Cervantee Jimener</t>
      </is>
    </nc>
    <odxf>
      <fill>
        <patternFill patternType="solid">
          <bgColor theme="0"/>
        </patternFill>
      </fill>
      <alignment horizontal="left" vertical="top" readingOrder="0"/>
    </odxf>
    <ndxf>
      <fill>
        <patternFill patternType="none">
          <bgColor indexed="65"/>
        </patternFill>
      </fill>
      <alignment horizontal="center" vertical="center" readingOrder="0"/>
    </ndxf>
  </rcc>
  <rcc rId="514" sId="6" odxf="1" dxf="1" numFmtId="19">
    <nc r="D10">
      <v>46131</v>
    </nc>
    <odxf>
      <alignment vertical="top" readingOrder="0"/>
    </odxf>
    <ndxf>
      <alignment vertical="center" readingOrder="0"/>
    </ndxf>
  </rcc>
  <rcc rId="515" sId="6" odxf="1" dxf="1">
    <nc r="E10">
      <v>2</v>
    </nc>
    <odxf>
      <alignment vertical="top" readingOrder="0"/>
    </odxf>
    <ndxf>
      <alignment vertical="center" readingOrder="0"/>
    </ndxf>
  </rcc>
  <rcc rId="516" sId="6" odxf="1" dxf="1">
    <nc r="B11">
      <v>337</v>
    </nc>
    <odxf>
      <alignment vertical="top" readingOrder="0"/>
    </odxf>
    <ndxf>
      <alignment vertical="center" readingOrder="0"/>
    </ndxf>
  </rcc>
  <rcc rId="517" sId="6" odxf="1" dxf="1">
    <nc r="C11" t="inlineStr">
      <is>
        <t>Jorge Juan Bermejo Celaa</t>
      </is>
    </nc>
    <odxf>
      <alignment horizontal="left" vertical="top" readingOrder="0"/>
    </odxf>
    <ndxf>
      <alignment horizontal="center" vertical="center" readingOrder="0"/>
    </ndxf>
  </rcc>
  <rcc rId="518" sId="6" odxf="1" dxf="1" numFmtId="19">
    <nc r="D11">
      <v>46131</v>
    </nc>
    <odxf>
      <alignment vertical="top" readingOrder="0"/>
    </odxf>
    <ndxf>
      <alignment vertical="center" readingOrder="0"/>
    </ndxf>
  </rcc>
  <rcc rId="519" sId="6" odxf="1" dxf="1">
    <nc r="E11">
      <v>2</v>
    </nc>
    <odxf>
      <alignment vertical="top" readingOrder="0"/>
    </odxf>
    <ndxf>
      <alignment vertical="center" readingOrder="0"/>
    </ndxf>
  </rcc>
  <rcc rId="520" sId="6" odxf="1" dxf="1">
    <nc r="B12">
      <v>339</v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cc rId="521" sId="6" odxf="1" dxf="1">
    <nc r="C12" t="inlineStr">
      <is>
        <t>Fernando Perez Morlales</t>
      </is>
    </nc>
    <odxf>
      <alignment horizontal="left" vertical="top" readingOrder="0"/>
      <border outline="0">
        <top style="thin">
          <color indexed="64"/>
        </top>
      </border>
    </odxf>
    <ndxf>
      <alignment horizontal="center" vertical="center" readingOrder="0"/>
      <border outline="0">
        <top/>
      </border>
    </ndxf>
  </rcc>
  <rcc rId="522" sId="6" odxf="1" dxf="1" numFmtId="19">
    <nc r="D12">
      <v>46131</v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cc rId="523" sId="6" odxf="1" dxf="1">
    <nc r="E12">
      <v>2</v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fmt sheetId="6" sqref="B7:E12">
    <dxf>
      <alignment vertical="center" readingOrder="0"/>
    </dxf>
  </rfmt>
  <rfmt sheetId="6" sqref="B7:E12">
    <dxf>
      <alignment horizontal="general" readingOrder="0"/>
    </dxf>
  </rfmt>
  <rfmt sheetId="6" sqref="B7:E12">
    <dxf>
      <alignment horizontal="center" readingOrder="0"/>
    </dxf>
  </rfmt>
  <rcc rId="524" sId="6">
    <nc r="J10" t="inlineStr">
      <is>
        <t>Faiha</t>
      </is>
    </nc>
  </rcc>
  <rcc rId="525" sId="6">
    <nc r="J11" t="inlineStr">
      <is>
        <t>Faiha</t>
      </is>
    </nc>
  </rcc>
  <rcc rId="526" sId="6">
    <nc r="J12" t="inlineStr">
      <is>
        <t>Faiha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7" sId="6">
    <oc r="E12">
      <v>2</v>
    </oc>
    <nc r="E12">
      <v>1</v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8" sId="6">
    <oc r="B12">
      <v>339</v>
    </oc>
    <nc r="B12" t="inlineStr">
      <is>
        <t>328/339</t>
      </is>
    </nc>
  </rcc>
  <rcc rId="529" sId="6">
    <oc r="B10">
      <v>335</v>
    </oc>
    <nc r="B10" t="inlineStr">
      <is>
        <t>316/335</t>
      </is>
    </nc>
  </rcc>
  <rcc rId="530" sId="6">
    <oc r="B11">
      <v>337</v>
    </oc>
    <nc r="B11" t="inlineStr">
      <is>
        <t>324/337</t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1" sId="6">
    <nc r="B13">
      <v>811</v>
    </nc>
  </rcc>
  <rcc rId="532" sId="6">
    <nc r="E13">
      <v>1</v>
    </nc>
  </rcc>
  <rcc rId="533" sId="6">
    <nc r="J13" t="inlineStr">
      <is>
        <t>Faiha</t>
      </is>
    </nc>
  </rcc>
  <rcc rId="534" sId="6">
    <nc r="B14">
      <v>213</v>
    </nc>
  </rcc>
  <rcc rId="535" sId="6">
    <nc r="E14">
      <v>2</v>
    </nc>
  </rcc>
  <rcc rId="536" sId="6">
    <nc r="J14" t="inlineStr">
      <is>
        <t>Faiha</t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I8">
    <dxf>
      <fill>
        <patternFill>
          <bgColor rgb="FFFFC000"/>
        </patternFill>
      </fill>
    </dxf>
  </rfmt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7" sId="6">
    <nc r="C13" t="inlineStr">
      <is>
        <t>Ross Garcia Collado</t>
      </is>
    </nc>
  </rcc>
  <rcc rId="538" sId="6" numFmtId="19">
    <nc r="D13">
      <v>46127</v>
    </nc>
  </rcc>
  <rcc rId="539" sId="6">
    <nc r="C14" t="inlineStr">
      <is>
        <t>Laura Bavastrelli</t>
      </is>
    </nc>
  </rcc>
  <rcc rId="540" sId="6" numFmtId="19">
    <nc r="D14">
      <v>46128</v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1" sId="6">
    <oc r="I8" t="inlineStr">
      <is>
        <t>FOC</t>
      </is>
    </oc>
    <nc r="I8" t="inlineStr">
      <is>
        <t>FOC don't make bills</t>
      </is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2" sId="6">
    <nc r="I9" t="inlineStr">
      <is>
        <t>SAI</t>
      </is>
    </nc>
  </rcc>
  <rcc rId="543" sId="6">
    <nc r="H9">
      <v>150</v>
    </nc>
  </rcc>
  <rfmt sheetId="6" sqref="I9">
    <dxf>
      <fill>
        <patternFill>
          <bgColor rgb="FFFFFF00"/>
        </patternFill>
      </fill>
    </dxf>
  </rfmt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4" sId="6">
    <nc r="I13" t="inlineStr">
      <is>
        <t>SAI</t>
      </is>
    </nc>
  </rcc>
  <rfmt sheetId="6" sqref="I13">
    <dxf>
      <fill>
        <patternFill>
          <bgColor rgb="FFFFFF00"/>
        </patternFill>
      </fill>
    </dxf>
  </rfmt>
  <rcc rId="545" sId="6">
    <nc r="I10" t="inlineStr">
      <is>
        <t>SAI</t>
      </is>
    </nc>
  </rcc>
  <rfmt sheetId="6" sqref="I10">
    <dxf>
      <fill>
        <patternFill>
          <bgColor rgb="FFFFFF00"/>
        </patternFill>
      </fill>
    </dxf>
  </rfmt>
  <rcc rId="546" sId="6">
    <nc r="I11" t="inlineStr">
      <is>
        <t>SAI</t>
      </is>
    </nc>
  </rcc>
  <rfmt sheetId="6" sqref="I11">
    <dxf>
      <fill>
        <patternFill>
          <bgColor rgb="FFFFFF00"/>
        </patternFill>
      </fill>
    </dxf>
  </rfmt>
  <rcc rId="547" sId="6">
    <nc r="I12" t="inlineStr">
      <is>
        <t>SAI</t>
      </is>
    </nc>
  </rcc>
  <rfmt sheetId="6" sqref="I12">
    <dxf>
      <fill>
        <patternFill>
          <bgColor rgb="FFFFFF00"/>
        </patternFill>
      </fill>
    </dxf>
  </rfmt>
  <rcc rId="548" sId="6">
    <nc r="I14" t="inlineStr">
      <is>
        <t>PAI</t>
      </is>
    </nc>
  </rcc>
  <rfmt sheetId="6" sqref="I14">
    <dxf>
      <fill>
        <patternFill>
          <bgColor rgb="FF00B0F0"/>
        </patternFill>
      </fill>
    </dxf>
  </rfmt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I7">
    <dxf>
      <fill>
        <patternFill>
          <bgColor rgb="FFFFFF00"/>
        </patternFill>
      </fill>
    </dxf>
  </rfmt>
  <rcc rId="549" sId="6">
    <oc r="K7">
      <f>IF(OR(NOT(ISERROR(MATCH(RIGHT(B7,3)+0,#REF!,0))),NOT(ISERROR(MATCH(LEFT(B7,3)+0,#REF!,0)))),"No Post","")</f>
    </oc>
    <nc r="K7" t="inlineStr">
      <is>
        <t>No Post</t>
      </is>
    </nc>
  </rcc>
  <rcc rId="550" sId="6">
    <oc r="K9">
      <f>IF(OR(NOT(ISERROR(MATCH(RIGHT(B9,3)+0,#REF!,0))),NOT(ISERROR(MATCH(LEFT(B9,3)+0,#REF!,0)))),"No Post","")</f>
    </oc>
    <nc r="K9" t="inlineStr">
      <is>
        <t>No Post</t>
      </is>
    </nc>
  </rcc>
  <rcc rId="551" sId="6">
    <oc r="K10">
      <f>IF(OR(NOT(ISERROR(MATCH(RIGHT(B10,3)+0,#REF!,0))),NOT(ISERROR(MATCH(LEFT(B10,3)+0,#REF!,0)))),"No Post","")</f>
    </oc>
    <nc r="K10" t="inlineStr">
      <is>
        <t>No Post</t>
      </is>
    </nc>
  </rcc>
  <rcc rId="552" sId="6">
    <oc r="K11">
      <f>IF(OR(NOT(ISERROR(MATCH(RIGHT(B11,3)+0,#REF!,0))),NOT(ISERROR(MATCH(LEFT(B11,3)+0,#REF!,0)))),"No Post","")</f>
    </oc>
    <nc r="K11" t="inlineStr">
      <is>
        <t>No Post</t>
      </is>
    </nc>
  </rcc>
  <rcc rId="553" sId="6">
    <oc r="K12">
      <f>IF(OR(NOT(ISERROR(MATCH(RIGHT(B12,3)+0,#REF!,0))),NOT(ISERROR(MATCH(LEFT(B12,3)+0,#REF!,0)))),"No Post","")</f>
    </oc>
    <nc r="K12" t="inlineStr">
      <is>
        <t>No Post</t>
      </is>
    </nc>
  </rcc>
  <rcc rId="554" sId="6">
    <oc r="K14">
      <f>IF(OR(NOT(ISERROR(MATCH(RIGHT(B14,3)+0,#REF!,0))),NOT(ISERROR(MATCH(LEFT(B14,3)+0,#REF!,0)))),"No Post","")</f>
    </oc>
    <nc r="K14" t="inlineStr">
      <is>
        <t>No Post</t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7:A14">
    <dxf>
      <fill>
        <patternFill>
          <bgColor rgb="FF92D050"/>
        </patternFill>
      </fill>
    </dxf>
  </rfmt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B13">
    <dxf>
      <fill>
        <patternFill>
          <bgColor rgb="FF92D050"/>
        </patternFill>
      </fill>
    </dxf>
  </rfmt>
  <rfmt sheetId="6" sqref="B14">
    <dxf>
      <fill>
        <patternFill>
          <bgColor rgb="FF92D050"/>
        </patternFill>
      </fill>
    </dxf>
  </rfmt>
  <rfmt sheetId="6" sqref="B9">
    <dxf>
      <fill>
        <patternFill>
          <bgColor rgb="FF92D050"/>
        </patternFill>
      </fill>
    </dxf>
  </rfmt>
  <rfmt sheetId="6" sqref="B7">
    <dxf>
      <fill>
        <patternFill>
          <bgColor rgb="FF92D050"/>
        </patternFill>
      </fill>
    </dxf>
  </rfmt>
  <rfmt sheetId="6" sqref="B10">
    <dxf>
      <fill>
        <patternFill>
          <bgColor rgb="FF92D050"/>
        </patternFill>
      </fill>
    </dxf>
  </rfmt>
  <rcc rId="555" sId="6">
    <oc r="E11">
      <v>2</v>
    </oc>
    <nc r="E11">
      <v>1</v>
    </nc>
  </rcc>
  <rcc rId="556" sId="6">
    <oc r="E12">
      <v>1</v>
    </oc>
    <nc r="E12">
      <v>2</v>
    </nc>
  </rcc>
  <rfmt sheetId="6" sqref="B12">
    <dxf>
      <fill>
        <patternFill>
          <bgColor rgb="FF92D050"/>
        </patternFill>
      </fill>
    </dxf>
  </rfmt>
  <rfmt sheetId="6" sqref="B11">
    <dxf>
      <fill>
        <patternFill>
          <bgColor rgb="FF92D050"/>
        </patternFill>
      </fill>
    </dxf>
  </rfmt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7" sId="7">
    <nc r="B7">
      <v>211</v>
    </nc>
  </rcc>
  <rcc rId="558" sId="7">
    <nc r="E7">
      <v>2</v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9" sId="7">
    <nc r="J7" t="inlineStr">
      <is>
        <t>Rahil</t>
      </is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0" sId="7">
    <nc r="B8">
      <v>330</v>
    </nc>
  </rcc>
  <rcc rId="561" sId="7">
    <nc r="E8">
      <v>2</v>
    </nc>
  </rcc>
  <rcc rId="562" sId="7">
    <nc r="J8" t="inlineStr">
      <is>
        <t>Rahil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3" sId="7">
    <nc r="C7" t="inlineStr">
      <is>
        <t>Jan Krajicek</t>
      </is>
    </nc>
  </rcc>
  <rcc rId="564" sId="7">
    <nc r="C8" t="inlineStr">
      <is>
        <t>Carsten Sattel</t>
      </is>
    </nc>
  </rcc>
  <rcc rId="565" sId="7" numFmtId="19">
    <nc r="D8">
      <v>46133</v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6" sId="7" numFmtId="19">
    <nc r="D7">
      <v>46130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7" sId="7" ref="B1:B1048576" action="insertCol"/>
  <rfmt sheetId="7" sqref="B8">
    <dxf>
      <fill>
        <patternFill>
          <bgColor auto="1"/>
        </patternFill>
      </fill>
    </dxf>
  </rfmt>
  <rfmt sheetId="7" sqref="B8">
    <dxf>
      <fill>
        <patternFill patternType="solid">
          <bgColor rgb="FFFFC000"/>
        </patternFill>
      </fill>
    </dxf>
  </rfmt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8" sId="8">
    <nc r="B8">
      <v>853</v>
    </nc>
  </rcc>
  <rcc rId="569" sId="8">
    <nc r="E8">
      <v>2</v>
    </nc>
  </rcc>
  <rcc rId="570" sId="8">
    <nc r="J8" t="inlineStr">
      <is>
        <t>Maaji</t>
      </is>
    </nc>
  </rcc>
  <rcc rId="571" sId="8">
    <nc r="C8" t="inlineStr">
      <is>
        <t>Hongwei Luo</t>
      </is>
    </nc>
  </rcc>
  <rcc rId="572" sId="8" numFmtId="19">
    <nc r="D8">
      <v>46131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3" sId="8">
    <nc r="B9">
      <v>876</v>
    </nc>
  </rcc>
  <rcc rId="574" sId="8">
    <nc r="E9">
      <v>2</v>
    </nc>
  </rcc>
  <rcc rId="575" sId="8">
    <nc r="J9" t="inlineStr">
      <is>
        <t>Maaji</t>
      </is>
    </nc>
  </rcc>
  <rcc rId="576" sId="8">
    <nc r="C9" t="inlineStr">
      <is>
        <t>Vincent Jin</t>
      </is>
    </nc>
  </rcc>
  <rcc rId="577" sId="8" numFmtId="19">
    <nc r="D9">
      <v>46134</v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8" sId="8" odxf="1" dxf="1">
    <nc r="B10">
      <v>614</v>
    </nc>
    <odxf>
      <alignment vertical="top" readingOrder="0"/>
    </odxf>
    <ndxf>
      <alignment vertical="center" readingOrder="0"/>
    </ndxf>
  </rcc>
  <rcc rId="579" sId="8" odxf="1" dxf="1">
    <nc r="C10" t="inlineStr">
      <is>
        <t>Harun Keskin</t>
      </is>
    </nc>
    <odxf>
      <alignment horizontal="left" vertical="top" readingOrder="0"/>
    </odxf>
    <ndxf>
      <alignment horizontal="general" vertical="center" readingOrder="0"/>
    </ndxf>
  </rcc>
  <rcc rId="580" sId="8" odxf="1" dxf="1" numFmtId="19">
    <nc r="D10">
      <v>46131</v>
    </nc>
    <odxf>
      <alignment vertical="top" readingOrder="0"/>
    </odxf>
    <ndxf>
      <alignment vertical="center" readingOrder="0"/>
    </ndxf>
  </rcc>
  <rcc rId="581" sId="8" odxf="1" dxf="1">
    <nc r="E10">
      <v>2</v>
    </nc>
    <odxf>
      <alignment vertical="top" readingOrder="0"/>
    </odxf>
    <ndxf>
      <alignment vertical="center" readingOrder="0"/>
    </ndxf>
  </rcc>
  <rfmt sheetId="8" sqref="F10" start="0" length="0">
    <dxf>
      <alignment vertical="center" readingOrder="0"/>
    </dxf>
  </rfmt>
  <rfmt sheetId="8" sqref="G10" start="0" length="0">
    <dxf>
      <alignment vertical="center" readingOrder="0"/>
    </dxf>
  </rfmt>
  <rfmt sheetId="8" sqref="H10" start="0" length="0">
    <dxf>
      <alignment horizontal="left" vertical="center" readingOrder="0"/>
    </dxf>
  </rfmt>
  <rfmt sheetId="8" sqref="I10" start="0" length="0">
    <dxf>
      <alignment horizontal="left" vertical="center" readingOrder="0"/>
    </dxf>
  </rfmt>
  <rcc rId="582" sId="8" odxf="1" dxf="1">
    <nc r="J10" t="inlineStr">
      <is>
        <t>Win/Maaji</t>
      </is>
    </nc>
    <odxf>
      <alignment horizontal="center" vertical="top" readingOrder="0"/>
    </odxf>
    <ndxf>
      <alignment horizontal="left" vertical="center" readingOrder="0"/>
    </ndxf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3" sId="9" odxf="1" dxf="1">
    <nc r="B7">
      <v>685</v>
    </nc>
    <odxf>
      <alignment vertical="top" readingOrder="0"/>
      <border outline="0">
        <top/>
      </border>
    </odxf>
    <ndxf>
      <alignment vertical="center" readingOrder="0"/>
      <border outline="0">
        <top style="thin">
          <color indexed="64"/>
        </top>
      </border>
    </ndxf>
  </rcc>
  <rcc rId="584" sId="9" odxf="1" dxf="1">
    <nc r="C7" t="inlineStr">
      <is>
        <t>Tatjana Shadeck</t>
      </is>
    </nc>
    <odxf>
      <alignment vertical="top" readingOrder="0"/>
      <border outline="0">
        <top/>
      </border>
    </odxf>
    <ndxf>
      <alignment vertical="center" readingOrder="0"/>
      <border outline="0">
        <top style="thin">
          <color indexed="64"/>
        </top>
      </border>
    </ndxf>
  </rcc>
  <rcc rId="585" sId="9" odxf="1" dxf="1" numFmtId="19">
    <nc r="D7">
      <v>46137</v>
    </nc>
    <odxf>
      <alignment vertical="top" readingOrder="0"/>
      <border outline="0">
        <top/>
      </border>
    </odxf>
    <ndxf>
      <alignment vertical="center" readingOrder="0"/>
      <border outline="0">
        <top style="thin">
          <color indexed="64"/>
        </top>
      </border>
    </ndxf>
  </rcc>
  <rcc rId="586" sId="9" odxf="1" dxf="1">
    <nc r="E7">
      <v>2</v>
    </nc>
    <odxf>
      <alignment vertical="top" readingOrder="0"/>
      <border outline="0">
        <top/>
      </border>
    </odxf>
    <ndxf>
      <alignment vertical="center" readingOrder="0"/>
      <border outline="0">
        <top style="thin">
          <color indexed="64"/>
        </top>
      </border>
    </ndxf>
  </rcc>
  <rfmt sheetId="9" sqref="F7" start="0" length="0">
    <dxf>
      <alignment vertical="center" readingOrder="0"/>
      <border outline="0">
        <top style="thin">
          <color indexed="64"/>
        </top>
      </border>
    </dxf>
  </rfmt>
  <rfmt sheetId="9" sqref="G7" start="0" length="0">
    <dxf>
      <alignment vertical="center" readingOrder="0"/>
      <border outline="0">
        <top style="thin">
          <color indexed="64"/>
        </top>
      </border>
    </dxf>
  </rfmt>
  <rfmt sheetId="9" sqref="H7" start="0" length="0">
    <dxf>
      <font>
        <strike/>
        <sz val="14"/>
      </font>
      <alignment horizontal="left" vertical="center" readingOrder="0"/>
      <border outline="0">
        <top style="thin">
          <color indexed="64"/>
        </top>
      </border>
    </dxf>
  </rfmt>
  <rfmt sheetId="9" sqref="I7" start="0" length="0">
    <dxf>
      <alignment horizontal="left" vertical="center" readingOrder="0"/>
      <border outline="0">
        <top style="thin">
          <color indexed="64"/>
        </top>
      </border>
    </dxf>
  </rfmt>
  <rcc rId="587" sId="9" odxf="1" dxf="1">
    <nc r="J7" t="inlineStr">
      <is>
        <t>Maaji</t>
      </is>
    </nc>
    <odxf>
      <alignment horizontal="center" vertical="top" readingOrder="0"/>
      <border outline="0">
        <top/>
      </border>
    </odxf>
    <ndxf>
      <alignment horizontal="left" vertical="center" readingOrder="0"/>
      <border outline="0">
        <top style="thin">
          <color indexed="64"/>
        </top>
      </border>
    </ndxf>
  </rcc>
  <rfmt sheetId="9" sqref="I7" start="0" length="0">
    <dxf>
      <font>
        <strike/>
        <sz val="14"/>
      </font>
    </dxf>
  </rfmt>
  <rcc rId="588" sId="8">
    <oc r="E8">
      <v>2</v>
    </oc>
    <nc r="E8" t="inlineStr">
      <is>
        <t>cxl2</t>
      </is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9" sId="8">
    <nc r="B11">
      <v>843</v>
    </nc>
  </rcc>
  <rcc rId="590" sId="8">
    <nc r="E11">
      <v>2</v>
    </nc>
  </rcc>
  <rcc rId="591" sId="8">
    <nc r="J11" t="inlineStr">
      <is>
        <t>Faiha</t>
      </is>
    </nc>
  </rcc>
  <rcc rId="592" sId="8">
    <oc r="B7" t="inlineStr">
      <is>
        <t>Prebooking</t>
      </is>
    </oc>
    <nc r="B7">
      <v>202</v>
    </nc>
  </rcc>
  <rcc rId="593" sId="8">
    <nc r="C11" t="inlineStr">
      <is>
        <t>Simone Brida</t>
      </is>
    </nc>
  </rcc>
  <rcc rId="594" sId="8" numFmtId="19">
    <nc r="D11">
      <v>46133</v>
    </nc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B7:J11">
    <dxf>
      <alignment vertical="center" readingOrder="0"/>
    </dxf>
  </rfmt>
  <rfmt sheetId="8" sqref="B7:J11">
    <dxf>
      <alignment horizontal="general" readingOrder="0"/>
    </dxf>
  </rfmt>
  <rfmt sheetId="8" sqref="B7:J11">
    <dxf>
      <alignment horizontal="center" readingOrder="0"/>
    </dxf>
  </rfmt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95" sId="8" ref="B1:B1048576" action="insertCol"/>
  <rcc rId="596" sId="8">
    <oc r="F27">
      <f>SUM(F22:F26)</f>
    </oc>
    <nc r="F27">
      <f>SUM(F7:F26)</f>
    </nc>
  </rcc>
  <rcc rId="597" sId="8">
    <oc r="G27">
      <f>SUM(G22:G26)</f>
    </oc>
    <nc r="G27">
      <f>SUM(G7:G26)</f>
    </nc>
  </rcc>
  <rrc rId="598" sId="8" ref="A16:XFD16" action="deleteRow">
    <rfmt sheetId="8" xfDxf="1" sqref="A16:XFD16" start="0" length="0">
      <dxf>
        <font>
          <sz val="14"/>
        </font>
      </dxf>
    </rfmt>
    <rcc rId="0" sId="8" dxf="1">
      <nc r="A16">
        <v>10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1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16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16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K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L16">
        <f>IF(OR(NOT(ISERROR(MATCH(RIGHT(C16,3)+0,#REF!,0))),NOT(ISERROR(MATCH(LEFT(C16,3)+0,#REF!,0)))),"No Post","")</f>
      </nc>
      <ndxf>
        <font>
          <b/>
          <sz val="12"/>
          <color auto="1"/>
        </font>
      </ndxf>
    </rcc>
  </rrc>
  <rrc rId="599" sId="8" ref="A16:XFD16" action="deleteRow">
    <rfmt sheetId="8" xfDxf="1" sqref="A16:XFD16" start="0" length="0">
      <dxf>
        <font>
          <sz val="14"/>
        </font>
      </dxf>
    </rfmt>
    <rcc rId="0" sId="8" dxf="1">
      <nc r="A16">
        <v>11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16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16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K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L16">
        <f>IF(OR(NOT(ISERROR(MATCH(RIGHT(C16,3)+0,#REF!,0))),NOT(ISERROR(MATCH(LEFT(C16,3)+0,#REF!,0)))),"No Post","")</f>
      </nc>
      <ndxf>
        <font>
          <b/>
          <sz val="12"/>
          <color auto="1"/>
        </font>
      </ndxf>
    </rcc>
  </rrc>
  <rrc rId="600" sId="8" ref="A16:XFD16" action="deleteRow">
    <rfmt sheetId="8" xfDxf="1" sqref="A16:XFD16" start="0" length="0">
      <dxf>
        <font>
          <sz val="14"/>
        </font>
      </dxf>
    </rfmt>
    <rcc rId="0" sId="8" dxf="1">
      <nc r="A16">
        <v>12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1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16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16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K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L16">
        <f>IF(OR(NOT(ISERROR(MATCH(RIGHT(C16,3)+0,#REF!,0))),NOT(ISERROR(MATCH(LEFT(C16,3)+0,#REF!,0)))),"No Post","")</f>
      </nc>
      <ndxf>
        <font>
          <b/>
          <sz val="12"/>
          <color auto="1"/>
        </font>
      </ndxf>
    </rcc>
  </rrc>
  <rrc rId="601" sId="8" ref="A16:XFD16" action="deleteRow">
    <rfmt sheetId="8" xfDxf="1" sqref="A16:XFD16" start="0" length="0">
      <dxf>
        <font>
          <sz val="14"/>
        </font>
      </dxf>
    </rfmt>
    <rcc rId="0" sId="8" dxf="1">
      <nc r="A16">
        <v>13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1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16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16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K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L16">
        <f>IF(OR(NOT(ISERROR(MATCH(RIGHT(C16,3)+0,#REF!,0))),NOT(ISERROR(MATCH(LEFT(C16,3)+0,#REF!,0)))),"No Post","")</f>
      </nc>
      <ndxf>
        <font>
          <b/>
          <sz val="12"/>
          <color auto="1"/>
        </font>
      </ndxf>
    </rcc>
  </rrc>
  <rrc rId="602" sId="8" ref="A16:XFD16" action="deleteRow">
    <rfmt sheetId="8" xfDxf="1" sqref="A16:XFD16" start="0" length="0">
      <dxf>
        <font>
          <sz val="14"/>
        </font>
      </dxf>
    </rfmt>
    <rcc rId="0" sId="8" dxf="1">
      <nc r="A16">
        <v>14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1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16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16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K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L16">
        <f>IF(OR(NOT(ISERROR(MATCH(RIGHT(C16,3)+0,#REF!,0))),NOT(ISERROR(MATCH(LEFT(C16,3)+0,#REF!,0)))),"No Post","")</f>
      </nc>
      <ndxf>
        <font>
          <b/>
          <sz val="12"/>
          <color auto="1"/>
        </font>
      </ndxf>
    </rcc>
  </rrc>
  <rrc rId="603" sId="8" ref="A16:XFD16" action="deleteRow">
    <rfmt sheetId="8" xfDxf="1" sqref="A16:XFD16" start="0" length="0">
      <dxf>
        <font>
          <sz val="14"/>
        </font>
      </dxf>
    </rfmt>
    <rcc rId="0" sId="8" dxf="1">
      <nc r="A16">
        <v>15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1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16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16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K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L16">
        <f>IF(OR(NOT(ISERROR(MATCH(RIGHT(C16,3)+0,#REF!,0))),NOT(ISERROR(MATCH(LEFT(C16,3)+0,#REF!,0)))),"No Post","")</f>
      </nc>
      <ndxf>
        <font>
          <b/>
          <sz val="12"/>
          <color auto="1"/>
        </font>
      </ndxf>
    </rcc>
  </rrc>
  <rrc rId="604" sId="8" ref="A16:XFD16" action="deleteRow">
    <rfmt sheetId="8" xfDxf="1" sqref="A16:XFD16" start="0" length="0">
      <dxf>
        <font>
          <sz val="14"/>
        </font>
      </dxf>
    </rfmt>
    <rcc rId="0" sId="8" dxf="1">
      <nc r="A16">
        <v>16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16" start="0" length="0">
      <dxf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16" start="0" length="0">
      <dxf>
        <font>
          <b/>
          <sz val="14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16" start="0" length="0">
      <dxf>
        <font>
          <b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16" start="0" length="0">
      <dxf>
        <font>
          <b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16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16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K16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L16">
        <f>IF(OR(NOT(ISERROR(MATCH(RIGHT(C16,3)+0,#REF!,0))),NOT(ISERROR(MATCH(LEFT(C16,3)+0,#REF!,0)))),"No Post","")</f>
      </nc>
      <ndxf>
        <font>
          <b/>
          <sz val="12"/>
          <color auto="1"/>
        </font>
      </ndxf>
    </rcc>
  </rrc>
  <rrc rId="605" sId="8" ref="A16:XFD16" action="deleteRow">
    <rfmt sheetId="8" xfDxf="1" sqref="A16:XFD16" start="0" length="0">
      <dxf>
        <font>
          <sz val="14"/>
        </font>
      </dxf>
    </rfmt>
    <rcc rId="0" sId="8" dxf="1">
      <nc r="A16">
        <v>17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1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16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16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16" start="0" length="0">
      <dxf>
        <numFmt numFmtId="19" formatCode="dd/mm/yyyy"/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16" start="0" length="0">
      <dxf>
        <font>
          <b/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16" start="0" length="0">
      <dxf>
        <numFmt numFmtId="19" formatCode="dd/mm/yyyy"/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16" start="0" length="0">
      <dxf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1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16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K16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L16">
        <f>IF(OR(NOT(ISERROR(MATCH(RIGHT(C16,3)+0,#REF!,0))),NOT(ISERROR(MATCH(LEFT(C16,3)+0,#REF!,0)))),"No Post","")</f>
      </nc>
      <ndxf>
        <font>
          <b/>
          <sz val="12"/>
          <color auto="1"/>
        </font>
      </ndxf>
    </rcc>
  </rrc>
  <rrc rId="606" sId="8" ref="A16:XFD16" action="deleteRow">
    <rfmt sheetId="8" xfDxf="1" sqref="A16:XFD16" start="0" length="0">
      <dxf>
        <font>
          <b/>
          <sz val="15"/>
        </font>
      </dxf>
    </rfmt>
    <rcc rId="0" sId="8" dxf="1">
      <nc r="A16">
        <v>18</v>
      </nc>
      <ndxf>
        <font>
          <b val="0"/>
          <sz val="14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16" start="0" length="0">
      <dxf>
        <font>
          <b val="0"/>
          <sz val="14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16" start="0" length="0">
      <dxf>
        <font>
          <b val="0"/>
          <sz val="14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16" start="0" length="0">
      <dxf>
        <font>
          <b val="0"/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16" start="0" length="0">
      <dxf>
        <font>
          <b val="0"/>
          <sz val="14"/>
        </font>
        <numFmt numFmtId="19" formatCode="dd/mm/yyyy"/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16" start="0" length="0">
      <dxf>
        <font>
          <b val="0"/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16" start="0" length="0">
      <dxf>
        <font>
          <b val="0"/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16" start="0" length="0">
      <dxf>
        <font>
          <b val="0"/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16" start="0" length="0">
      <dxf>
        <font>
          <b val="0"/>
          <sz val="14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16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K16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L16">
        <f>IF(OR(NOT(ISERROR(MATCH(RIGHT(C16,3)+0,#REF!,0))),NOT(ISERROR(MATCH(LEFT(C16,3)+0,#REF!,0)))),"No Post","")</f>
      </nc>
      <ndxf>
        <font>
          <sz val="12"/>
          <color auto="1"/>
        </font>
      </ndxf>
    </rcc>
  </rrc>
  <rrc rId="607" sId="8" ref="A16:XFD16" action="deleteRow">
    <rfmt sheetId="8" xfDxf="1" sqref="A16:XFD16" start="0" length="0">
      <dxf>
        <font>
          <sz val="14"/>
        </font>
      </dxf>
    </rfmt>
    <rcc rId="0" sId="8" dxf="1">
      <nc r="A16">
        <v>19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1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16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16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16" start="0" length="0">
      <dxf>
        <numFmt numFmtId="19" formatCode="dd/mm/yyyy"/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16" start="0" length="0">
      <dxf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16" start="0" length="0">
      <dxf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16" start="0" length="0">
      <dxf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1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16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K16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L16">
        <f>IF(OR(NOT(ISERROR(MATCH(RIGHT(C16,3)+0,#REF!,0))),NOT(ISERROR(MATCH(LEFT(C16,3)+0,#REF!,0)))),"No Post","")</f>
      </nc>
      <ndxf>
        <font>
          <b/>
          <sz val="12"/>
          <color auto="1"/>
        </font>
      </ndxf>
    </rcc>
  </rrc>
  <rrc rId="608" sId="8" ref="A16:XFD16" action="deleteRow">
    <undo index="0" exp="area" dr="G7:G16" r="G17" sId="8"/>
    <undo index="0" exp="area" dr="F7:F16" r="F17" sId="8"/>
    <rfmt sheetId="8" xfDxf="1" sqref="A16:XFD16" start="0" length="0">
      <dxf>
        <font>
          <sz val="13"/>
        </font>
        <alignment horizontal="center" readingOrder="0"/>
      </dxf>
    </rfmt>
    <rcc rId="0" sId="8" dxf="1">
      <nc r="A16">
        <v>20</v>
      </nc>
      <ndxf>
        <font>
          <sz val="14"/>
        </font>
        <alignment horizontal="general" vertical="bottom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16" start="0" length="0">
      <dxf>
        <font>
          <sz val="14"/>
        </font>
        <alignment horizontal="general" vertical="bottom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16" start="0" length="0">
      <dxf>
        <font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16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16" start="0" length="0">
      <dxf>
        <font>
          <sz val="14"/>
        </font>
        <numFmt numFmtId="19" formatCode="dd/mm/yyyy"/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16" start="0" length="0">
      <dxf>
        <font>
          <sz val="14"/>
        </font>
        <alignment horizontal="general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16" start="0" length="0">
      <dxf>
        <font>
          <sz val="14"/>
        </font>
        <alignment horizontal="general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16" start="0" length="0">
      <dxf>
        <font>
          <sz val="14"/>
        </font>
        <alignment horizontal="general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16" start="0" length="0">
      <dxf>
        <font>
          <sz val="14"/>
        </font>
        <alignment horizontal="general" vertical="bottom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16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K16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dxf="1">
      <nc r="L16">
        <f>IF(OR(NOT(ISERROR(MATCH(RIGHT(C16,3)+0,#REF!,0))),NOT(ISERROR(MATCH(LEFT(C16,3)+0,#REF!,0)))),"No Post","")</f>
      </nc>
      <ndxf>
        <font>
          <b/>
          <sz val="12"/>
          <color auto="1"/>
        </font>
        <alignment horizontal="general" vertical="bottom" readingOrder="0"/>
      </ndxf>
    </rcc>
  </rr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C12" start="0" length="0">
    <dxf>
      <alignment vertical="center" readingOrder="0"/>
    </dxf>
  </rfmt>
  <rfmt sheetId="8" sqref="D12" start="0" length="0">
    <dxf>
      <alignment horizontal="center" vertical="center" readingOrder="0"/>
    </dxf>
  </rfmt>
  <rfmt sheetId="8" sqref="E12" start="0" length="0">
    <dxf>
      <alignment vertical="center" readingOrder="0"/>
    </dxf>
  </rfmt>
  <rfmt sheetId="8" sqref="F12" start="0" length="0">
    <dxf>
      <alignment vertical="center" readingOrder="0"/>
    </dxf>
  </rfmt>
  <rfmt sheetId="8" sqref="G12" start="0" length="0">
    <dxf>
      <alignment vertical="center" readingOrder="0"/>
    </dxf>
  </rfmt>
  <rfmt sheetId="8" sqref="H12" start="0" length="0">
    <dxf>
      <alignment vertical="center" readingOrder="0"/>
    </dxf>
  </rfmt>
  <rfmt sheetId="8" sqref="I12" start="0" length="0">
    <dxf>
      <alignment vertical="center" readingOrder="0"/>
    </dxf>
  </rfmt>
  <rfmt sheetId="8" sqref="J12" start="0" length="0">
    <dxf>
      <alignment vertical="center" readingOrder="0"/>
    </dxf>
  </rfmt>
  <rfmt sheetId="8" sqref="K12" start="0" length="0">
    <dxf>
      <alignment vertical="center" readingOrder="0"/>
    </dxf>
  </rfmt>
  <rcc rId="609" sId="8">
    <oc r="C8">
      <v>853</v>
    </oc>
    <nc r="C8">
      <v>876</v>
    </nc>
  </rcc>
  <rcc rId="610" sId="8">
    <oc r="D8" t="inlineStr">
      <is>
        <t>Hongwei Luo</t>
      </is>
    </oc>
    <nc r="D8" t="inlineStr">
      <is>
        <t>Vincent Jin</t>
      </is>
    </nc>
  </rcc>
  <rcc rId="611" sId="8" numFmtId="19">
    <oc r="E8">
      <v>46131</v>
    </oc>
    <nc r="E8">
      <v>46134</v>
    </nc>
  </rcc>
  <rcc rId="612" sId="8">
    <oc r="F8" t="inlineStr">
      <is>
        <t>cxl2</t>
      </is>
    </oc>
    <nc r="F8">
      <v>2</v>
    </nc>
  </rcc>
  <rcc rId="613" sId="8">
    <oc r="C9">
      <v>876</v>
    </oc>
    <nc r="C9">
      <v>614</v>
    </nc>
  </rcc>
  <rcc rId="614" sId="8">
    <oc r="D9" t="inlineStr">
      <is>
        <t>Vincent Jin</t>
      </is>
    </oc>
    <nc r="D9" t="inlineStr">
      <is>
        <t>Harun Keskin</t>
      </is>
    </nc>
  </rcc>
  <rcc rId="615" sId="8" numFmtId="19">
    <oc r="E9">
      <v>46134</v>
    </oc>
    <nc r="E9">
      <v>46131</v>
    </nc>
  </rcc>
  <rcc rId="616" sId="8">
    <oc r="K9" t="inlineStr">
      <is>
        <t>Maaji</t>
      </is>
    </oc>
    <nc r="K9" t="inlineStr">
      <is>
        <t>Win/Maaji</t>
      </is>
    </nc>
  </rcc>
  <rcc rId="617" sId="8">
    <oc r="C10">
      <v>614</v>
    </oc>
    <nc r="C10">
      <v>843</v>
    </nc>
  </rcc>
  <rcc rId="618" sId="8">
    <oc r="D10" t="inlineStr">
      <is>
        <t>Harun Keskin</t>
      </is>
    </oc>
    <nc r="D10" t="inlineStr">
      <is>
        <t>Simone Brida</t>
      </is>
    </nc>
  </rcc>
  <rcc rId="619" sId="8" numFmtId="19">
    <oc r="E10">
      <v>46131</v>
    </oc>
    <nc r="E10">
      <v>46133</v>
    </nc>
  </rcc>
  <rcc rId="620" sId="8">
    <oc r="K10" t="inlineStr">
      <is>
        <t>Win/Maaji</t>
      </is>
    </oc>
    <nc r="K10" t="inlineStr">
      <is>
        <t>Faiha</t>
      </is>
    </nc>
  </rcc>
  <rcc rId="621" sId="8">
    <oc r="C11">
      <v>843</v>
    </oc>
    <nc r="C11">
      <v>853</v>
    </nc>
  </rcc>
  <rcc rId="622" sId="8">
    <oc r="D11" t="inlineStr">
      <is>
        <t>Simone Brida</t>
      </is>
    </oc>
    <nc r="D11" t="inlineStr">
      <is>
        <t>Hongwei Luo</t>
      </is>
    </nc>
  </rcc>
  <rcc rId="623" sId="8" numFmtId="19">
    <oc r="E11">
      <v>46133</v>
    </oc>
    <nc r="E11">
      <v>46131</v>
    </nc>
  </rcc>
  <rcc rId="624" sId="8">
    <oc r="K11" t="inlineStr">
      <is>
        <t>Faiha</t>
      </is>
    </oc>
    <nc r="K11" t="inlineStr">
      <is>
        <t>Maaji</t>
      </is>
    </nc>
  </rcc>
  <rcc rId="625" sId="8">
    <oc r="F11">
      <v>2</v>
    </oc>
    <nc r="F11" t="inlineStr">
      <is>
        <t>CXL2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C11 F11">
    <dxf>
      <fill>
        <patternFill>
          <bgColor rgb="FFFF0000"/>
        </patternFill>
      </fill>
    </dxf>
  </rfmt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6" sId="8">
    <oc r="J7">
      <v>25355404</v>
    </oc>
    <nc r="J7" t="inlineStr">
      <is>
        <t>PAI</t>
      </is>
    </nc>
  </rcc>
  <rcc rId="627" sId="8">
    <nc r="J8" t="inlineStr">
      <is>
        <t>SAI</t>
      </is>
    </nc>
  </rcc>
  <rcc rId="628" sId="8">
    <nc r="J9" t="inlineStr">
      <is>
        <t>SAI</t>
      </is>
    </nc>
  </rcc>
  <rcc rId="629" sId="8">
    <oc r="L8">
      <f>IF(OR(NOT(ISERROR(MATCH(RIGHT(C8,3)+0,#REF!,0))),NOT(ISERROR(MATCH(LEFT(C8,3)+0,#REF!,0)))),"No Post","")</f>
    </oc>
    <nc r="L8" t="inlineStr">
      <is>
        <t>NO POST</t>
      </is>
    </nc>
  </rcc>
  <rcc rId="630" sId="8">
    <oc r="L9">
      <f>IF(OR(NOT(ISERROR(MATCH(RIGHT(C9,3)+0,#REF!,0))),NOT(ISERROR(MATCH(LEFT(C9,3)+0,#REF!,0)))),"No Post","")</f>
    </oc>
    <nc r="L9" t="inlineStr">
      <is>
        <t>NO POST</t>
      </is>
    </nc>
  </rcc>
  <rcc rId="631" sId="8">
    <oc r="L7">
      <f>IF(OR(NOT(ISERROR(MATCH(RIGHT(C7,3)+0,#REF!,0))),NOT(ISERROR(MATCH(LEFT(C7,3)+0,#REF!,0)))),"No Post","")</f>
    </oc>
    <nc r="L7" t="inlineStr">
      <is>
        <t>NO POST</t>
      </is>
    </nc>
  </rcc>
  <rcc rId="632" sId="8">
    <nc r="J10" t="inlineStr">
      <is>
        <t>SAI</t>
      </is>
    </nc>
  </rcc>
  <rcc rId="633" sId="8">
    <oc r="L10">
      <f>IF(OR(NOT(ISERROR(MATCH(RIGHT(C10,3)+0,#REF!,0))),NOT(ISERROR(MATCH(LEFT(C10,3)+0,#REF!,0)))),"No Post","")</f>
    </oc>
    <nc r="L10" t="inlineStr">
      <is>
        <t>NO POST</t>
      </is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" sId="8">
    <oc r="F7">
      <v>2</v>
    </oc>
    <nc r="F7" t="inlineStr">
      <is>
        <t>CXL2</t>
      </is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C11">
    <dxf>
      <fill>
        <patternFill patternType="none">
          <bgColor auto="1"/>
        </patternFill>
      </fill>
    </dxf>
  </rfmt>
  <rfmt sheetId="8" sqref="F11">
    <dxf>
      <fill>
        <patternFill patternType="none">
          <bgColor auto="1"/>
        </patternFill>
      </fill>
    </dxf>
  </rfmt>
  <rcc rId="635" sId="8">
    <oc r="F11" t="inlineStr">
      <is>
        <t>CXL2</t>
      </is>
    </oc>
    <nc r="F11">
      <v>2</v>
    </nc>
  </rcc>
  <rfmt sheetId="8" sqref="B8">
    <dxf>
      <fill>
        <patternFill patternType="solid">
          <bgColor rgb="FFFF0000"/>
        </patternFill>
      </fill>
    </dxf>
  </rfmt>
  <rfmt sheetId="8" sqref="B10">
    <dxf>
      <fill>
        <patternFill patternType="solid">
          <bgColor rgb="FFFF0000"/>
        </patternFill>
      </fill>
    </dxf>
  </rfmt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B11">
    <dxf>
      <fill>
        <patternFill patternType="solid">
          <bgColor rgb="FFFF0000"/>
        </patternFill>
      </fill>
    </dxf>
  </rfmt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36" sId="9" ref="B1:B1048576" action="insertCol"/>
  <rcc rId="637" sId="9" odxf="1" dxf="1">
    <nc r="J7" t="inlineStr">
      <is>
        <t>SAI</t>
      </is>
    </nc>
    <ndxf>
      <font>
        <strike val="0"/>
        <sz val="14"/>
      </font>
      <alignment horizontal="center" vertical="top" readingOrder="0"/>
    </ndxf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8" sId="11">
    <oc r="B7" t="inlineStr">
      <is>
        <t>Prebooking</t>
      </is>
    </oc>
    <nc r="B7">
      <v>315</v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9" sId="10" odxf="1" dxf="1">
    <nc r="B7">
      <v>685</v>
    </nc>
    <odxf>
      <alignment vertical="top" readingOrder="0"/>
      <border outline="0">
        <top/>
      </border>
    </odxf>
    <ndxf>
      <alignment vertical="center" readingOrder="0"/>
      <border outline="0">
        <top style="thin">
          <color indexed="64"/>
        </top>
      </border>
    </ndxf>
  </rcc>
  <rcc rId="640" sId="10" odxf="1" dxf="1">
    <nc r="C7" t="inlineStr">
      <is>
        <t>Tatjana Shadeck</t>
      </is>
    </nc>
    <odxf>
      <alignment vertical="top" readingOrder="0"/>
      <border outline="0">
        <top/>
      </border>
    </odxf>
    <ndxf>
      <alignment vertical="center" readingOrder="0"/>
      <border outline="0">
        <top style="thin">
          <color indexed="64"/>
        </top>
      </border>
    </ndxf>
  </rcc>
  <rcc rId="641" sId="10" odxf="1" dxf="1" numFmtId="19">
    <nc r="D7">
      <v>46137</v>
    </nc>
    <odxf>
      <alignment vertical="top" readingOrder="0"/>
      <border outline="0">
        <top/>
      </border>
    </odxf>
    <ndxf>
      <alignment vertical="center" readingOrder="0"/>
      <border outline="0">
        <top style="thin">
          <color indexed="64"/>
        </top>
      </border>
    </ndxf>
  </rcc>
  <rcc rId="642" sId="10" odxf="1" dxf="1">
    <nc r="E7">
      <v>2</v>
    </nc>
    <odxf>
      <alignment vertical="top" readingOrder="0"/>
      <border outline="0">
        <top/>
      </border>
    </odxf>
    <ndxf>
      <alignment vertical="center" readingOrder="0"/>
      <border outline="0">
        <top style="thin">
          <color indexed="64"/>
        </top>
      </border>
    </ndxf>
  </rcc>
  <rfmt sheetId="10" sqref="F7" start="0" length="0">
    <dxf>
      <alignment vertical="center" readingOrder="0"/>
      <border outline="0">
        <top style="thin">
          <color indexed="64"/>
        </top>
      </border>
    </dxf>
  </rfmt>
  <rfmt sheetId="10" sqref="G7" start="0" length="0">
    <dxf>
      <alignment vertical="center" readingOrder="0"/>
      <border outline="0">
        <top style="thin">
          <color indexed="64"/>
        </top>
      </border>
    </dxf>
  </rfmt>
  <rfmt sheetId="10" sqref="H7" start="0" length="0">
    <dxf>
      <font>
        <strike/>
        <sz val="14"/>
      </font>
      <alignment horizontal="left" vertical="center" readingOrder="0"/>
      <border outline="0">
        <top style="thin">
          <color indexed="64"/>
        </top>
      </border>
    </dxf>
  </rfmt>
  <rcc rId="643" sId="10" odxf="1" dxf="1">
    <nc r="I7" t="inlineStr">
      <is>
        <t>SAI</t>
      </is>
    </nc>
    <odxf>
      <border outline="0">
        <top/>
      </border>
    </odxf>
    <ndxf>
      <border outline="0">
        <top style="thin">
          <color indexed="64"/>
        </top>
      </border>
    </ndxf>
  </rcc>
  <rcc rId="644" sId="10" odxf="1" dxf="1">
    <nc r="J7" t="inlineStr">
      <is>
        <t>Maaji</t>
      </is>
    </nc>
    <odxf>
      <alignment horizontal="center" vertical="top" readingOrder="0"/>
      <border outline="0">
        <top/>
      </border>
    </odxf>
    <ndxf>
      <alignment horizontal="left" vertical="center" readingOrder="0"/>
      <border outline="0">
        <top style="thin">
          <color indexed="64"/>
        </top>
      </border>
    </ndxf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5" sId="10">
    <nc r="B8">
      <v>679</v>
    </nc>
  </rcc>
  <rcc rId="646" sId="10">
    <nc r="E8">
      <v>2</v>
    </nc>
  </rcc>
  <rcc rId="647" sId="10">
    <nc r="J8" t="inlineStr">
      <is>
        <t>Faiha</t>
      </is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" sId="10">
    <nc r="C8" t="inlineStr">
      <is>
        <t>Markus Schulte</t>
      </is>
    </nc>
  </rcc>
  <rcc rId="649" sId="10" numFmtId="19">
    <nc r="D8">
      <v>46141</v>
    </nc>
  </rcc>
  <rcc rId="650" sId="10">
    <nc r="B9">
      <v>815</v>
    </nc>
  </rcc>
  <rcc rId="651" sId="10">
    <nc r="E9">
      <v>2</v>
    </nc>
  </rcc>
  <rcc rId="652" sId="10">
    <nc r="J9" t="inlineStr">
      <is>
        <t>Faiha</t>
      </is>
    </nc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3" sId="10">
    <nc r="B10">
      <v>871</v>
    </nc>
  </rcc>
  <rcc rId="654" sId="10">
    <nc r="E10">
      <v>2</v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5" sId="10">
    <nc r="J10" t="inlineStr">
      <is>
        <t>Rahil</t>
      </is>
    </nc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6" sId="10">
    <nc r="C10" t="inlineStr">
      <is>
        <t>Alix Lefevre</t>
      </is>
    </nc>
  </rcc>
  <rcc rId="657" sId="10" numFmtId="19">
    <nc r="D10">
      <v>46138</v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8" sId="10">
    <nc r="C11" t="inlineStr">
      <is>
        <t>Booking Closed</t>
      </is>
    </nc>
  </rcc>
  <rfmt sheetId="10" sqref="C11">
    <dxf>
      <fill>
        <patternFill>
          <bgColor rgb="FFFF0000"/>
        </patternFill>
      </fill>
    </dxf>
  </rfmt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9" sId="10">
    <nc r="C9" t="inlineStr">
      <is>
        <t>William Fougeu</t>
      </is>
    </nc>
  </rcc>
  <rcc rId="660" sId="10" numFmtId="19">
    <nc r="D9">
      <v>46136</v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61" sId="10" ref="B1:B1048576" action="insertCol"/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62" sId="10" ref="A15:XFD15" action="deleteRow">
    <rfmt sheetId="10" xfDxf="1" sqref="A15:XFD15" start="0" length="0">
      <dxf>
        <font>
          <sz val="14"/>
        </font>
      </dxf>
    </rfmt>
    <rcc rId="0" sId="10" dxf="1">
      <nc r="A15">
        <v>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15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15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J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K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0" dxf="1">
      <nc r="L15">
        <f>IF(OR(NOT(ISERROR(MATCH(RIGHT(C15,3)+0,#REF!,0))),NOT(ISERROR(MATCH(LEFT(C15,3)+0,#REF!,0)))),"No Post","")</f>
      </nc>
      <ndxf>
        <font>
          <b/>
          <sz val="12"/>
          <color auto="1"/>
        </font>
      </ndxf>
    </rcc>
  </rrc>
  <rrc rId="663" sId="10" ref="A15:XFD15" action="deleteRow">
    <rfmt sheetId="10" xfDxf="1" sqref="A15:XFD15" start="0" length="0">
      <dxf>
        <font>
          <sz val="14"/>
        </font>
      </dxf>
    </rfmt>
    <rcc rId="0" sId="10" dxf="1">
      <nc r="A15">
        <v>10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15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15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J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K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0" dxf="1">
      <nc r="L15">
        <f>IF(OR(NOT(ISERROR(MATCH(RIGHT(C15,3)+0,#REF!,0))),NOT(ISERROR(MATCH(LEFT(C15,3)+0,#REF!,0)))),"No Post","")</f>
      </nc>
      <ndxf>
        <font>
          <b/>
          <sz val="12"/>
          <color auto="1"/>
        </font>
      </ndxf>
    </rcc>
  </rrc>
  <rrc rId="664" sId="10" ref="A15:XFD15" action="deleteRow">
    <rfmt sheetId="10" xfDxf="1" sqref="A15:XFD15" start="0" length="0">
      <dxf>
        <font>
          <sz val="14"/>
        </font>
      </dxf>
    </rfmt>
    <rcc rId="0" sId="10" dxf="1">
      <nc r="A15">
        <v>11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15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15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15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J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K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0" dxf="1">
      <nc r="L15">
        <f>IF(OR(NOT(ISERROR(MATCH(RIGHT(C15,3)+0,#REF!,0))),NOT(ISERROR(MATCH(LEFT(C15,3)+0,#REF!,0)))),"No Post","")</f>
      </nc>
      <ndxf>
        <font>
          <b/>
          <sz val="12"/>
          <color auto="1"/>
        </font>
      </ndxf>
    </rcc>
  </rrc>
  <rrc rId="665" sId="10" ref="A15:XFD15" action="deleteRow">
    <rfmt sheetId="10" xfDxf="1" sqref="A15:XFD15" start="0" length="0">
      <dxf>
        <font>
          <sz val="14"/>
        </font>
      </dxf>
    </rfmt>
    <rcc rId="0" sId="10" dxf="1">
      <nc r="A15">
        <v>12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15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15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J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K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0" dxf="1">
      <nc r="L15">
        <f>IF(OR(NOT(ISERROR(MATCH(RIGHT(C15,3)+0,#REF!,0))),NOT(ISERROR(MATCH(LEFT(C15,3)+0,#REF!,0)))),"No Post","")</f>
      </nc>
      <ndxf>
        <font>
          <b/>
          <sz val="12"/>
          <color auto="1"/>
        </font>
      </ndxf>
    </rcc>
  </rrc>
  <rrc rId="666" sId="10" ref="A15:XFD15" action="deleteRow">
    <rfmt sheetId="10" xfDxf="1" sqref="A15:XFD15" start="0" length="0">
      <dxf>
        <font>
          <sz val="14"/>
        </font>
      </dxf>
    </rfmt>
    <rcc rId="0" sId="10" dxf="1">
      <nc r="A15">
        <v>13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15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15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J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K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0" dxf="1">
      <nc r="L15">
        <f>IF(OR(NOT(ISERROR(MATCH(RIGHT(C15,3)+0,#REF!,0))),NOT(ISERROR(MATCH(LEFT(C15,3)+0,#REF!,0)))),"No Post","")</f>
      </nc>
      <ndxf>
        <font>
          <b/>
          <sz val="12"/>
          <color auto="1"/>
        </font>
      </ndxf>
    </rcc>
  </rrc>
  <rrc rId="667" sId="10" ref="A15:XFD15" action="deleteRow">
    <rfmt sheetId="10" xfDxf="1" sqref="A15:XFD15" start="0" length="0">
      <dxf>
        <font>
          <sz val="14"/>
        </font>
      </dxf>
    </rfmt>
    <rcc rId="0" sId="10" dxf="1">
      <nc r="A15">
        <v>14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15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15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J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K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0" dxf="1">
      <nc r="L15">
        <f>IF(OR(NOT(ISERROR(MATCH(RIGHT(C15,3)+0,#REF!,0))),NOT(ISERROR(MATCH(LEFT(C15,3)+0,#REF!,0)))),"No Post","")</f>
      </nc>
      <ndxf>
        <font>
          <b/>
          <sz val="12"/>
          <color auto="1"/>
        </font>
      </ndxf>
    </rcc>
  </rrc>
  <rrc rId="668" sId="10" ref="A15:XFD15" action="deleteRow">
    <rfmt sheetId="10" xfDxf="1" sqref="A15:XFD15" start="0" length="0">
      <dxf>
        <font>
          <sz val="14"/>
        </font>
      </dxf>
    </rfmt>
    <rcc rId="0" sId="10" dxf="1">
      <nc r="A15">
        <v>15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15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15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J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K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0" dxf="1">
      <nc r="L15">
        <f>IF(OR(NOT(ISERROR(MATCH(RIGHT(C15,3)+0,#REF!,0))),NOT(ISERROR(MATCH(LEFT(C15,3)+0,#REF!,0)))),"No Post","")</f>
      </nc>
      <ndxf>
        <font>
          <b/>
          <sz val="12"/>
          <color auto="1"/>
        </font>
      </ndxf>
    </rcc>
  </rrc>
  <rrc rId="669" sId="10" ref="A15:XFD15" action="deleteRow">
    <undo index="0" exp="area" dr="G15:G19" r="G20" sId="10"/>
    <undo index="0" exp="area" dr="F15:F19" r="F20" sId="10"/>
    <rfmt sheetId="10" xfDxf="1" sqref="A15:XFD15" start="0" length="0">
      <dxf>
        <font>
          <sz val="14"/>
        </font>
      </dxf>
    </rfmt>
    <rcc rId="0" sId="10" dxf="1">
      <nc r="A15">
        <v>16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15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15" start="0" length="0">
      <dxf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15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15" start="0" length="0">
      <dxf>
        <font>
          <b/>
          <sz val="14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15" start="0" length="0">
      <dxf>
        <font>
          <b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15" start="0" length="0">
      <dxf>
        <font>
          <b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15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15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J15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K15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0" dxf="1">
      <nc r="L15">
        <f>IF(OR(NOT(ISERROR(MATCH(RIGHT(C15,3)+0,#REF!,0))),NOT(ISERROR(MATCH(LEFT(C15,3)+0,#REF!,0)))),"No Post","")</f>
      </nc>
      <ndxf>
        <font>
          <b/>
          <sz val="12"/>
          <color auto="1"/>
        </font>
      </ndxf>
    </rcc>
  </rrc>
  <rrc rId="670" sId="10" ref="A15:XFD15" action="deleteRow">
    <undo index="0" exp="area" dr="G15:G18" r="G19" sId="10"/>
    <undo index="0" exp="area" dr="F15:F18" r="F19" sId="10"/>
    <rfmt sheetId="10" xfDxf="1" sqref="A15:XFD15" start="0" length="0">
      <dxf>
        <font>
          <sz val="14"/>
        </font>
      </dxf>
    </rfmt>
    <rcc rId="0" sId="10" dxf="1">
      <nc r="A15">
        <v>17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15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15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15" start="0" length="0">
      <dxf>
        <numFmt numFmtId="19" formatCode="dd/mm/yyyy"/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15" start="0" length="0">
      <dxf>
        <font>
          <b/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15" start="0" length="0">
      <dxf>
        <numFmt numFmtId="19" formatCode="dd/mm/yyyy"/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15" start="0" length="0">
      <dxf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J15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K15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0" dxf="1">
      <nc r="L15">
        <f>IF(OR(NOT(ISERROR(MATCH(RIGHT(C15,3)+0,#REF!,0))),NOT(ISERROR(MATCH(LEFT(C15,3)+0,#REF!,0)))),"No Post","")</f>
      </nc>
      <ndxf>
        <font>
          <b/>
          <sz val="12"/>
          <color auto="1"/>
        </font>
      </ndxf>
    </rcc>
  </rrc>
  <rrc rId="671" sId="10" ref="A15:XFD15" action="deleteRow">
    <undo index="0" exp="area" dr="G15:G17" r="G18" sId="10"/>
    <undo index="0" exp="area" dr="F15:F17" r="F18" sId="10"/>
    <rfmt sheetId="10" xfDxf="1" sqref="A15:XFD15" start="0" length="0">
      <dxf>
        <font>
          <b/>
          <sz val="15"/>
        </font>
      </dxf>
    </rfmt>
    <rcc rId="0" sId="10" dxf="1">
      <nc r="A15">
        <v>18</v>
      </nc>
      <ndxf>
        <font>
          <b val="0"/>
          <sz val="14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15" start="0" length="0">
      <dxf>
        <font>
          <b val="0"/>
          <sz val="14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15" start="0" length="0">
      <dxf>
        <font>
          <b val="0"/>
          <sz val="14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15" start="0" length="0">
      <dxf>
        <font>
          <b val="0"/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15" start="0" length="0">
      <dxf>
        <font>
          <b val="0"/>
          <sz val="14"/>
        </font>
        <numFmt numFmtId="19" formatCode="dd/mm/yyyy"/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15" start="0" length="0">
      <dxf>
        <font>
          <b val="0"/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15" start="0" length="0">
      <dxf>
        <font>
          <b val="0"/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15" start="0" length="0">
      <dxf>
        <font>
          <b val="0"/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15" start="0" length="0">
      <dxf>
        <font>
          <b val="0"/>
          <sz val="14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J15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K15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0" dxf="1">
      <nc r="L15">
        <f>IF(OR(NOT(ISERROR(MATCH(RIGHT(C15,3)+0,#REF!,0))),NOT(ISERROR(MATCH(LEFT(C15,3)+0,#REF!,0)))),"No Post","")</f>
      </nc>
      <ndxf>
        <font>
          <sz val="12"/>
          <color auto="1"/>
        </font>
      </ndxf>
    </rcc>
  </rrc>
  <rrc rId="672" sId="10" ref="A15:XFD15" action="deleteRow">
    <undo index="0" exp="area" dr="G15:G16" r="G17" sId="10"/>
    <undo index="0" exp="area" dr="F15:F16" r="F17" sId="10"/>
    <rfmt sheetId="10" xfDxf="1" sqref="A15:XFD15" start="0" length="0">
      <dxf>
        <font>
          <sz val="14"/>
        </font>
      </dxf>
    </rfmt>
    <rcc rId="0" sId="10" dxf="1">
      <nc r="A15">
        <v>19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15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15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15" start="0" length="0">
      <dxf>
        <numFmt numFmtId="19" formatCode="dd/mm/yyyy"/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15" start="0" length="0">
      <dxf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15" start="0" length="0">
      <dxf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15" start="0" length="0">
      <dxf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1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J15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K15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0" dxf="1">
      <nc r="L15">
        <f>IF(OR(NOT(ISERROR(MATCH(RIGHT(C15,3)+0,#REF!,0))),NOT(ISERROR(MATCH(LEFT(C15,3)+0,#REF!,0)))),"No Post","")</f>
      </nc>
      <ndxf>
        <font>
          <b/>
          <sz val="12"/>
          <color auto="1"/>
        </font>
      </ndxf>
    </rcc>
  </rrc>
  <rrc rId="673" sId="10" ref="A15:XFD15" action="deleteRow">
    <undo index="0" exp="area" dr="G15" r="G16" sId="10"/>
    <undo index="0" exp="area" dr="F15" r="F16" sId="10"/>
    <rfmt sheetId="10" xfDxf="1" sqref="A15:XFD15" start="0" length="0">
      <dxf>
        <font>
          <sz val="13"/>
        </font>
        <alignment horizontal="center" readingOrder="0"/>
      </dxf>
    </rfmt>
    <rcc rId="0" sId="10" dxf="1">
      <nc r="A15">
        <v>20</v>
      </nc>
      <ndxf>
        <font>
          <sz val="14"/>
        </font>
        <alignment horizontal="general" vertical="bottom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15" start="0" length="0">
      <dxf>
        <font>
          <sz val="14"/>
        </font>
        <alignment horizontal="general" vertical="bottom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15" start="0" length="0">
      <dxf>
        <font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15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15" start="0" length="0">
      <dxf>
        <font>
          <sz val="14"/>
        </font>
        <numFmt numFmtId="19" formatCode="dd/mm/yyyy"/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15" start="0" length="0">
      <dxf>
        <font>
          <sz val="14"/>
        </font>
        <alignment horizontal="general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15" start="0" length="0">
      <dxf>
        <font>
          <sz val="14"/>
        </font>
        <alignment horizontal="general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15" start="0" length="0">
      <dxf>
        <font>
          <sz val="14"/>
        </font>
        <alignment horizontal="general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15" start="0" length="0">
      <dxf>
        <font>
          <sz val="14"/>
        </font>
        <alignment horizontal="general" vertical="bottom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J15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K15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0" dxf="1">
      <nc r="L15">
        <f>IF(OR(NOT(ISERROR(MATCH(RIGHT(C15,3)+0,#REF!,0))),NOT(ISERROR(MATCH(LEFT(C15,3)+0,#REF!,0)))),"No Post","")</f>
      </nc>
      <ndxf>
        <font>
          <b/>
          <sz val="12"/>
          <color auto="1"/>
        </font>
        <alignment horizontal="general" vertical="bottom" readingOrder="0"/>
      </ndxf>
    </rcc>
  </rrc>
  <rfmt sheetId="10" sqref="C7:K11">
    <dxf>
      <alignment vertical="bottom" readingOrder="0"/>
    </dxf>
  </rfmt>
  <rfmt sheetId="10" sqref="C7:K11">
    <dxf>
      <alignment vertical="center" readingOrder="0"/>
    </dxf>
  </rfmt>
  <rfmt sheetId="10" sqref="C7:K11">
    <dxf>
      <alignment horizontal="general" readingOrder="0"/>
    </dxf>
  </rfmt>
  <rfmt sheetId="10" sqref="C7:K11">
    <dxf>
      <alignment horizontal="center" readingOrder="0"/>
    </dxf>
  </rfmt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10">
    <dxf>
      <fill>
        <patternFill patternType="solid">
          <bgColor theme="4" tint="-0.249977111117893"/>
        </patternFill>
      </fill>
    </dxf>
  </rfmt>
  <rfmt sheetId="10" sqref="B8">
    <dxf>
      <fill>
        <patternFill patternType="solid">
          <bgColor theme="4" tint="-0.249977111117893"/>
        </patternFill>
      </fill>
    </dxf>
  </rfmt>
  <rcc rId="674" sId="10">
    <oc r="C7">
      <v>685</v>
    </oc>
    <nc r="C7" t="inlineStr">
      <is>
        <t>685/852</t>
      </is>
    </nc>
  </rcc>
  <rfmt sheetId="10" sqref="B7">
    <dxf>
      <fill>
        <patternFill>
          <bgColor theme="4" tint="-0.249977111117893"/>
        </patternFill>
      </fill>
    </dxf>
  </rfmt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9">
    <dxf>
      <fill>
        <patternFill patternType="solid">
          <bgColor theme="4" tint="-0.249977111117893"/>
        </patternFill>
      </fill>
    </dxf>
  </rfmt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5" sId="11">
    <nc r="B8">
      <v>601</v>
    </nc>
  </rcc>
  <rcc rId="676" sId="11">
    <nc r="E8">
      <v>2</v>
    </nc>
  </rcc>
  <rcc rId="677" sId="11">
    <nc r="J8" t="inlineStr">
      <is>
        <t>Aiperi/Faiha</t>
      </is>
    </nc>
  </rcc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8" sId="11">
    <oc r="E7">
      <v>2</v>
    </oc>
    <nc r="E7" t="inlineStr">
      <is>
        <t>CXL2</t>
      </is>
    </nc>
  </rcc>
  <rcv guid="{AA8333F4-A272-457D-BE6D-1B569A227B28}" action="delete"/>
  <rdn rId="0" localSheetId="1" customView="1" name="Z_AA8333F4_A272_457D_BE6D_1B569A227B28_.wvu.PrintArea" hidden="1" oldHidden="1">
    <formula>'2'!$A$1:$J$39</formula>
    <oldFormula>'2'!$A$1:$J$39</oldFormula>
  </rdn>
  <rdn rId="0" localSheetId="2" customView="1" name="Z_AA8333F4_A272_457D_BE6D_1B569A227B28_.wvu.PrintArea" hidden="1" oldHidden="1">
    <formula>'4'!$A$1:$J$39</formula>
    <oldFormula>'4'!$A$1:$J$39</oldFormula>
  </rdn>
  <rdn rId="0" localSheetId="3" customView="1" name="Z_AA8333F4_A272_457D_BE6D_1B569A227B28_.wvu.PrintArea" hidden="1" oldHidden="1">
    <formula>'7'!$A$1:$J$39</formula>
    <oldFormula>'7'!$A$1:$J$39</oldFormula>
  </rdn>
  <rdn rId="0" localSheetId="4" customView="1" name="Z_AA8333F4_A272_457D_BE6D_1B569A227B28_.wvu.PrintArea" hidden="1" oldHidden="1">
    <formula>'9'!$A$1:$J$39</formula>
    <oldFormula>'9'!$A$1:$J$39</oldFormula>
  </rdn>
  <rdn rId="0" localSheetId="5" customView="1" name="Z_AA8333F4_A272_457D_BE6D_1B569A227B28_.wvu.PrintArea" hidden="1" oldHidden="1">
    <formula>'11'!$A$1:$J$41</formula>
    <oldFormula>'11'!$A$1:$J$41</oldFormula>
  </rdn>
  <rdn rId="0" localSheetId="6" customView="1" name="Z_AA8333F4_A272_457D_BE6D_1B569A227B28_.wvu.PrintArea" hidden="1" oldHidden="1">
    <formula>'14'!$A$1:$J$39</formula>
    <oldFormula>'14'!$A$1:$J$39</oldFormula>
  </rdn>
  <rdn rId="0" localSheetId="7" customView="1" name="Z_AA8333F4_A272_457D_BE6D_1B569A227B28_.wvu.PrintArea" hidden="1" oldHidden="1">
    <formula>'16'!$A$1:$K$39</formula>
    <oldFormula>'16'!$A$1:$K$39</oldFormula>
  </rdn>
  <rdn rId="0" localSheetId="8" customView="1" name="Z_AA8333F4_A272_457D_BE6D_1B569A227B28_.wvu.PrintArea" hidden="1" oldHidden="1">
    <formula>'18'!$A$1:$K$28</formula>
    <oldFormula>'18'!$A$1:$K$28</oldFormula>
  </rdn>
  <rdn rId="0" localSheetId="9" customView="1" name="Z_AA8333F4_A272_457D_BE6D_1B569A227B28_.wvu.PrintArea" hidden="1" oldHidden="1">
    <formula>'21'!$A$1:$K$39</formula>
    <oldFormula>'21'!$A$1:$K$39</oldFormula>
  </rdn>
  <rdn rId="0" localSheetId="10" customView="1" name="Z_AA8333F4_A272_457D_BE6D_1B569A227B28_.wvu.PrintArea" hidden="1" oldHidden="1">
    <formula>'23'!$A$1:$K$27</formula>
    <oldFormula>'23'!$A$1:$K$27</oldFormula>
  </rdn>
  <rdn rId="0" localSheetId="11" customView="1" name="Z_AA8333F4_A272_457D_BE6D_1B569A227B28_.wvu.PrintArea" hidden="1" oldHidden="1">
    <formula>'25'!$A$1:$J$39</formula>
    <oldFormula>'25'!$A$1:$J$39</oldFormula>
  </rdn>
  <rdn rId="0" localSheetId="12" customView="1" name="Z_AA8333F4_A272_457D_BE6D_1B569A227B28_.wvu.PrintArea" hidden="1" oldHidden="1">
    <formula>'28'!$A$1:$J$39</formula>
    <oldFormula>'28'!$A$1:$J$39</oldFormula>
  </rdn>
  <rdn rId="0" localSheetId="13" customView="1" name="Z_AA8333F4_A272_457D_BE6D_1B569A227B28_.wvu.PrintArea" hidden="1" oldHidden="1">
    <formula>'30'!$A$1:$J$39</formula>
    <oldFormula>'30'!$A$1:$J$39</oldFormula>
  </rdn>
  <rcv guid="{AA8333F4-A272-457D-BE6D-1B569A227B28}" action="add"/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" sId="11">
    <nc r="C8" t="inlineStr">
      <is>
        <t>Mike Mosbacher</t>
      </is>
    </nc>
  </rcc>
  <rcc rId="693" sId="11" numFmtId="19">
    <nc r="D8">
      <v>46136</v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196B21B-5907-4E7A-90A7-4D3D9BC207B9}" action="delete"/>
  <rdn rId="0" localSheetId="1" customView="1" name="Z_C196B21B_5907_4E7A_90A7_4D3D9BC207B9_.wvu.PrintArea" hidden="1" oldHidden="1">
    <formula>'2'!$A$1:$J$39</formula>
    <oldFormula>'2'!$A$1:$J$39</oldFormula>
  </rdn>
  <rdn rId="0" localSheetId="2" customView="1" name="Z_C196B21B_5907_4E7A_90A7_4D3D9BC207B9_.wvu.PrintArea" hidden="1" oldHidden="1">
    <formula>'4'!$A$1:$J$39</formula>
    <oldFormula>'4'!$A$1:$J$39</oldFormula>
  </rdn>
  <rdn rId="0" localSheetId="3" customView="1" name="Z_C196B21B_5907_4E7A_90A7_4D3D9BC207B9_.wvu.PrintArea" hidden="1" oldHidden="1">
    <formula>'7'!$A$1:$J$39</formula>
    <oldFormula>'7'!$A$1:$J$39</oldFormula>
  </rdn>
  <rdn rId="0" localSheetId="4" customView="1" name="Z_C196B21B_5907_4E7A_90A7_4D3D9BC207B9_.wvu.PrintArea" hidden="1" oldHidden="1">
    <formula>'9'!$A$1:$J$39</formula>
    <oldFormula>'9'!$A$1:$J$39</oldFormula>
  </rdn>
  <rdn rId="0" localSheetId="5" customView="1" name="Z_C196B21B_5907_4E7A_90A7_4D3D9BC207B9_.wvu.PrintArea" hidden="1" oldHidden="1">
    <formula>'11'!$A$1:$J$41</formula>
    <oldFormula>'11'!$A$1:$J$41</oldFormula>
  </rdn>
  <rdn rId="0" localSheetId="6" customView="1" name="Z_C196B21B_5907_4E7A_90A7_4D3D9BC207B9_.wvu.PrintArea" hidden="1" oldHidden="1">
    <formula>'14'!$A$1:$J$39</formula>
    <oldFormula>'14'!$A$1:$J$39</oldFormula>
  </rdn>
  <rdn rId="0" localSheetId="7" customView="1" name="Z_C196B21B_5907_4E7A_90A7_4D3D9BC207B9_.wvu.PrintArea" hidden="1" oldHidden="1">
    <formula>'16'!$A$1:$K$39</formula>
    <oldFormula>'16'!$A$1:$K$39</oldFormula>
  </rdn>
  <rdn rId="0" localSheetId="8" customView="1" name="Z_C196B21B_5907_4E7A_90A7_4D3D9BC207B9_.wvu.PrintArea" hidden="1" oldHidden="1">
    <formula>'18'!$A$1:$K$28</formula>
    <oldFormula>'18'!$A$1:$K$28</oldFormula>
  </rdn>
  <rdn rId="0" localSheetId="9" customView="1" name="Z_C196B21B_5907_4E7A_90A7_4D3D9BC207B9_.wvu.PrintArea" hidden="1" oldHidden="1">
    <formula>'21'!$A$1:$K$39</formula>
    <oldFormula>'21'!$A$1:$K$39</oldFormula>
  </rdn>
  <rdn rId="0" localSheetId="10" customView="1" name="Z_C196B21B_5907_4E7A_90A7_4D3D9BC207B9_.wvu.PrintArea" hidden="1" oldHidden="1">
    <formula>'23'!$A$1:$K$27</formula>
    <oldFormula>'23'!$A$1:$K$27</oldFormula>
  </rdn>
  <rdn rId="0" localSheetId="11" customView="1" name="Z_C196B21B_5907_4E7A_90A7_4D3D9BC207B9_.wvu.PrintArea" hidden="1" oldHidden="1">
    <formula>'25'!$A$1:$J$39</formula>
    <oldFormula>'25'!$A$1:$J$39</oldFormula>
  </rdn>
  <rdn rId="0" localSheetId="12" customView="1" name="Z_C196B21B_5907_4E7A_90A7_4D3D9BC207B9_.wvu.PrintArea" hidden="1" oldHidden="1">
    <formula>'28'!$A$1:$J$39</formula>
    <oldFormula>'28'!$A$1:$J$39</oldFormula>
  </rdn>
  <rdn rId="0" localSheetId="13" customView="1" name="Z_C196B21B_5907_4E7A_90A7_4D3D9BC207B9_.wvu.PrintArea" hidden="1" oldHidden="1">
    <formula>'30'!$A$1:$J$39</formula>
    <oldFormula>'30'!$A$1:$J$39</oldFormula>
  </rdn>
  <rcv guid="{C196B21B-5907-4E7A-90A7-4D3D9BC207B9}" action="add"/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7" sId="11">
    <nc r="B9">
      <v>343</v>
    </nc>
  </rcc>
  <rcc rId="708" sId="11">
    <nc r="E9">
      <v>2</v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9" sId="11">
    <nc r="J9" t="inlineStr">
      <is>
        <t>Rahil</t>
      </is>
    </nc>
  </rcc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0" sId="11">
    <nc r="C9" t="inlineStr">
      <is>
        <t>Azizul Izwan</t>
      </is>
    </nc>
  </rcc>
  <rcc rId="711" sId="11" numFmtId="19">
    <nc r="D9">
      <v>46139</v>
    </nc>
  </rcc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2" sId="11">
    <nc r="B10">
      <v>309</v>
    </nc>
  </rcc>
  <rcc rId="713" sId="11">
    <nc r="E10">
      <v>2</v>
    </nc>
  </rcc>
  <rcc rId="714" sId="11">
    <nc r="J10" t="inlineStr">
      <is>
        <t>Win/Faiha</t>
      </is>
    </nc>
  </rcc>
  <rcc rId="715" sId="11">
    <nc r="C10" t="inlineStr">
      <is>
        <t>Yawei Lu</t>
      </is>
    </nc>
  </rcc>
  <rcc rId="716" sId="11" numFmtId="19">
    <nc r="D10">
      <v>46138</v>
    </nc>
  </rcc>
  <rfmt sheetId="11" sqref="B7:J10">
    <dxf>
      <alignment vertical="center" readingOrder="0"/>
    </dxf>
  </rfmt>
  <rfmt sheetId="11" sqref="B7:J10">
    <dxf>
      <alignment horizontal="general" readingOrder="0"/>
    </dxf>
  </rfmt>
  <rfmt sheetId="11" sqref="B7:J10">
    <dxf>
      <alignment horizontal="center" readingOrder="0"/>
    </dxf>
  </rfmt>
  <rcv guid="{AA8333F4-A272-457D-BE6D-1B569A227B28}" action="delete"/>
  <rdn rId="0" localSheetId="1" customView="1" name="Z_AA8333F4_A272_457D_BE6D_1B569A227B28_.wvu.PrintArea" hidden="1" oldHidden="1">
    <formula>'2'!$A$1:$J$39</formula>
    <oldFormula>'2'!$A$1:$J$39</oldFormula>
  </rdn>
  <rdn rId="0" localSheetId="2" customView="1" name="Z_AA8333F4_A272_457D_BE6D_1B569A227B28_.wvu.PrintArea" hidden="1" oldHidden="1">
    <formula>'4'!$A$1:$J$39</formula>
    <oldFormula>'4'!$A$1:$J$39</oldFormula>
  </rdn>
  <rdn rId="0" localSheetId="3" customView="1" name="Z_AA8333F4_A272_457D_BE6D_1B569A227B28_.wvu.PrintArea" hidden="1" oldHidden="1">
    <formula>'7'!$A$1:$J$39</formula>
    <oldFormula>'7'!$A$1:$J$39</oldFormula>
  </rdn>
  <rdn rId="0" localSheetId="4" customView="1" name="Z_AA8333F4_A272_457D_BE6D_1B569A227B28_.wvu.PrintArea" hidden="1" oldHidden="1">
    <formula>'9'!$A$1:$J$39</formula>
    <oldFormula>'9'!$A$1:$J$39</oldFormula>
  </rdn>
  <rdn rId="0" localSheetId="5" customView="1" name="Z_AA8333F4_A272_457D_BE6D_1B569A227B28_.wvu.PrintArea" hidden="1" oldHidden="1">
    <formula>'11'!$A$1:$J$41</formula>
    <oldFormula>'11'!$A$1:$J$41</oldFormula>
  </rdn>
  <rdn rId="0" localSheetId="6" customView="1" name="Z_AA8333F4_A272_457D_BE6D_1B569A227B28_.wvu.PrintArea" hidden="1" oldHidden="1">
    <formula>'14'!$A$1:$J$39</formula>
    <oldFormula>'14'!$A$1:$J$39</oldFormula>
  </rdn>
  <rdn rId="0" localSheetId="7" customView="1" name="Z_AA8333F4_A272_457D_BE6D_1B569A227B28_.wvu.PrintArea" hidden="1" oldHidden="1">
    <formula>'16'!$A$1:$K$39</formula>
    <oldFormula>'16'!$A$1:$K$39</oldFormula>
  </rdn>
  <rdn rId="0" localSheetId="8" customView="1" name="Z_AA8333F4_A272_457D_BE6D_1B569A227B28_.wvu.PrintArea" hidden="1" oldHidden="1">
    <formula>'18'!$A$1:$K$28</formula>
    <oldFormula>'18'!$A$1:$K$28</oldFormula>
  </rdn>
  <rdn rId="0" localSheetId="9" customView="1" name="Z_AA8333F4_A272_457D_BE6D_1B569A227B28_.wvu.PrintArea" hidden="1" oldHidden="1">
    <formula>'21'!$A$1:$K$39</formula>
    <oldFormula>'21'!$A$1:$K$39</oldFormula>
  </rdn>
  <rdn rId="0" localSheetId="10" customView="1" name="Z_AA8333F4_A272_457D_BE6D_1B569A227B28_.wvu.PrintArea" hidden="1" oldHidden="1">
    <formula>'23'!$A$1:$K$27</formula>
    <oldFormula>'23'!$A$1:$K$27</oldFormula>
  </rdn>
  <rdn rId="0" localSheetId="11" customView="1" name="Z_AA8333F4_A272_457D_BE6D_1B569A227B28_.wvu.PrintArea" hidden="1" oldHidden="1">
    <formula>'25'!$A$1:$J$39</formula>
    <oldFormula>'25'!$A$1:$J$39</oldFormula>
  </rdn>
  <rdn rId="0" localSheetId="12" customView="1" name="Z_AA8333F4_A272_457D_BE6D_1B569A227B28_.wvu.PrintArea" hidden="1" oldHidden="1">
    <formula>'28'!$A$1:$J$39</formula>
    <oldFormula>'28'!$A$1:$J$39</oldFormula>
  </rdn>
  <rdn rId="0" localSheetId="13" customView="1" name="Z_AA8333F4_A272_457D_BE6D_1B569A227B28_.wvu.PrintArea" hidden="1" oldHidden="1">
    <formula>'30'!$A$1:$J$39</formula>
    <oldFormula>'30'!$A$1:$J$39</oldFormula>
  </rdn>
  <rcv guid="{AA8333F4-A272-457D-BE6D-1B569A227B28}" action="add"/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730" sheetId="11" source="B7:K7" destination="B11:K11" sourceSheetId="11">
    <rfmt sheetId="11" sqref="B1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1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dxf="1">
      <nc r="K11">
        <f>IF(OR(NOT(ISERROR(MATCH(RIGHT(B11,3)+0,#REF!,0))),NOT(ISERROR(MATCH(LEFT(B11,3)+0,#REF!,0)))),"No Post","")</f>
      </nc>
      <ndxf>
        <font>
          <b/>
          <sz val="12"/>
          <color auto="1"/>
          <name val="Calibri"/>
          <scheme val="none"/>
        </font>
      </ndxf>
    </rcc>
  </rm>
  <rcc rId="731" sId="11" odxf="1" dxf="1">
    <nc r="B7">
      <v>601</v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2" sId="11" odxf="1" dxf="1">
    <nc r="C7" t="inlineStr">
      <is>
        <t>Mike Mosbacher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3" sId="11" odxf="1" dxf="1" numFmtId="19">
    <nc r="D7">
      <v>46136</v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4" sId="11" odxf="1" dxf="1">
    <nc r="E7">
      <v>2</v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F7" start="0" length="0">
    <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" start="0" length="0">
    <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" start="0" length="0">
    <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" start="0" length="0">
    <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5" sId="11" odxf="1" dxf="1">
    <nc r="J7" t="inlineStr">
      <is>
        <t>Aiperi/Faiha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6" sId="11" odxf="1" dxf="1">
    <nc r="K7">
      <f>IF(OR(NOT(ISERROR(MATCH(RIGHT(B7,3)+0,#REF!,0))),NOT(ISERROR(MATCH(LEFT(B7,3)+0,#REF!,0)))),"No Post","")</f>
    </nc>
    <odxf>
      <font>
        <b val="0"/>
        <sz val="14"/>
      </font>
    </odxf>
    <ndxf>
      <font>
        <b/>
        <sz val="12"/>
        <color auto="1"/>
      </font>
    </ndxf>
  </rcc>
  <rcc rId="737" sId="11">
    <oc r="B8">
      <v>601</v>
    </oc>
    <nc r="B8">
      <v>343</v>
    </nc>
  </rcc>
  <rcc rId="738" sId="11">
    <oc r="C8" t="inlineStr">
      <is>
        <t>Mike Mosbacher</t>
      </is>
    </oc>
    <nc r="C8" t="inlineStr">
      <is>
        <t>Azizul Izwan</t>
      </is>
    </nc>
  </rcc>
  <rcc rId="739" sId="11" numFmtId="19">
    <oc r="D8">
      <v>46136</v>
    </oc>
    <nc r="D8">
      <v>46139</v>
    </nc>
  </rcc>
  <rcc rId="740" sId="11">
    <oc r="J8" t="inlineStr">
      <is>
        <t>Aiperi/Faiha</t>
      </is>
    </oc>
    <nc r="J8" t="inlineStr">
      <is>
        <t>Rahil</t>
      </is>
    </nc>
  </rcc>
  <rcc rId="741" sId="11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742" sId="11">
    <oc r="B9">
      <v>343</v>
    </oc>
    <nc r="B9">
      <v>309</v>
    </nc>
  </rcc>
  <rcc rId="743" sId="11">
    <oc r="C9" t="inlineStr">
      <is>
        <t>Azizul Izwan</t>
      </is>
    </oc>
    <nc r="C9" t="inlineStr">
      <is>
        <t>Yawei Lu</t>
      </is>
    </nc>
  </rcc>
  <rcc rId="744" sId="11" numFmtId="19">
    <oc r="D9">
      <v>46139</v>
    </oc>
    <nc r="D9">
      <v>46138</v>
    </nc>
  </rcc>
  <rcc rId="745" sId="11">
    <oc r="J9" t="inlineStr">
      <is>
        <t>Rahil</t>
      </is>
    </oc>
    <nc r="J9" t="inlineStr">
      <is>
        <t>Win/Faiha</t>
      </is>
    </nc>
  </rcc>
  <rcc rId="746" sId="11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747" sId="11">
    <oc r="B10">
      <v>309</v>
    </oc>
    <nc r="B10">
      <v>315</v>
    </nc>
  </rcc>
  <rcc rId="748" sId="11">
    <oc r="C10" t="inlineStr">
      <is>
        <t>Yawei Lu</t>
      </is>
    </oc>
    <nc r="C10" t="inlineStr">
      <is>
        <t>Mr Matthew Stubbs</t>
      </is>
    </nc>
  </rcc>
  <rcc rId="749" sId="11" numFmtId="19">
    <oc r="D10">
      <v>46138</v>
    </oc>
    <nc r="D10">
      <v>46141</v>
    </nc>
  </rcc>
  <rcc rId="750" sId="11">
    <oc r="E10">
      <v>2</v>
    </oc>
    <nc r="E10" t="inlineStr">
      <is>
        <t>CXL2</t>
      </is>
    </nc>
  </rcc>
  <rcc rId="751" sId="11">
    <nc r="I10">
      <v>25881155</v>
    </nc>
  </rcc>
  <rcc rId="752" sId="11">
    <oc r="J10" t="inlineStr">
      <is>
        <t>Win/Faiha</t>
      </is>
    </oc>
    <nc r="J10" t="inlineStr">
      <is>
        <t>Faiha/Monica</t>
      </is>
    </nc>
  </rcc>
  <rcc rId="753" sId="11">
    <oc r="B11">
      <v>315</v>
    </oc>
    <nc r="B11"/>
  </rcc>
  <rcc rId="754" sId="11">
    <oc r="C11" t="inlineStr">
      <is>
        <t>Mr Matthew Stubbs</t>
      </is>
    </oc>
    <nc r="C11"/>
  </rcc>
  <rcc rId="755" sId="11" numFmtId="19">
    <oc r="D11">
      <v>46141</v>
    </oc>
    <nc r="D11"/>
  </rcc>
  <rcc rId="756" sId="11">
    <oc r="E11" t="inlineStr">
      <is>
        <t>CXL2</t>
      </is>
    </oc>
    <nc r="E11"/>
  </rcc>
  <rcc rId="757" sId="11">
    <oc r="I11">
      <v>25881155</v>
    </oc>
    <nc r="I11"/>
  </rcc>
  <rcc rId="758" sId="11">
    <oc r="J11" t="inlineStr">
      <is>
        <t>Faiha/Monica</t>
      </is>
    </oc>
    <nc r="J11"/>
  </rcc>
  <rcc rId="759" sId="11">
    <oc r="K11" t="inlineStr">
      <is>
        <t>OLD</t>
      </is>
    </oc>
    <nc r="K11"/>
  </rcc>
  <rfmt sheetId="11" sqref="B10 E10">
    <dxf>
      <fill>
        <patternFill>
          <bgColor rgb="FFFF0000"/>
        </patternFill>
      </fill>
    </dxf>
  </rfmt>
  <rrc rId="760" sId="11" ref="B1:B1048576" action="insertCol"/>
  <rcc rId="761" sId="11">
    <oc r="F27">
      <f>SUM(F22:F26)</f>
    </oc>
    <nc r="F27">
      <f>SUM(F7:F26)</f>
    </nc>
  </rcc>
  <rcc rId="762" sId="11">
    <oc r="G27">
      <f>SUM(G22:G26)</f>
    </oc>
    <nc r="G27">
      <f>SUM(G7:G26)</f>
    </nc>
  </rcc>
  <rrc rId="763" sId="11" ref="A14:XFD14" action="deleteRow">
    <rfmt sheetId="11" xfDxf="1" sqref="A14:XFD14" start="0" length="0">
      <dxf>
        <font>
          <sz val="14"/>
        </font>
      </dxf>
    </rfmt>
    <rcc rId="0" sId="11" dxf="1">
      <nc r="A14">
        <v>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4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4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K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dxf="1">
      <nc r="L14">
        <f>IF(OR(NOT(ISERROR(MATCH(RIGHT(C14,3)+0,#REF!,0))),NOT(ISERROR(MATCH(LEFT(C14,3)+0,#REF!,0)))),"No Post","")</f>
      </nc>
      <ndxf>
        <font>
          <b/>
          <sz val="12"/>
          <color auto="1"/>
        </font>
      </ndxf>
    </rcc>
  </rrc>
  <rrc rId="764" sId="11" ref="A14:XFD14" action="deleteRow">
    <rfmt sheetId="11" xfDxf="1" sqref="A14:XFD14" start="0" length="0">
      <dxf>
        <font>
          <sz val="14"/>
        </font>
      </dxf>
    </rfmt>
    <rcc rId="0" sId="11" dxf="1">
      <nc r="A14">
        <v>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4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4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K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dxf="1">
      <nc r="L14">
        <f>IF(OR(NOT(ISERROR(MATCH(RIGHT(C14,3)+0,#REF!,0))),NOT(ISERROR(MATCH(LEFT(C14,3)+0,#REF!,0)))),"No Post","")</f>
      </nc>
      <ndxf>
        <font>
          <b/>
          <sz val="12"/>
          <color auto="1"/>
        </font>
      </ndxf>
    </rcc>
  </rrc>
  <rrc rId="765" sId="11" ref="A14:XFD14" action="deleteRow">
    <rfmt sheetId="11" xfDxf="1" sqref="A14:XFD14" start="0" length="0">
      <dxf>
        <font>
          <sz val="14"/>
        </font>
      </dxf>
    </rfmt>
    <rcc rId="0" sId="11" dxf="1">
      <nc r="A14">
        <v>10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4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4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K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dxf="1">
      <nc r="L14">
        <f>IF(OR(NOT(ISERROR(MATCH(RIGHT(C14,3)+0,#REF!,0))),NOT(ISERROR(MATCH(LEFT(C14,3)+0,#REF!,0)))),"No Post","")</f>
      </nc>
      <ndxf>
        <font>
          <b/>
          <sz val="12"/>
          <color auto="1"/>
        </font>
      </ndxf>
    </rcc>
  </rrc>
  <rrc rId="766" sId="11" ref="A14:XFD14" action="deleteRow">
    <rfmt sheetId="11" xfDxf="1" sqref="A14:XFD14" start="0" length="0">
      <dxf>
        <font>
          <sz val="14"/>
        </font>
      </dxf>
    </rfmt>
    <rcc rId="0" sId="11" dxf="1">
      <nc r="A14">
        <v>11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14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4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4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K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dxf="1">
      <nc r="L14">
        <f>IF(OR(NOT(ISERROR(MATCH(RIGHT(C14,3)+0,#REF!,0))),NOT(ISERROR(MATCH(LEFT(C14,3)+0,#REF!,0)))),"No Post","")</f>
      </nc>
      <ndxf>
        <font>
          <b/>
          <sz val="12"/>
          <color auto="1"/>
        </font>
      </ndxf>
    </rcc>
  </rrc>
  <rrc rId="767" sId="11" ref="A14:XFD14" action="deleteRow">
    <rfmt sheetId="11" xfDxf="1" sqref="A14:XFD14" start="0" length="0">
      <dxf>
        <font>
          <sz val="14"/>
        </font>
      </dxf>
    </rfmt>
    <rcc rId="0" sId="11" dxf="1">
      <nc r="A14">
        <v>12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4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4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K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dxf="1">
      <nc r="L14">
        <f>IF(OR(NOT(ISERROR(MATCH(RIGHT(C14,3)+0,#REF!,0))),NOT(ISERROR(MATCH(LEFT(C14,3)+0,#REF!,0)))),"No Post","")</f>
      </nc>
      <ndxf>
        <font>
          <b/>
          <sz val="12"/>
          <color auto="1"/>
        </font>
      </ndxf>
    </rcc>
  </rrc>
  <rrc rId="768" sId="11" ref="A14:XFD14" action="deleteRow">
    <rfmt sheetId="11" xfDxf="1" sqref="A14:XFD14" start="0" length="0">
      <dxf>
        <font>
          <sz val="14"/>
        </font>
      </dxf>
    </rfmt>
    <rcc rId="0" sId="11" dxf="1">
      <nc r="A14">
        <v>13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4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4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K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dxf="1">
      <nc r="L14">
        <f>IF(OR(NOT(ISERROR(MATCH(RIGHT(C14,3)+0,#REF!,0))),NOT(ISERROR(MATCH(LEFT(C14,3)+0,#REF!,0)))),"No Post","")</f>
      </nc>
      <ndxf>
        <font>
          <b/>
          <sz val="12"/>
          <color auto="1"/>
        </font>
      </ndxf>
    </rcc>
  </rrc>
  <rrc rId="769" sId="11" ref="A14:XFD14" action="deleteRow">
    <rfmt sheetId="11" xfDxf="1" sqref="A14:XFD14" start="0" length="0">
      <dxf>
        <font>
          <sz val="14"/>
        </font>
      </dxf>
    </rfmt>
    <rcc rId="0" sId="11" dxf="1">
      <nc r="A14">
        <v>14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4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4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K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dxf="1">
      <nc r="L14">
        <f>IF(OR(NOT(ISERROR(MATCH(RIGHT(C14,3)+0,#REF!,0))),NOT(ISERROR(MATCH(LEFT(C14,3)+0,#REF!,0)))),"No Post","")</f>
      </nc>
      <ndxf>
        <font>
          <b/>
          <sz val="12"/>
          <color auto="1"/>
        </font>
      </ndxf>
    </rcc>
  </rrc>
  <rrc rId="770" sId="11" ref="A14:XFD14" action="deleteRow">
    <rfmt sheetId="11" xfDxf="1" sqref="A14:XFD14" start="0" length="0">
      <dxf>
        <font>
          <sz val="14"/>
        </font>
      </dxf>
    </rfmt>
    <rcc rId="0" sId="11" dxf="1">
      <nc r="A14">
        <v>15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4" start="0" length="0">
      <dxf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4" start="0" length="0">
      <dxf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K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dxf="1">
      <nc r="L14">
        <f>IF(OR(NOT(ISERROR(MATCH(RIGHT(C14,3)+0,#REF!,0))),NOT(ISERROR(MATCH(LEFT(C14,3)+0,#REF!,0)))),"No Post","")</f>
      </nc>
      <ndxf>
        <font>
          <b/>
          <sz val="12"/>
          <color auto="1"/>
        </font>
      </ndxf>
    </rcc>
  </rrc>
  <rrc rId="771" sId="11" ref="A14:XFD14" action="deleteRow">
    <rfmt sheetId="11" xfDxf="1" sqref="A14:XFD14" start="0" length="0">
      <dxf>
        <font>
          <sz val="14"/>
        </font>
      </dxf>
    </rfmt>
    <rcc rId="0" sId="11" dxf="1">
      <nc r="A14">
        <v>16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14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14" start="0" length="0">
      <dxf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4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4" start="0" length="0">
      <dxf>
        <font>
          <b/>
          <sz val="14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4" start="0" length="0">
      <dxf>
        <font>
          <b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4" start="0" length="0">
      <dxf>
        <font>
          <b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4" start="0" length="0">
      <dxf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4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4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K14" start="0" length="0">
      <dxf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dxf="1">
      <nc r="L14">
        <f>IF(OR(NOT(ISERROR(MATCH(RIGHT(C14,3)+0,#REF!,0))),NOT(ISERROR(MATCH(LEFT(C14,3)+0,#REF!,0)))),"No Post","")</f>
      </nc>
      <ndxf>
        <font>
          <b/>
          <sz val="12"/>
          <color auto="1"/>
        </font>
      </ndxf>
    </rcc>
  </rrc>
  <rrc rId="772" sId="11" ref="A14:XFD14" action="deleteRow">
    <rfmt sheetId="11" xfDxf="1" sqref="A14:XFD14" start="0" length="0">
      <dxf>
        <font>
          <sz val="14"/>
        </font>
      </dxf>
    </rfmt>
    <rcc rId="0" sId="11" dxf="1">
      <nc r="A14">
        <v>17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14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4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4" start="0" length="0">
      <dxf>
        <numFmt numFmtId="19" formatCode="dd/mm/yyyy"/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4" start="0" length="0">
      <dxf>
        <font>
          <b/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4" start="0" length="0">
      <dxf>
        <numFmt numFmtId="19" formatCode="dd/mm/yyyy"/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4" start="0" length="0">
      <dxf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4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K14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dxf="1">
      <nc r="L14">
        <f>IF(OR(NOT(ISERROR(MATCH(RIGHT(C14,3)+0,#REF!,0))),NOT(ISERROR(MATCH(LEFT(C14,3)+0,#REF!,0)))),"No Post","")</f>
      </nc>
      <ndxf>
        <font>
          <b/>
          <sz val="12"/>
          <color auto="1"/>
        </font>
      </ndxf>
    </rcc>
  </rrc>
  <rrc rId="773" sId="11" ref="A14:XFD14" action="deleteRow">
    <rfmt sheetId="11" xfDxf="1" sqref="A14:XFD14" start="0" length="0">
      <dxf>
        <font>
          <b/>
          <sz val="15"/>
        </font>
      </dxf>
    </rfmt>
    <rcc rId="0" sId="11" dxf="1">
      <nc r="A14">
        <v>18</v>
      </nc>
      <ndxf>
        <font>
          <b val="0"/>
          <sz val="14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14" start="0" length="0">
      <dxf>
        <font>
          <b val="0"/>
          <sz val="14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14" start="0" length="0">
      <dxf>
        <font>
          <b val="0"/>
          <sz val="14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4" start="0" length="0">
      <dxf>
        <font>
          <b val="0"/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4" start="0" length="0">
      <dxf>
        <font>
          <b val="0"/>
          <sz val="14"/>
        </font>
        <numFmt numFmtId="19" formatCode="dd/mm/yyyy"/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4" start="0" length="0">
      <dxf>
        <font>
          <b val="0"/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4" start="0" length="0">
      <dxf>
        <font>
          <b val="0"/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4" start="0" length="0">
      <dxf>
        <font>
          <b val="0"/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4" start="0" length="0">
      <dxf>
        <font>
          <b val="0"/>
          <sz val="14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4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K14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dxf="1">
      <nc r="L14">
        <f>IF(OR(NOT(ISERROR(MATCH(RIGHT(C14,3)+0,#REF!,0))),NOT(ISERROR(MATCH(LEFT(C14,3)+0,#REF!,0)))),"No Post","")</f>
      </nc>
      <ndxf>
        <font>
          <sz val="12"/>
          <color auto="1"/>
        </font>
      </ndxf>
    </rcc>
  </rrc>
  <rrc rId="774" sId="11" ref="A14:XFD14" action="deleteRow">
    <rfmt sheetId="11" xfDxf="1" sqref="A14:XFD14" start="0" length="0">
      <dxf>
        <font>
          <sz val="14"/>
        </font>
      </dxf>
    </rfmt>
    <rcc rId="0" sId="11" dxf="1">
      <nc r="A14">
        <v>19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14" start="0" length="0">
      <dxf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4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4" start="0" length="0">
      <dxf>
        <numFmt numFmtId="19" formatCode="dd/mm/yyyy"/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4" start="0" length="0">
      <dxf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4" start="0" length="0">
      <dxf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4" start="0" length="0">
      <dxf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4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K14" start="0" length="0">
      <dxf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dxf="1">
      <nc r="L14">
        <f>IF(OR(NOT(ISERROR(MATCH(RIGHT(C14,3)+0,#REF!,0))),NOT(ISERROR(MATCH(LEFT(C14,3)+0,#REF!,0)))),"No Post","")</f>
      </nc>
      <ndxf>
        <font>
          <b/>
          <sz val="12"/>
          <color auto="1"/>
        </font>
      </ndxf>
    </rcc>
  </rrc>
  <rrc rId="775" sId="11" ref="A14:XFD14" action="deleteRow">
    <undo index="0" exp="area" dr="G7:G14" r="G15" sId="11"/>
    <undo index="0" exp="area" dr="F7:F14" r="F15" sId="11"/>
    <rfmt sheetId="11" xfDxf="1" sqref="A14:XFD14" start="0" length="0">
      <dxf>
        <font>
          <sz val="13"/>
        </font>
        <alignment horizontal="center" readingOrder="0"/>
      </dxf>
    </rfmt>
    <rcc rId="0" sId="11" dxf="1">
      <nc r="A14">
        <v>20</v>
      </nc>
      <ndxf>
        <font>
          <sz val="14"/>
        </font>
        <alignment horizontal="general" vertical="bottom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14" start="0" length="0">
      <dxf>
        <font>
          <sz val="14"/>
        </font>
        <alignment horizontal="general" vertical="bottom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14" start="0" length="0">
      <dxf>
        <font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4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4" start="0" length="0">
      <dxf>
        <font>
          <sz val="14"/>
        </font>
        <numFmt numFmtId="19" formatCode="dd/mm/yyyy"/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4" start="0" length="0">
      <dxf>
        <font>
          <sz val="14"/>
        </font>
        <alignment horizontal="general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4" start="0" length="0">
      <dxf>
        <font>
          <sz val="14"/>
        </font>
        <alignment horizontal="general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4" start="0" length="0">
      <dxf>
        <font>
          <sz val="14"/>
        </font>
        <alignment horizontal="general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4" start="0" length="0">
      <dxf>
        <font>
          <sz val="14"/>
        </font>
        <alignment horizontal="general" vertical="bottom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4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K14" start="0" length="0">
      <dxf>
        <font>
          <sz val="14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dxf="1">
      <nc r="L14">
        <f>IF(OR(NOT(ISERROR(MATCH(RIGHT(C14,3)+0,#REF!,0))),NOT(ISERROR(MATCH(LEFT(C14,3)+0,#REF!,0)))),"No Post","")</f>
      </nc>
      <ndxf>
        <font>
          <b/>
          <sz val="12"/>
          <color auto="1"/>
        </font>
        <alignment horizontal="general" vertical="bottom" readingOrder="0"/>
      </ndxf>
    </rcc>
  </rrc>
  <rcc rId="776" sId="11">
    <nc r="I10" t="inlineStr">
      <is>
        <t>OLD</t>
      </is>
    </nc>
  </rcc>
  <rcc rId="777" sId="11">
    <oc r="L10">
      <f>IF(OR(NOT(ISERROR(MATCH(RIGHT(B10,3)+0,#REF!,0))),NOT(ISERROR(MATCH(LEFT(B10,3)+0,#REF!,0)))),"No Post","")</f>
    </oc>
    <nc r="L10"/>
  </rcc>
  <rcv guid="{AA8333F4-A272-457D-BE6D-1B569A227B28}" action="delete"/>
  <rdn rId="0" localSheetId="1" customView="1" name="Z_AA8333F4_A272_457D_BE6D_1B569A227B28_.wvu.PrintArea" hidden="1" oldHidden="1">
    <formula>'2'!$A$1:$J$39</formula>
    <oldFormula>'2'!$A$1:$J$39</oldFormula>
  </rdn>
  <rdn rId="0" localSheetId="2" customView="1" name="Z_AA8333F4_A272_457D_BE6D_1B569A227B28_.wvu.PrintArea" hidden="1" oldHidden="1">
    <formula>'4'!$A$1:$J$39</formula>
    <oldFormula>'4'!$A$1:$J$39</oldFormula>
  </rdn>
  <rdn rId="0" localSheetId="3" customView="1" name="Z_AA8333F4_A272_457D_BE6D_1B569A227B28_.wvu.PrintArea" hidden="1" oldHidden="1">
    <formula>'7'!$A$1:$J$39</formula>
    <oldFormula>'7'!$A$1:$J$39</oldFormula>
  </rdn>
  <rdn rId="0" localSheetId="4" customView="1" name="Z_AA8333F4_A272_457D_BE6D_1B569A227B28_.wvu.PrintArea" hidden="1" oldHidden="1">
    <formula>'9'!$A$1:$J$39</formula>
    <oldFormula>'9'!$A$1:$J$39</oldFormula>
  </rdn>
  <rdn rId="0" localSheetId="5" customView="1" name="Z_AA8333F4_A272_457D_BE6D_1B569A227B28_.wvu.PrintArea" hidden="1" oldHidden="1">
    <formula>'11'!$A$1:$J$41</formula>
    <oldFormula>'11'!$A$1:$J$41</oldFormula>
  </rdn>
  <rdn rId="0" localSheetId="6" customView="1" name="Z_AA8333F4_A272_457D_BE6D_1B569A227B28_.wvu.PrintArea" hidden="1" oldHidden="1">
    <formula>'14'!$A$1:$J$39</formula>
    <oldFormula>'14'!$A$1:$J$39</oldFormula>
  </rdn>
  <rdn rId="0" localSheetId="7" customView="1" name="Z_AA8333F4_A272_457D_BE6D_1B569A227B28_.wvu.PrintArea" hidden="1" oldHidden="1">
    <formula>'16'!$A$1:$K$39</formula>
    <oldFormula>'16'!$A$1:$K$39</oldFormula>
  </rdn>
  <rdn rId="0" localSheetId="8" customView="1" name="Z_AA8333F4_A272_457D_BE6D_1B569A227B28_.wvu.PrintArea" hidden="1" oldHidden="1">
    <formula>'18'!$A$1:$K$28</formula>
    <oldFormula>'18'!$A$1:$K$28</oldFormula>
  </rdn>
  <rdn rId="0" localSheetId="9" customView="1" name="Z_AA8333F4_A272_457D_BE6D_1B569A227B28_.wvu.PrintArea" hidden="1" oldHidden="1">
    <formula>'21'!$A$1:$K$39</formula>
    <oldFormula>'21'!$A$1:$K$39</oldFormula>
  </rdn>
  <rdn rId="0" localSheetId="10" customView="1" name="Z_AA8333F4_A272_457D_BE6D_1B569A227B28_.wvu.PrintArea" hidden="1" oldHidden="1">
    <formula>'23'!$A$1:$K$27</formula>
    <oldFormula>'23'!$A$1:$K$27</oldFormula>
  </rdn>
  <rdn rId="0" localSheetId="11" customView="1" name="Z_AA8333F4_A272_457D_BE6D_1B569A227B28_.wvu.PrintArea" hidden="1" oldHidden="1">
    <formula>'25'!$A$1:$K$26</formula>
    <oldFormula>'25'!$A$1:$K$26</oldFormula>
  </rdn>
  <rdn rId="0" localSheetId="12" customView="1" name="Z_AA8333F4_A272_457D_BE6D_1B569A227B28_.wvu.PrintArea" hidden="1" oldHidden="1">
    <formula>'28'!$A$1:$J$39</formula>
    <oldFormula>'28'!$A$1:$J$39</oldFormula>
  </rdn>
  <rdn rId="0" localSheetId="13" customView="1" name="Z_AA8333F4_A272_457D_BE6D_1B569A227B28_.wvu.PrintArea" hidden="1" oldHidden="1">
    <formula>'30'!$A$1:$J$39</formula>
    <oldFormula>'30'!$A$1:$J$39</oldFormula>
  </rdn>
  <rcv guid="{AA8333F4-A272-457D-BE6D-1B569A227B28}" action="add"/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1" sId="11">
    <nc r="C11">
      <v>307</v>
    </nc>
  </rcc>
  <rcc rId="792" sId="11">
    <nc r="C12">
      <v>305</v>
    </nc>
  </rcc>
  <rcc rId="793" sId="11">
    <nc r="C13">
      <v>303</v>
    </nc>
  </rcc>
  <rcc rId="794" sId="11">
    <nc r="F11">
      <v>2</v>
    </nc>
  </rcc>
  <rcc rId="795" sId="11">
    <nc r="F12">
      <v>2</v>
    </nc>
  </rcc>
  <rcc rId="796" sId="11">
    <nc r="F13">
      <v>1</v>
    </nc>
  </rcc>
  <rcc rId="797" sId="11">
    <nc r="K11" t="inlineStr">
      <is>
        <t>Win/Faiha</t>
      </is>
    </nc>
  </rcc>
  <rcc rId="798" sId="11" odxf="1" dxf="1">
    <nc r="K12" t="inlineStr">
      <is>
        <t>Win/Faiha</t>
      </is>
    </nc>
    <odxf>
      <alignment vertical="top" readingOrder="0"/>
    </odxf>
    <ndxf>
      <alignment vertical="center" readingOrder="0"/>
    </ndxf>
  </rcc>
  <rcc rId="799" sId="11" odxf="1" dxf="1">
    <nc r="K13" t="inlineStr">
      <is>
        <t>Win/Faiha</t>
      </is>
    </nc>
    <odxf>
      <alignment vertical="top" readingOrder="0"/>
    </odxf>
    <ndxf>
      <alignment vertical="center" readingOrder="0"/>
    </ndxf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0" sId="11">
    <nc r="D11" t="inlineStr">
      <is>
        <t>Xin Wang</t>
      </is>
    </nc>
  </rcc>
  <rcc rId="801" sId="11" numFmtId="19">
    <nc r="E11">
      <v>46138</v>
    </nc>
  </rcc>
  <rcc rId="802" sId="11" odxf="1" dxf="1">
    <nc r="D12" t="inlineStr">
      <is>
        <t>Yuping Shi</t>
      </is>
    </nc>
    <odxf>
      <alignment horizontal="left" vertical="top" readingOrder="0"/>
    </odxf>
    <ndxf>
      <alignment horizontal="center" vertical="center" readingOrder="0"/>
    </ndxf>
  </rcc>
  <rcc rId="803" sId="11" odxf="1" dxf="1" numFmtId="19">
    <nc r="E12">
      <v>46138</v>
    </nc>
    <odxf>
      <alignment vertical="top" readingOrder="0"/>
    </odxf>
    <ndxf>
      <alignment vertical="center" readingOrder="0"/>
    </ndxf>
  </rcc>
  <rfmt sheetId="11" sqref="F12" start="0" length="0">
    <dxf>
      <alignment vertical="center" readingOrder="0"/>
    </dxf>
  </rfmt>
  <rcc rId="804" sId="11" odxf="1" dxf="1">
    <nc r="D13" t="inlineStr">
      <is>
        <t>Meiling Li</t>
      </is>
    </nc>
    <odxf>
      <alignment horizontal="left" vertical="top" readingOrder="0"/>
    </odxf>
    <ndxf>
      <alignment horizontal="center" vertical="center" readingOrder="0"/>
    </ndxf>
  </rcc>
  <rcc rId="805" sId="11" odxf="1" dxf="1" numFmtId="19">
    <nc r="E13">
      <v>46138</v>
    </nc>
    <odxf>
      <alignment vertical="top" readingOrder="0"/>
    </odxf>
    <ndxf>
      <alignment vertical="center" readingOrder="0"/>
    </ndxf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06" sId="11" ref="A13:XFD13" action="insertRow"/>
  <rrc rId="807" sId="11" ref="A13:XFD13" action="insertRow"/>
  <rcc rId="808" sId="11" odxf="1" dxf="1">
    <nc r="A13">
      <v>7</v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fmt sheetId="11" sqref="B13" start="0" length="0">
    <dxf>
      <fill>
        <patternFill patternType="none">
          <bgColor indexed="65"/>
        </patternFill>
      </fill>
    </dxf>
  </rfmt>
  <rfmt sheetId="11" sqref="F13" start="0" length="0">
    <dxf>
      <alignment vertical="top" readingOrder="0"/>
    </dxf>
  </rfmt>
  <rm rId="809" sheetId="11" source="C10:K10" destination="C14:K14" sourceSheetId="11">
    <rfmt sheetId="11" sqref="C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14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J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K1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810" sId="11" odxf="1" dxf="1">
    <nc r="C10">
      <v>307</v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1" sId="11" odxf="1" dxf="1">
    <nc r="D10" t="inlineStr">
      <is>
        <t>Xin Wang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2" sId="11" odxf="1" dxf="1" numFmtId="19">
    <nc r="E10">
      <v>46138</v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3" sId="11" odxf="1" dxf="1">
    <nc r="F10">
      <v>2</v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G10" start="0" length="0">
    <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" start="0" length="0">
    <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" start="0" length="0">
    <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10" start="0" length="0">
    <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14" sId="11" odxf="1" dxf="1">
    <nc r="K10" t="inlineStr">
      <is>
        <t>Win/Faiha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5" sId="11" odxf="1" dxf="1">
    <oc r="C11">
      <v>307</v>
    </oc>
    <nc r="C11">
      <v>305</v>
    </nc>
    <odxf>
      <alignment vertical="center" readingOrder="0"/>
    </odxf>
    <ndxf>
      <alignment vertical="top" readingOrder="0"/>
    </ndxf>
  </rcc>
  <rcc rId="816" sId="11">
    <oc r="D11" t="inlineStr">
      <is>
        <t>Xin Wang</t>
      </is>
    </oc>
    <nc r="D11" t="inlineStr">
      <is>
        <t>Yuping Shi</t>
      </is>
    </nc>
  </rcc>
  <rfmt sheetId="11" sqref="G11" start="0" length="0">
    <dxf>
      <alignment vertical="top" readingOrder="0"/>
    </dxf>
  </rfmt>
  <rfmt sheetId="11" sqref="H11" start="0" length="0">
    <dxf>
      <alignment vertical="top" readingOrder="0"/>
    </dxf>
  </rfmt>
  <rfmt sheetId="11" sqref="I11" start="0" length="0">
    <dxf>
      <alignment vertical="top" readingOrder="0"/>
    </dxf>
  </rfmt>
  <rfmt sheetId="11" sqref="J11" start="0" length="0">
    <dxf>
      <alignment vertical="top" readingOrder="0"/>
    </dxf>
  </rfmt>
  <rcc rId="817" sId="11">
    <oc r="C12">
      <v>305</v>
    </oc>
    <nc r="C12">
      <v>303</v>
    </nc>
  </rcc>
  <rcc rId="818" sId="11">
    <oc r="D12" t="inlineStr">
      <is>
        <t>Yuping Shi</t>
      </is>
    </oc>
    <nc r="D12" t="inlineStr">
      <is>
        <t>Meiling Li</t>
      </is>
    </nc>
  </rcc>
  <rcc rId="819" sId="11" odxf="1" dxf="1">
    <oc r="F12">
      <v>2</v>
    </oc>
    <nc r="F12">
      <v>1</v>
    </nc>
    <odxf>
      <alignment vertical="center" readingOrder="0"/>
    </odxf>
    <ndxf>
      <alignment vertical="top" readingOrder="0"/>
    </ndxf>
  </rcc>
  <rcc rId="820" sId="11" odxf="1" dxf="1">
    <nc r="C13">
      <v>315</v>
    </nc>
    <ndxf>
      <fill>
        <patternFill>
          <bgColor rgb="FFFF0000"/>
        </patternFill>
      </fill>
      <alignment vertical="center" readingOrder="0"/>
    </ndxf>
  </rcc>
  <rcc rId="821" sId="11">
    <nc r="D13" t="inlineStr">
      <is>
        <t>Mr Matthew Stubbs</t>
      </is>
    </nc>
  </rcc>
  <rcc rId="822" sId="11" numFmtId="19">
    <nc r="E13">
      <v>46141</v>
    </nc>
  </rcc>
  <rcc rId="823" sId="11" odxf="1" dxf="1">
    <nc r="F13" t="inlineStr">
      <is>
        <t>CXL2</t>
      </is>
    </nc>
    <ndxf>
      <fill>
        <patternFill>
          <bgColor rgb="FFFF0000"/>
        </patternFill>
      </fill>
      <alignment vertical="center" readingOrder="0"/>
    </ndxf>
  </rcc>
  <rfmt sheetId="11" sqref="G13" start="0" length="0">
    <dxf>
      <alignment vertical="center" readingOrder="0"/>
    </dxf>
  </rfmt>
  <rfmt sheetId="11" sqref="H13" start="0" length="0">
    <dxf>
      <alignment vertical="center" readingOrder="0"/>
    </dxf>
  </rfmt>
  <rcc rId="824" sId="11" odxf="1" dxf="1">
    <nc r="I13" t="inlineStr">
      <is>
        <t>OLD</t>
      </is>
    </nc>
    <ndxf>
      <alignment vertical="center" readingOrder="0"/>
    </ndxf>
  </rcc>
  <rcc rId="825" sId="11" odxf="1" dxf="1">
    <nc r="J13">
      <v>25881155</v>
    </nc>
    <ndxf>
      <alignment vertical="center" readingOrder="0"/>
    </ndxf>
  </rcc>
  <rcc rId="826" sId="11">
    <nc r="K13" t="inlineStr">
      <is>
        <t>Faiha/Monica</t>
      </is>
    </nc>
  </rcc>
  <rcc rId="827" sId="11">
    <oc r="C14">
      <v>315</v>
    </oc>
    <nc r="C14"/>
  </rcc>
  <rcc rId="828" sId="11">
    <oc r="D14" t="inlineStr">
      <is>
        <t>Mr Matthew Stubbs</t>
      </is>
    </oc>
    <nc r="D14"/>
  </rcc>
  <rcc rId="829" sId="11" numFmtId="19">
    <oc r="E14">
      <v>46141</v>
    </oc>
    <nc r="E14"/>
  </rcc>
  <rcc rId="830" sId="11">
    <oc r="F14" t="inlineStr">
      <is>
        <t>CXL2</t>
      </is>
    </oc>
    <nc r="F14"/>
  </rcc>
  <rcc rId="831" sId="11">
    <oc r="I14" t="inlineStr">
      <is>
        <t>OLD</t>
      </is>
    </oc>
    <nc r="I14"/>
  </rcc>
  <rcc rId="832" sId="11">
    <oc r="J14">
      <v>25881155</v>
    </oc>
    <nc r="J14"/>
  </rcc>
  <rcc rId="833" sId="11">
    <oc r="K14" t="inlineStr">
      <is>
        <t>Faiha/Monica</t>
      </is>
    </oc>
    <nc r="K14"/>
  </rcc>
  <rcc rId="834" sId="11">
    <oc r="C15">
      <v>303</v>
    </oc>
    <nc r="C15"/>
  </rcc>
  <rcc rId="835" sId="11">
    <oc r="D15" t="inlineStr">
      <is>
        <t>Meiling Li</t>
      </is>
    </oc>
    <nc r="D15"/>
  </rcc>
  <rcc rId="836" sId="11" numFmtId="19">
    <oc r="E15">
      <v>46138</v>
    </oc>
    <nc r="E15"/>
  </rcc>
  <rcc rId="837" sId="11">
    <oc r="F15">
      <v>1</v>
    </oc>
    <nc r="F15"/>
  </rcc>
  <rcc rId="838" sId="11">
    <oc r="K15" t="inlineStr">
      <is>
        <t>Win/Faiha</t>
      </is>
    </oc>
    <nc r="K15"/>
  </rcc>
  <rfmt sheetId="11" sqref="C14:K15">
    <dxf>
      <fill>
        <patternFill patternType="none">
          <bgColor auto="1"/>
        </patternFill>
      </fill>
    </dxf>
  </rfmt>
  <rcc rId="839" sId="11">
    <nc r="A14">
      <v>8</v>
    </nc>
  </rcc>
  <rcc rId="840" sId="11">
    <oc r="A15">
      <v>7</v>
    </oc>
    <nc r="A15">
      <v>9</v>
    </nc>
  </rcc>
  <rcv guid="{AA8333F4-A272-457D-BE6D-1B569A227B28}" action="delete"/>
  <rdn rId="0" localSheetId="1" customView="1" name="Z_AA8333F4_A272_457D_BE6D_1B569A227B28_.wvu.PrintArea" hidden="1" oldHidden="1">
    <formula>'2'!$A$1:$J$39</formula>
    <oldFormula>'2'!$A$1:$J$39</oldFormula>
  </rdn>
  <rdn rId="0" localSheetId="2" customView="1" name="Z_AA8333F4_A272_457D_BE6D_1B569A227B28_.wvu.PrintArea" hidden="1" oldHidden="1">
    <formula>'4'!$A$1:$J$39</formula>
    <oldFormula>'4'!$A$1:$J$39</oldFormula>
  </rdn>
  <rdn rId="0" localSheetId="3" customView="1" name="Z_AA8333F4_A272_457D_BE6D_1B569A227B28_.wvu.PrintArea" hidden="1" oldHidden="1">
    <formula>'7'!$A$1:$J$39</formula>
    <oldFormula>'7'!$A$1:$J$39</oldFormula>
  </rdn>
  <rdn rId="0" localSheetId="4" customView="1" name="Z_AA8333F4_A272_457D_BE6D_1B569A227B28_.wvu.PrintArea" hidden="1" oldHidden="1">
    <formula>'9'!$A$1:$J$39</formula>
    <oldFormula>'9'!$A$1:$J$39</oldFormula>
  </rdn>
  <rdn rId="0" localSheetId="5" customView="1" name="Z_AA8333F4_A272_457D_BE6D_1B569A227B28_.wvu.PrintArea" hidden="1" oldHidden="1">
    <formula>'11'!$A$1:$J$41</formula>
    <oldFormula>'11'!$A$1:$J$41</oldFormula>
  </rdn>
  <rdn rId="0" localSheetId="6" customView="1" name="Z_AA8333F4_A272_457D_BE6D_1B569A227B28_.wvu.PrintArea" hidden="1" oldHidden="1">
    <formula>'14'!$A$1:$J$39</formula>
    <oldFormula>'14'!$A$1:$J$39</oldFormula>
  </rdn>
  <rdn rId="0" localSheetId="7" customView="1" name="Z_AA8333F4_A272_457D_BE6D_1B569A227B28_.wvu.PrintArea" hidden="1" oldHidden="1">
    <formula>'16'!$A$1:$K$39</formula>
    <oldFormula>'16'!$A$1:$K$39</oldFormula>
  </rdn>
  <rdn rId="0" localSheetId="8" customView="1" name="Z_AA8333F4_A272_457D_BE6D_1B569A227B28_.wvu.PrintArea" hidden="1" oldHidden="1">
    <formula>'18'!$A$1:$K$28</formula>
    <oldFormula>'18'!$A$1:$K$28</oldFormula>
  </rdn>
  <rdn rId="0" localSheetId="9" customView="1" name="Z_AA8333F4_A272_457D_BE6D_1B569A227B28_.wvu.PrintArea" hidden="1" oldHidden="1">
    <formula>'21'!$A$1:$K$39</formula>
    <oldFormula>'21'!$A$1:$K$39</oldFormula>
  </rdn>
  <rdn rId="0" localSheetId="10" customView="1" name="Z_AA8333F4_A272_457D_BE6D_1B569A227B28_.wvu.PrintArea" hidden="1" oldHidden="1">
    <formula>'23'!$A$1:$K$27</formula>
    <oldFormula>'23'!$A$1:$K$27</oldFormula>
  </rdn>
  <rdn rId="0" localSheetId="11" customView="1" name="Z_AA8333F4_A272_457D_BE6D_1B569A227B28_.wvu.PrintArea" hidden="1" oldHidden="1">
    <formula>'25'!$A$1:$K$28</formula>
    <oldFormula>'25'!$A$1:$K$28</oldFormula>
  </rdn>
  <rdn rId="0" localSheetId="12" customView="1" name="Z_AA8333F4_A272_457D_BE6D_1B569A227B28_.wvu.PrintArea" hidden="1" oldHidden="1">
    <formula>'28'!$A$1:$J$39</formula>
    <oldFormula>'28'!$A$1:$J$39</oldFormula>
  </rdn>
  <rdn rId="0" localSheetId="13" customView="1" name="Z_AA8333F4_A272_457D_BE6D_1B569A227B28_.wvu.PrintArea" hidden="1" oldHidden="1">
    <formula>'30'!$A$1:$J$39</formula>
    <oldFormula>'30'!$A$1:$J$39</oldFormula>
  </rdn>
  <rcv guid="{AA8333F4-A272-457D-BE6D-1B569A227B28}" action="add"/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C12">
    <dxf>
      <fill>
        <patternFill>
          <bgColor rgb="FFFF0000"/>
        </patternFill>
      </fill>
    </dxf>
  </rfmt>
  <rfmt sheetId="11" sqref="F12">
    <dxf>
      <fill>
        <patternFill>
          <bgColor rgb="FFFF0000"/>
        </patternFill>
      </fill>
    </dxf>
  </rfmt>
  <rfmt sheetId="11" sqref="C11">
    <dxf>
      <fill>
        <patternFill>
          <bgColor rgb="FFFF0000"/>
        </patternFill>
      </fill>
    </dxf>
  </rfmt>
  <rfmt sheetId="11" sqref="F11">
    <dxf>
      <fill>
        <patternFill>
          <bgColor rgb="FFFF0000"/>
        </patternFill>
      </fill>
    </dxf>
  </rfmt>
  <rcc rId="854" sId="11">
    <oc r="F11">
      <v>2</v>
    </oc>
    <nc r="F11" t="inlineStr">
      <is>
        <t>CXL2</t>
      </is>
    </nc>
  </rcc>
  <rcc rId="855" sId="11">
    <oc r="F12">
      <v>1</v>
    </oc>
    <nc r="F12" t="inlineStr">
      <is>
        <t>CXL1</t>
      </is>
    </nc>
  </rc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6" sId="11">
    <oc r="C7">
      <v>601</v>
    </oc>
    <nc r="C7" t="inlineStr">
      <is>
        <t>601/847</t>
      </is>
    </nc>
  </rcc>
  <rfmt sheetId="11" sqref="B7">
    <dxf>
      <fill>
        <patternFill patternType="solid">
          <bgColor theme="7" tint="0.39997558519241921"/>
        </patternFill>
      </fill>
    </dxf>
  </rfmt>
  <rfmt sheetId="11" sqref="B7:B10">
    <dxf>
      <fill>
        <patternFill>
          <bgColor theme="7" tint="0.39997558519241921"/>
        </patternFill>
      </fill>
    </dxf>
  </rfmt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7" sId="12">
    <oc r="B7" t="inlineStr">
      <is>
        <t>Prebooking</t>
      </is>
    </oc>
    <nc r="B7">
      <v>609</v>
    </nc>
  </rcc>
  <rfmt sheetId="12" sqref="C7" start="0" length="0">
    <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bottom/>
      </border>
    </dxf>
  </rfmt>
  <rcc rId="858" sId="12" odxf="1" dxf="1">
    <oc r="I7">
      <v>2774700</v>
    </oc>
    <nc r="I7" t="inlineStr">
      <is>
        <t>2774700 (TRMD)</t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odxf>
    <ndxf>
      <font>
        <b/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bottom/>
      </border>
    </ndxf>
  </rcc>
  <rcc rId="859" sId="12" odxf="1" dxf="1">
    <oc r="B8" t="inlineStr">
      <is>
        <t>Prebooking</t>
      </is>
    </oc>
    <nc r="B8">
      <v>610</v>
    </nc>
    <odxf>
      <border outline="0">
        <top style="thin">
          <color indexed="64"/>
        </top>
      </border>
    </odxf>
    <ndxf>
      <border outline="0">
        <top/>
      </border>
    </ndxf>
  </rcc>
  <rfmt sheetId="12" sqref="C8" start="0" length="0">
    <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dxf>
  </rfmt>
  <rcc rId="860" sId="12" odxf="1" dxf="1">
    <oc r="I8">
      <v>3012693</v>
    </oc>
    <nc r="I8" t="inlineStr">
      <is>
        <t>3012693 (TRMD)</t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861" sId="12" odxf="1" dxf="1">
    <oc r="B9" t="inlineStr">
      <is>
        <t>Prebooking</t>
      </is>
    </oc>
    <nc r="B9">
      <v>611</v>
    </nc>
    <odxf>
      <border outline="0">
        <top style="thin">
          <color indexed="64"/>
        </top>
      </border>
    </odxf>
    <ndxf>
      <border outline="0">
        <top/>
      </border>
    </ndxf>
  </rcc>
  <rfmt sheetId="12" sqref="C9" start="0" length="0">
    <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862" sId="12" odxf="1" dxf="1">
    <oc r="I9">
      <v>3012695</v>
    </oc>
    <nc r="I9" t="inlineStr">
      <is>
        <t>3012695 (TRMD)</t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K15" start="0" length="2147483647">
    <dxf>
      <font>
        <b val="0"/>
      </font>
    </dxf>
  </rfmt>
  <rcc rId="863" sId="12" odxf="1" dxf="1">
    <oc r="K15">
      <f>IF(OR(NOT(ISERROR(MATCH(RIGHT(B15,3)+0,#REF!,0))),NOT(ISERROR(MATCH(LEFT(B15,3)+0,#REF!,0)))),"No Post","")</f>
    </oc>
    <nc r="K15" t="inlineStr">
      <is>
        <t>call around 10:15 to inform sea condition</t>
      </is>
    </nc>
    <odxf>
      <font>
        <sz val="12"/>
        <color auto="1"/>
      </font>
    </odxf>
    <ndxf>
      <font>
        <sz val="14"/>
        <color auto="1"/>
      </font>
    </ndxf>
  </rcc>
  <rcc rId="864" sId="12">
    <oc r="E9">
      <v>1</v>
    </oc>
    <nc r="E9" t="inlineStr">
      <is>
        <t>CXL1</t>
      </is>
    </nc>
  </rcc>
  <rcc rId="865" sId="12">
    <oc r="E8">
      <v>2</v>
    </oc>
    <nc r="E8">
      <v>1</v>
    </nc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B7:J7" start="0" length="0">
    <dxf>
      <border>
        <top style="thin">
          <color indexed="64"/>
        </top>
      </border>
    </dxf>
  </rfmt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6" sId="12">
    <nc r="B10">
      <v>620</v>
    </nc>
  </rcc>
  <rcc rId="867" sId="12">
    <nc r="E10">
      <v>1</v>
    </nc>
  </rcc>
  <rcc rId="868" sId="12">
    <nc r="J10" t="inlineStr">
      <is>
        <t>Faiha</t>
      </is>
    </nc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196B21B-5907-4E7A-90A7-4D3D9BC207B9}" action="delete"/>
  <rdn rId="0" localSheetId="1" customView="1" name="Z_C196B21B_5907_4E7A_90A7_4D3D9BC207B9_.wvu.PrintArea" hidden="1" oldHidden="1">
    <formula>'2'!$A$1:$J$39</formula>
    <oldFormula>'2'!$A$1:$J$39</oldFormula>
  </rdn>
  <rdn rId="0" localSheetId="2" customView="1" name="Z_C196B21B_5907_4E7A_90A7_4D3D9BC207B9_.wvu.PrintArea" hidden="1" oldHidden="1">
    <formula>'4'!$A$1:$J$39</formula>
    <oldFormula>'4'!$A$1:$J$39</oldFormula>
  </rdn>
  <rdn rId="0" localSheetId="3" customView="1" name="Z_C196B21B_5907_4E7A_90A7_4D3D9BC207B9_.wvu.PrintArea" hidden="1" oldHidden="1">
    <formula>'7'!$A$1:$J$39</formula>
    <oldFormula>'7'!$A$1:$J$39</oldFormula>
  </rdn>
  <rdn rId="0" localSheetId="4" customView="1" name="Z_C196B21B_5907_4E7A_90A7_4D3D9BC207B9_.wvu.PrintArea" hidden="1" oldHidden="1">
    <formula>'9'!$A$1:$J$39</formula>
    <oldFormula>'9'!$A$1:$J$39</oldFormula>
  </rdn>
  <rdn rId="0" localSheetId="5" customView="1" name="Z_C196B21B_5907_4E7A_90A7_4D3D9BC207B9_.wvu.PrintArea" hidden="1" oldHidden="1">
    <formula>'11'!$A$1:$J$41</formula>
    <oldFormula>'11'!$A$1:$J$41</oldFormula>
  </rdn>
  <rdn rId="0" localSheetId="6" customView="1" name="Z_C196B21B_5907_4E7A_90A7_4D3D9BC207B9_.wvu.PrintArea" hidden="1" oldHidden="1">
    <formula>'14'!$A$1:$J$39</formula>
    <oldFormula>'14'!$A$1:$J$39</oldFormula>
  </rdn>
  <rdn rId="0" localSheetId="7" customView="1" name="Z_C196B21B_5907_4E7A_90A7_4D3D9BC207B9_.wvu.PrintArea" hidden="1" oldHidden="1">
    <formula>'16'!$A$1:$K$39</formula>
    <oldFormula>'16'!$A$1:$K$39</oldFormula>
  </rdn>
  <rdn rId="0" localSheetId="8" customView="1" name="Z_C196B21B_5907_4E7A_90A7_4D3D9BC207B9_.wvu.PrintArea" hidden="1" oldHidden="1">
    <formula>'18'!$A$1:$K$28</formula>
    <oldFormula>'18'!$A$1:$K$28</oldFormula>
  </rdn>
  <rdn rId="0" localSheetId="9" customView="1" name="Z_C196B21B_5907_4E7A_90A7_4D3D9BC207B9_.wvu.PrintArea" hidden="1" oldHidden="1">
    <formula>'21'!$A$1:$K$39</formula>
    <oldFormula>'21'!$A$1:$K$39</oldFormula>
  </rdn>
  <rdn rId="0" localSheetId="10" customView="1" name="Z_C196B21B_5907_4E7A_90A7_4D3D9BC207B9_.wvu.PrintArea" hidden="1" oldHidden="1">
    <formula>'23'!$A$1:$K$27</formula>
    <oldFormula>'23'!$A$1:$K$27</oldFormula>
  </rdn>
  <rdn rId="0" localSheetId="11" customView="1" name="Z_C196B21B_5907_4E7A_90A7_4D3D9BC207B9_.wvu.PrintArea" hidden="1" oldHidden="1">
    <formula>'25'!$A$1:$K$28</formula>
    <oldFormula>'25'!$A$1:$K$28</oldFormula>
  </rdn>
  <rdn rId="0" localSheetId="12" customView="1" name="Z_C196B21B_5907_4E7A_90A7_4D3D9BC207B9_.wvu.PrintArea" hidden="1" oldHidden="1">
    <formula>'28'!$A$1:$J$39</formula>
    <oldFormula>'28'!$A$1:$J$39</oldFormula>
  </rdn>
  <rdn rId="0" localSheetId="13" customView="1" name="Z_C196B21B_5907_4E7A_90A7_4D3D9BC207B9_.wvu.PrintArea" hidden="1" oldHidden="1">
    <formula>'30'!$A$1:$J$39</formula>
    <oldFormula>'30'!$A$1:$J$39</oldFormula>
  </rdn>
  <rcv guid="{C196B21B-5907-4E7A-90A7-4D3D9BC207B9}" action="add"/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2" sId="12">
    <nc r="C10" t="inlineStr">
      <is>
        <t>Yihe Huang</t>
      </is>
    </nc>
  </rcc>
  <rcc rId="883" sId="12" numFmtId="19">
    <nc r="D10">
      <v>46141</v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4" sId="13">
    <nc r="B7">
      <v>337</v>
    </nc>
  </rcc>
  <rcc rId="885" sId="13">
    <nc r="E7">
      <v>2</v>
    </nc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6" sId="13">
    <nc r="J7" t="inlineStr">
      <is>
        <t>Xuan</t>
      </is>
    </nc>
  </rcc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7" sId="13">
    <nc r="C7" t="inlineStr">
      <is>
        <t>Pierce, Christina Lynn</t>
      </is>
    </nc>
  </rcc>
  <rcc rId="888" sId="13" numFmtId="19">
    <nc r="D7">
      <v>46145</v>
    </nc>
  </rcc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9" sId="13">
    <oc r="E7">
      <v>2</v>
    </oc>
    <nc r="E7" t="inlineStr">
      <is>
        <t>CXL 2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9">
  <userInfo guid="{0499F82D-97E1-4E71-81EF-E47CF1643AFA}" name="Dive Centre Office" id="-387620704" dateTime="2026-04-01T13:52:59"/>
  <userInfo guid="{6A24EF28-36FF-4E30-9AFE-71476C60CA11}" name="Dive Center" id="-288788689" dateTime="2026-04-01T15:05:29"/>
  <userInfo guid="{0E8251AC-EB25-4B51-B444-CC9A00146952}" name="Dive Centre Office" id="-387605368" dateTime="2026-04-03T10:48:21"/>
  <userInfo guid="{94088FAF-8EB1-4BA6-B717-B0A84B5FCFC0}" name="Dive Centre Office" id="-387617661" dateTime="2026-04-13T09:16:23"/>
  <userInfo guid="{36891441-6070-483B-A6AC-4672FB4B6683}" name="Dive Centre Office" id="-387622880" dateTime="2026-04-16T08:38:30"/>
  <userInfo guid="{527771AA-1734-4163-9291-FAAE67581C50}" name="Dive Centre Office" id="-387600172" dateTime="2026-04-22T09:08:19"/>
  <userInfo guid="{EC10106F-2EEA-4822-9981-547EDB60F547}" name="Dive Centre Office" id="-387641251" dateTime="2026-04-24T09:55:03"/>
  <userInfo guid="{BE2E419A-9A6D-460C-8BC9-BC46CCFE8295}" name="Dive Centre Office" id="-387631518" dateTime="2026-04-25T09:51:57"/>
  <userInfo guid="{E41BC4B9-C28F-45A2-A918-E666CE15748E}" name="Dive Centre Office" id="-387608551" dateTime="2026-04-26T08:40:33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6" Type="http://schemas.openxmlformats.org/officeDocument/2006/relationships/drawing" Target="../drawings/drawing6.xml"/><Relationship Id="rId5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2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6" Type="http://schemas.openxmlformats.org/officeDocument/2006/relationships/drawing" Target="../drawings/drawing7.xml"/><Relationship Id="rId5" Type="http://schemas.openxmlformats.org/officeDocument/2006/relationships/printerSettings" Target="../printerSettings/printerSettings35.bin"/><Relationship Id="rId4" Type="http://schemas.openxmlformats.org/officeDocument/2006/relationships/printerSettings" Target="../printerSettings/printerSettings3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6" Type="http://schemas.openxmlformats.org/officeDocument/2006/relationships/drawing" Target="../drawings/drawing8.xml"/><Relationship Id="rId5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3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Relationship Id="rId6" Type="http://schemas.openxmlformats.org/officeDocument/2006/relationships/drawing" Target="../drawings/drawing9.xml"/><Relationship Id="rId5" Type="http://schemas.openxmlformats.org/officeDocument/2006/relationships/printerSettings" Target="../printerSettings/printerSettings45.bin"/><Relationship Id="rId4" Type="http://schemas.openxmlformats.org/officeDocument/2006/relationships/printerSettings" Target="../printerSettings/printerSettings4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6" Type="http://schemas.openxmlformats.org/officeDocument/2006/relationships/drawing" Target="../drawings/drawing10.xml"/><Relationship Id="rId5" Type="http://schemas.openxmlformats.org/officeDocument/2006/relationships/printerSettings" Target="../printerSettings/printerSettings50.bin"/><Relationship Id="rId4" Type="http://schemas.openxmlformats.org/officeDocument/2006/relationships/printerSettings" Target="../printerSettings/printerSettings4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.bin"/><Relationship Id="rId7" Type="http://schemas.microsoft.com/office/2006/relationships/wsSortMap" Target="wsSortMap1.xml"/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Relationship Id="rId6" Type="http://schemas.openxmlformats.org/officeDocument/2006/relationships/drawing" Target="../drawings/drawing11.xml"/><Relationship Id="rId5" Type="http://schemas.openxmlformats.org/officeDocument/2006/relationships/printerSettings" Target="../printerSettings/printerSettings55.bin"/><Relationship Id="rId4" Type="http://schemas.openxmlformats.org/officeDocument/2006/relationships/printerSettings" Target="../printerSettings/printerSettings5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.bin"/><Relationship Id="rId2" Type="http://schemas.openxmlformats.org/officeDocument/2006/relationships/printerSettings" Target="../printerSettings/printerSettings57.bin"/><Relationship Id="rId1" Type="http://schemas.openxmlformats.org/officeDocument/2006/relationships/printerSettings" Target="../printerSettings/printerSettings56.bin"/><Relationship Id="rId6" Type="http://schemas.openxmlformats.org/officeDocument/2006/relationships/drawing" Target="../drawings/drawing12.xml"/><Relationship Id="rId5" Type="http://schemas.openxmlformats.org/officeDocument/2006/relationships/printerSettings" Target="../printerSettings/printerSettings60.bin"/><Relationship Id="rId4" Type="http://schemas.openxmlformats.org/officeDocument/2006/relationships/printerSettings" Target="../printerSettings/printerSettings5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Relationship Id="rId6" Type="http://schemas.openxmlformats.org/officeDocument/2006/relationships/drawing" Target="../drawings/drawing13.xml"/><Relationship Id="rId5" Type="http://schemas.openxmlformats.org/officeDocument/2006/relationships/printerSettings" Target="../printerSettings/printerSettings65.bin"/><Relationship Id="rId4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zoomScalePageLayoutView="90" workbookViewId="0">
      <selection activeCell="C15" sqref="C15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42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41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3"/>
    </row>
    <row r="5" spans="1:11" s="7" customFormat="1" ht="23.4" x14ac:dyDescent="0.45">
      <c r="A5" s="26" t="s">
        <v>22</v>
      </c>
      <c r="B5" s="27"/>
      <c r="C5" s="27"/>
      <c r="D5" s="44"/>
      <c r="E5" s="27"/>
      <c r="F5" s="27"/>
      <c r="G5" s="27"/>
      <c r="H5" s="27"/>
      <c r="I5" s="28" t="s">
        <v>1</v>
      </c>
      <c r="J5" s="22">
        <v>46114</v>
      </c>
    </row>
    <row r="6" spans="1:11" ht="18.600000000000001" thickBot="1" x14ac:dyDescent="0.4">
      <c r="A6" s="29"/>
      <c r="B6" s="30" t="s">
        <v>2</v>
      </c>
      <c r="C6" s="30" t="s">
        <v>3</v>
      </c>
      <c r="D6" s="45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4">
        <v>1</v>
      </c>
      <c r="B7" s="23"/>
      <c r="C7" s="57"/>
      <c r="D7" s="46"/>
      <c r="E7" s="23"/>
      <c r="F7" s="23"/>
      <c r="G7" s="23"/>
      <c r="H7" s="23"/>
      <c r="I7" s="23"/>
      <c r="J7" s="23"/>
      <c r="K7" s="56"/>
    </row>
    <row r="8" spans="1:11" x14ac:dyDescent="0.35">
      <c r="A8" s="17">
        <v>2</v>
      </c>
      <c r="B8" s="24"/>
      <c r="C8" s="55"/>
      <c r="D8" s="47"/>
      <c r="E8" s="24"/>
      <c r="F8" s="24"/>
      <c r="G8" s="24"/>
      <c r="H8" s="24"/>
      <c r="I8" s="24"/>
      <c r="J8" s="24"/>
      <c r="K8" s="56" t="str">
        <f>IF(OR(NOT(ISERROR(MATCH(RIGHT(B8,3)+0,#REF!,0))),NOT(ISERROR(MATCH(LEFT(B8,3)+0,#REF!,0)))),"No Post","")</f>
        <v/>
      </c>
    </row>
    <row r="9" spans="1:11" x14ac:dyDescent="0.35">
      <c r="A9" s="17">
        <v>3</v>
      </c>
      <c r="B9" s="24"/>
      <c r="C9" s="55"/>
      <c r="D9" s="47"/>
      <c r="E9" s="24"/>
      <c r="F9" s="24"/>
      <c r="G9" s="24"/>
      <c r="H9" s="24"/>
      <c r="I9" s="24"/>
      <c r="J9" s="24"/>
      <c r="K9" s="56" t="str">
        <f>IF(OR(NOT(ISERROR(MATCH(RIGHT(B9,3)+0,#REF!,0))),NOT(ISERROR(MATCH(LEFT(B9,3)+0,#REF!,0)))),"No Post","")</f>
        <v/>
      </c>
    </row>
    <row r="10" spans="1:11" x14ac:dyDescent="0.35">
      <c r="A10" s="17">
        <v>4</v>
      </c>
      <c r="B10" s="24"/>
      <c r="C10" s="55"/>
      <c r="D10" s="47"/>
      <c r="E10" s="24"/>
      <c r="F10" s="24"/>
      <c r="G10" s="24"/>
      <c r="H10" s="24"/>
      <c r="I10" s="24"/>
      <c r="J10" s="24"/>
      <c r="K10" s="56" t="str">
        <f>IF(OR(NOT(ISERROR(MATCH(RIGHT(B10,3)+0,#REF!,0))),NOT(ISERROR(MATCH(LEFT(B10,3)+0,#REF!,0)))),"No Post","")</f>
        <v/>
      </c>
    </row>
    <row r="11" spans="1:11" x14ac:dyDescent="0.35">
      <c r="A11" s="17">
        <v>5</v>
      </c>
      <c r="B11" s="24"/>
      <c r="C11" s="55"/>
      <c r="D11" s="47"/>
      <c r="E11" s="24"/>
      <c r="F11" s="24"/>
      <c r="G11" s="24"/>
      <c r="H11" s="24"/>
      <c r="I11" s="24"/>
      <c r="J11" s="24"/>
      <c r="K11" s="56" t="str">
        <f>IF(OR(NOT(ISERROR(MATCH(RIGHT(B11,3)+0,#REF!,0))),NOT(ISERROR(MATCH(LEFT(B11,3)+0,#REF!,0)))),"No Post","")</f>
        <v/>
      </c>
    </row>
    <row r="12" spans="1:11" x14ac:dyDescent="0.35">
      <c r="A12" s="34">
        <v>6</v>
      </c>
      <c r="B12" s="24"/>
      <c r="C12" s="55"/>
      <c r="D12" s="47"/>
      <c r="E12" s="24"/>
      <c r="F12" s="24"/>
      <c r="G12" s="24"/>
      <c r="H12" s="24"/>
      <c r="I12" s="24"/>
      <c r="J12" s="24"/>
      <c r="K12" s="56" t="str">
        <f>IF(OR(NOT(ISERROR(MATCH(RIGHT(B12,3)+0,#REF!,0))),NOT(ISERROR(MATCH(LEFT(B12,3)+0,#REF!,0)))),"No Post","")</f>
        <v/>
      </c>
    </row>
    <row r="13" spans="1:11" x14ac:dyDescent="0.35">
      <c r="A13" s="17">
        <v>7</v>
      </c>
      <c r="B13" s="24"/>
      <c r="C13" s="55"/>
      <c r="D13" s="47"/>
      <c r="E13" s="24"/>
      <c r="F13" s="24"/>
      <c r="G13" s="24"/>
      <c r="H13" s="24"/>
      <c r="I13" s="24"/>
      <c r="J13" s="24"/>
      <c r="K13" s="56" t="str">
        <f>IF(OR(NOT(ISERROR(MATCH(RIGHT(B13,3)+0,#REF!,0))),NOT(ISERROR(MATCH(LEFT(B13,3)+0,#REF!,0)))),"No Post","")</f>
        <v/>
      </c>
    </row>
    <row r="14" spans="1:11" x14ac:dyDescent="0.35">
      <c r="A14" s="17">
        <v>8</v>
      </c>
      <c r="B14" s="24"/>
      <c r="C14" s="55"/>
      <c r="D14" s="47"/>
      <c r="E14" s="24"/>
      <c r="F14" s="24"/>
      <c r="G14" s="24"/>
      <c r="H14" s="24"/>
      <c r="I14" s="24"/>
      <c r="J14" s="24"/>
      <c r="K14" s="56" t="str">
        <f>IF(OR(NOT(ISERROR(MATCH(RIGHT(B14,3)+0,#REF!,0))),NOT(ISERROR(MATCH(LEFT(B14,3)+0,#REF!,0)))),"No Post","")</f>
        <v/>
      </c>
    </row>
    <row r="15" spans="1:11" x14ac:dyDescent="0.35">
      <c r="A15" s="17">
        <v>9</v>
      </c>
      <c r="B15" s="24"/>
      <c r="C15" s="55"/>
      <c r="D15" s="47"/>
      <c r="E15" s="24"/>
      <c r="F15" s="24"/>
      <c r="G15" s="24"/>
      <c r="H15" s="24"/>
      <c r="I15" s="24"/>
      <c r="J15" s="24"/>
      <c r="K15" s="56" t="str">
        <f>IF(OR(NOT(ISERROR(MATCH(RIGHT(B15,3)+0,#REF!,0))),NOT(ISERROR(MATCH(LEFT(B15,3)+0,#REF!,0)))),"No Post","")</f>
        <v/>
      </c>
    </row>
    <row r="16" spans="1:11" x14ac:dyDescent="0.35">
      <c r="A16" s="17">
        <v>10</v>
      </c>
      <c r="B16" s="24"/>
      <c r="C16" s="55"/>
      <c r="D16" s="47"/>
      <c r="E16" s="24"/>
      <c r="F16" s="24"/>
      <c r="G16" s="24"/>
      <c r="H16" s="24"/>
      <c r="I16" s="24"/>
      <c r="J16" s="24"/>
      <c r="K16" s="56" t="str">
        <f>IF(OR(NOT(ISERROR(MATCH(RIGHT(B16,3)+0,#REF!,0))),NOT(ISERROR(MATCH(LEFT(B16,3)+0,#REF!,0)))),"No Post","")</f>
        <v/>
      </c>
    </row>
    <row r="17" spans="1:11" x14ac:dyDescent="0.35">
      <c r="A17" s="34">
        <v>11</v>
      </c>
      <c r="B17" s="24"/>
      <c r="C17" s="55"/>
      <c r="D17" s="47"/>
      <c r="E17" s="24"/>
      <c r="F17" s="24"/>
      <c r="G17" s="24"/>
      <c r="H17" s="24"/>
      <c r="I17" s="24"/>
      <c r="J17" s="24"/>
      <c r="K17" s="56" t="str">
        <f>IF(OR(NOT(ISERROR(MATCH(RIGHT(B17,3)+0,#REF!,0))),NOT(ISERROR(MATCH(LEFT(B17,3)+0,#REF!,0)))),"No Post","")</f>
        <v/>
      </c>
    </row>
    <row r="18" spans="1:11" x14ac:dyDescent="0.35">
      <c r="A18" s="17">
        <v>12</v>
      </c>
      <c r="B18" s="24"/>
      <c r="C18" s="55"/>
      <c r="D18" s="47"/>
      <c r="E18" s="24"/>
      <c r="F18" s="24"/>
      <c r="G18" s="24"/>
      <c r="H18" s="24"/>
      <c r="I18" s="24"/>
      <c r="J18" s="24"/>
      <c r="K18" s="56" t="str">
        <f>IF(OR(NOT(ISERROR(MATCH(RIGHT(B18,3)+0,#REF!,0))),NOT(ISERROR(MATCH(LEFT(B18,3)+0,#REF!,0)))),"No Post","")</f>
        <v/>
      </c>
    </row>
    <row r="19" spans="1:11" x14ac:dyDescent="0.35">
      <c r="A19" s="17">
        <v>13</v>
      </c>
      <c r="B19" s="24"/>
      <c r="C19" s="55"/>
      <c r="D19" s="47"/>
      <c r="E19" s="24"/>
      <c r="F19" s="24"/>
      <c r="G19" s="24"/>
      <c r="H19" s="24"/>
      <c r="I19" s="24"/>
      <c r="J19" s="24"/>
      <c r="K19" s="56" t="str">
        <f>IF(OR(NOT(ISERROR(MATCH(RIGHT(B19,3)+0,#REF!,0))),NOT(ISERROR(MATCH(LEFT(B19,3)+0,#REF!,0)))),"No Post","")</f>
        <v/>
      </c>
    </row>
    <row r="20" spans="1:11" x14ac:dyDescent="0.35">
      <c r="A20" s="17">
        <v>14</v>
      </c>
      <c r="B20" s="24"/>
      <c r="C20" s="55"/>
      <c r="D20" s="47"/>
      <c r="E20" s="24"/>
      <c r="F20" s="24"/>
      <c r="G20" s="24"/>
      <c r="H20" s="24"/>
      <c r="I20" s="24"/>
      <c r="J20" s="24"/>
      <c r="K20" s="56" t="str">
        <f>IF(OR(NOT(ISERROR(MATCH(RIGHT(B20,3)+0,#REF!,0))),NOT(ISERROR(MATCH(LEFT(B20,3)+0,#REF!,0)))),"No Post","")</f>
        <v/>
      </c>
    </row>
    <row r="21" spans="1:11" x14ac:dyDescent="0.35">
      <c r="A21" s="17">
        <v>15</v>
      </c>
      <c r="B21" s="24"/>
      <c r="C21" s="55"/>
      <c r="D21" s="47"/>
      <c r="E21" s="24"/>
      <c r="F21" s="24"/>
      <c r="G21" s="24"/>
      <c r="H21" s="24"/>
      <c r="I21" s="24"/>
      <c r="J21" s="24"/>
      <c r="K21" s="56" t="str">
        <f>IF(OR(NOT(ISERROR(MATCH(RIGHT(B21,3)+0,#REF!,0))),NOT(ISERROR(MATCH(LEFT(B21,3)+0,#REF!,0)))),"No Post","")</f>
        <v/>
      </c>
    </row>
    <row r="22" spans="1:11" x14ac:dyDescent="0.35">
      <c r="A22" s="34">
        <v>16</v>
      </c>
      <c r="B22" s="35"/>
      <c r="C22" s="25"/>
      <c r="D22" s="37"/>
      <c r="E22" s="38"/>
      <c r="F22" s="38"/>
      <c r="G22" s="36"/>
      <c r="H22" s="24"/>
      <c r="I22" s="25"/>
      <c r="J22" s="25"/>
      <c r="K22" s="56" t="str">
        <f>IF(OR(NOT(ISERROR(MATCH(RIGHT(B22,3)+0,#REF!,0))),NOT(ISERROR(MATCH(LEFT(B22,3)+0,#REF!,0)))),"No Post","")</f>
        <v/>
      </c>
    </row>
    <row r="23" spans="1:11" x14ac:dyDescent="0.35">
      <c r="A23" s="17">
        <v>17</v>
      </c>
      <c r="B23" s="19"/>
      <c r="C23" s="33"/>
      <c r="D23" s="21"/>
      <c r="E23" s="39"/>
      <c r="F23" s="20"/>
      <c r="G23" s="18"/>
      <c r="H23" s="17"/>
      <c r="I23" s="33"/>
      <c r="J23" s="33"/>
      <c r="K23" s="56" t="str">
        <f>IF(OR(NOT(ISERROR(MATCH(RIGHT(B23,3)+0,#REF!,0))),NOT(ISERROR(MATCH(LEFT(B23,3)+0,#REF!,0)))),"No Post","")</f>
        <v/>
      </c>
    </row>
    <row r="24" spans="1:11" s="8" customFormat="1" ht="19.8" x14ac:dyDescent="0.4">
      <c r="A24" s="17">
        <v>18</v>
      </c>
      <c r="B24" s="19"/>
      <c r="C24" s="33"/>
      <c r="D24" s="21"/>
      <c r="E24" s="18"/>
      <c r="F24" s="18"/>
      <c r="G24" s="18"/>
      <c r="H24" s="17"/>
      <c r="I24" s="40"/>
      <c r="J24" s="40"/>
      <c r="K24" s="56" t="str">
        <f>IF(OR(NOT(ISERROR(MATCH(RIGHT(B24,3)+0,#REF!,0))),NOT(ISERROR(MATCH(LEFT(B24,3)+0,#REF!,0)))),"No Post","")</f>
        <v/>
      </c>
    </row>
    <row r="25" spans="1:11" x14ac:dyDescent="0.35">
      <c r="A25" s="17">
        <v>19</v>
      </c>
      <c r="B25" s="19"/>
      <c r="C25" s="33"/>
      <c r="D25" s="21"/>
      <c r="E25" s="18"/>
      <c r="F25" s="18"/>
      <c r="G25" s="18"/>
      <c r="H25" s="17"/>
      <c r="I25" s="33"/>
      <c r="J25" s="33"/>
      <c r="K25" s="56" t="str">
        <f>IF(OR(NOT(ISERROR(MATCH(RIGHT(B25,3)+0,#REF!,0))),NOT(ISERROR(MATCH(LEFT(B25,3)+0,#REF!,0)))),"No Post","")</f>
        <v/>
      </c>
    </row>
    <row r="26" spans="1:11" s="9" customFormat="1" x14ac:dyDescent="0.35">
      <c r="A26" s="17">
        <v>20</v>
      </c>
      <c r="B26" s="19"/>
      <c r="C26" s="33"/>
      <c r="D26" s="21"/>
      <c r="E26" s="18"/>
      <c r="F26" s="18"/>
      <c r="G26" s="18"/>
      <c r="H26" s="17"/>
      <c r="I26" s="33"/>
      <c r="J26" s="33"/>
      <c r="K26" s="56" t="str">
        <f>IF(OR(NOT(ISERROR(MATCH(RIGHT(B26,3)+0,#REF!,0))),NOT(ISERROR(MATCH(LEFT(B26,3)+0,#REF!,0)))),"No Post","")</f>
        <v/>
      </c>
    </row>
    <row r="27" spans="1:11" s="9" customFormat="1" ht="23.25" customHeight="1" x14ac:dyDescent="0.35">
      <c r="A27" s="1"/>
      <c r="B27" s="1"/>
      <c r="C27" s="1"/>
      <c r="D27" s="48" t="s">
        <v>18</v>
      </c>
      <c r="E27" s="16">
        <f>SUM(E22:E26)</f>
        <v>0</v>
      </c>
      <c r="F27" s="16">
        <f>SUM(F22:F26)</f>
        <v>0</v>
      </c>
      <c r="G27" s="1"/>
      <c r="H27" s="1"/>
    </row>
    <row r="28" spans="1:11" s="9" customFormat="1" ht="23.25" customHeight="1" x14ac:dyDescent="0.35">
      <c r="A28" s="1"/>
      <c r="B28" s="1"/>
      <c r="C28" s="1"/>
      <c r="D28" s="42"/>
      <c r="E28" s="1"/>
      <c r="F28" s="1"/>
      <c r="G28" s="1"/>
      <c r="H28" s="1"/>
    </row>
    <row r="29" spans="1:11" ht="20.25" customHeight="1" x14ac:dyDescent="0.35">
      <c r="B29" t="s">
        <v>7</v>
      </c>
      <c r="C29"/>
      <c r="D29" s="49"/>
      <c r="E29"/>
      <c r="F29"/>
      <c r="G29"/>
      <c r="H29"/>
    </row>
    <row r="30" spans="1:11" ht="20.25" customHeight="1" x14ac:dyDescent="0.35">
      <c r="B30" s="10" t="s">
        <v>8</v>
      </c>
      <c r="C30" s="10"/>
      <c r="D30" s="50"/>
      <c r="E30" s="10"/>
      <c r="F30" s="10"/>
      <c r="G30" s="10"/>
      <c r="H30" s="10"/>
    </row>
    <row r="31" spans="1:11" ht="20.25" customHeight="1" x14ac:dyDescent="0.35">
      <c r="B31" s="10" t="s">
        <v>9</v>
      </c>
      <c r="C31" s="10"/>
      <c r="D31" s="50"/>
      <c r="E31" s="10"/>
      <c r="F31" s="10"/>
      <c r="G31" s="10"/>
      <c r="H31" s="10"/>
    </row>
    <row r="32" spans="1:11" ht="20.25" customHeight="1" x14ac:dyDescent="0.35">
      <c r="B32" s="10" t="s">
        <v>10</v>
      </c>
      <c r="C32" s="10"/>
      <c r="D32" s="50"/>
      <c r="E32" s="10"/>
      <c r="F32" s="10"/>
      <c r="G32" s="10"/>
      <c r="H32" s="10"/>
    </row>
    <row r="33" spans="2:8" x14ac:dyDescent="0.35">
      <c r="B33" s="10" t="s">
        <v>11</v>
      </c>
      <c r="C33" s="10"/>
      <c r="D33" s="50"/>
      <c r="E33" s="10"/>
      <c r="F33" s="10"/>
      <c r="G33" s="10"/>
      <c r="H33" s="10"/>
    </row>
    <row r="34" spans="2:8" x14ac:dyDescent="0.35">
      <c r="B34" s="10" t="s">
        <v>12</v>
      </c>
      <c r="C34" s="10"/>
      <c r="D34" s="50"/>
      <c r="E34" s="10"/>
      <c r="F34" s="10"/>
      <c r="G34" s="10"/>
      <c r="H34" s="10"/>
    </row>
    <row r="35" spans="2:8" x14ac:dyDescent="0.35">
      <c r="B35" s="10" t="s">
        <v>13</v>
      </c>
      <c r="C35" s="10"/>
      <c r="D35" s="50"/>
      <c r="E35" s="10"/>
      <c r="F35" s="10"/>
      <c r="G35" s="10"/>
      <c r="H35" s="10"/>
    </row>
    <row r="36" spans="2:8" s="12" customFormat="1" ht="15.6" x14ac:dyDescent="0.3">
      <c r="B36" s="11" t="s">
        <v>14</v>
      </c>
      <c r="C36" s="11"/>
      <c r="D36" s="51"/>
      <c r="E36" s="11"/>
      <c r="F36" s="11"/>
      <c r="G36" s="11"/>
    </row>
    <row r="37" spans="2:8" s="12" customFormat="1" ht="15.6" x14ac:dyDescent="0.3">
      <c r="B37" s="11" t="s">
        <v>15</v>
      </c>
      <c r="C37" s="11"/>
      <c r="D37" s="51"/>
      <c r="E37" s="11"/>
      <c r="F37" s="11"/>
      <c r="G37" s="11"/>
    </row>
    <row r="38" spans="2:8" s="14" customFormat="1" ht="20.25" customHeight="1" x14ac:dyDescent="0.35">
      <c r="B38" s="13" t="s">
        <v>16</v>
      </c>
      <c r="C38" s="13"/>
      <c r="D38" s="52"/>
    </row>
    <row r="39" spans="2:8" customFormat="1" ht="14.4" x14ac:dyDescent="0.3">
      <c r="B39" s="15"/>
      <c r="C39" s="10"/>
      <c r="D39" s="50"/>
      <c r="E39" s="10"/>
      <c r="F39" s="10"/>
      <c r="G39" s="10"/>
      <c r="H39" s="10"/>
    </row>
    <row r="40" spans="2:8" x14ac:dyDescent="0.35">
      <c r="B40" s="10"/>
      <c r="C40" s="10"/>
      <c r="D40" s="50"/>
      <c r="E40" s="10"/>
      <c r="F40" s="10"/>
      <c r="G40" s="10"/>
      <c r="H40" s="10"/>
    </row>
    <row r="41" spans="2:8" x14ac:dyDescent="0.35">
      <c r="B41" s="15"/>
      <c r="C41" s="10"/>
      <c r="D41" s="50"/>
      <c r="E41" s="10"/>
      <c r="F41" s="10"/>
      <c r="G41" s="10"/>
      <c r="H41" s="10"/>
    </row>
    <row r="42" spans="2:8" x14ac:dyDescent="0.35">
      <c r="B42" s="10"/>
      <c r="C42" s="10"/>
      <c r="D42" s="50"/>
      <c r="E42" s="10"/>
      <c r="F42" s="10"/>
      <c r="G42" s="10"/>
      <c r="H42" s="10"/>
    </row>
    <row r="44" spans="2:8" x14ac:dyDescent="0.35">
      <c r="B44" s="9"/>
      <c r="C44" s="9"/>
      <c r="D44" s="53"/>
      <c r="E44" s="9"/>
      <c r="F44" s="9"/>
      <c r="G44" s="9"/>
      <c r="H44" s="9"/>
    </row>
    <row r="59" spans="2:8" x14ac:dyDescent="0.35">
      <c r="B59" s="10"/>
      <c r="C59" s="10"/>
      <c r="D59" s="50"/>
      <c r="E59" s="10"/>
      <c r="F59" s="10"/>
      <c r="G59" s="10"/>
      <c r="H59" s="10"/>
    </row>
    <row r="60" spans="2:8" x14ac:dyDescent="0.35">
      <c r="B60" s="10"/>
      <c r="C60" s="10"/>
      <c r="D60" s="50"/>
      <c r="E60" s="10"/>
      <c r="F60" s="10"/>
      <c r="G60" s="10"/>
      <c r="H60" s="10"/>
    </row>
    <row r="61" spans="2:8" x14ac:dyDescent="0.35">
      <c r="B61" s="10"/>
      <c r="C61" s="10"/>
      <c r="D61" s="50"/>
      <c r="E61" s="10"/>
      <c r="F61" s="10"/>
      <c r="G61" s="10"/>
      <c r="H61" s="10"/>
    </row>
    <row r="62" spans="2:8" x14ac:dyDescent="0.35">
      <c r="B62" s="15"/>
      <c r="C62" s="10"/>
      <c r="D62" s="50"/>
      <c r="E62" s="10"/>
      <c r="F62" s="10"/>
      <c r="G62" s="10"/>
      <c r="H62" s="10"/>
    </row>
    <row r="63" spans="2:8" x14ac:dyDescent="0.35">
      <c r="B63" s="10"/>
      <c r="C63" s="10"/>
      <c r="D63" s="50"/>
      <c r="E63" s="10"/>
      <c r="F63" s="10"/>
      <c r="G63" s="10"/>
      <c r="H63" s="10"/>
    </row>
  </sheetData>
  <customSheetViews>
    <customSheetView guid="{AA8333F4-A272-457D-BE6D-1B569A227B28}" showPageBreaks="1" fitToPage="1" printArea="1">
      <selection activeCell="C15" sqref="C15"/>
      <pageMargins left="0.7" right="0.7" top="0.75" bottom="0.75" header="0.3" footer="0.3"/>
      <printOptions horizontalCentered="1"/>
      <pageSetup paperSize="9" scale="84" fitToHeight="0" orientation="landscape" r:id="rId1"/>
    </customSheetView>
    <customSheetView guid="{3FD70E66-B699-4089-A2E2-369960B2F041}" fitToPage="1">
      <selection activeCell="C15" sqref="C15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E61425CB-9FE7-4F79-BE47-5DC477A1BA8E}" fitToPage="1">
      <selection activeCell="K14" sqref="K14"/>
      <pageMargins left="0.7" right="0.7" top="0.75" bottom="0.75" header="0.3" footer="0.3"/>
      <printOptions horizontalCentered="1"/>
      <pageSetup paperSize="9" scale="84" fitToHeight="0" orientation="landscape" r:id="rId3"/>
    </customSheetView>
    <customSheetView guid="{C196B21B-5907-4E7A-90A7-4D3D9BC207B9}" showPageBreaks="1" fitToPage="1" printArea="1">
      <selection activeCell="C15" sqref="C15"/>
      <pageMargins left="0.7" right="0.7" top="0.75" bottom="0.75" header="0.3" footer="0.3"/>
      <printOptions horizontalCentered="1"/>
      <pageSetup paperSize="9" scale="84" fitToHeight="0" orientation="landscape" r:id="rId4"/>
    </customSheetView>
  </customSheetViews>
  <conditionalFormatting sqref="K7:K26">
    <cfRule type="containsText" dxfId="12" priority="1" operator="containsText" text="No Post">
      <formula>NOT(ISERROR(SEARCH("No Post",K7)))</formula>
    </cfRule>
  </conditionalFormatting>
  <printOptions horizontalCentered="1"/>
  <pageMargins left="0.7" right="0.7" top="0.75" bottom="0.75" header="0.3" footer="0.3"/>
  <pageSetup paperSize="9" scale="84" fitToHeight="0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zoomScalePageLayoutView="90" workbookViewId="0">
      <selection activeCell="K8" sqref="K8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42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41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3"/>
    </row>
    <row r="5" spans="1:11" s="7" customFormat="1" ht="23.4" x14ac:dyDescent="0.45">
      <c r="A5" s="26" t="s">
        <v>22</v>
      </c>
      <c r="B5" s="27"/>
      <c r="C5" s="27"/>
      <c r="D5" s="44"/>
      <c r="E5" s="27"/>
      <c r="F5" s="27"/>
      <c r="G5" s="27"/>
      <c r="H5" s="27"/>
      <c r="I5" s="28" t="s">
        <v>1</v>
      </c>
      <c r="J5" s="22" t="str">
        <f ca="1">CONCATENATE((MID(CELL("filename",J5),FIND("]",CELL("filename",J5))+1,255)),"/04/2026")</f>
        <v>4/04/2026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5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4">
        <v>1</v>
      </c>
      <c r="B7" s="23" t="s">
        <v>23</v>
      </c>
      <c r="C7" s="24" t="s">
        <v>30</v>
      </c>
      <c r="D7" s="47">
        <v>46122</v>
      </c>
      <c r="E7" s="24" t="s">
        <v>44</v>
      </c>
      <c r="F7" s="24"/>
      <c r="G7" s="24"/>
      <c r="H7" s="24"/>
      <c r="I7" s="24">
        <v>3152680</v>
      </c>
      <c r="J7" s="23" t="s">
        <v>31</v>
      </c>
      <c r="K7" s="56" t="s">
        <v>32</v>
      </c>
    </row>
    <row r="8" spans="1:11" x14ac:dyDescent="0.35">
      <c r="A8" s="17">
        <v>2</v>
      </c>
      <c r="B8" s="63">
        <v>840</v>
      </c>
      <c r="C8" s="55" t="s">
        <v>39</v>
      </c>
      <c r="D8" s="47">
        <v>46119</v>
      </c>
      <c r="E8" s="24">
        <v>2</v>
      </c>
      <c r="F8" s="24"/>
      <c r="G8" s="24"/>
      <c r="H8" s="24"/>
      <c r="I8" s="24"/>
      <c r="J8" s="24" t="s">
        <v>38</v>
      </c>
      <c r="K8" s="56" t="str">
        <f>IF(OR(NOT(ISERROR(MATCH(RIGHT(B8,3)+0,#REF!,0))),NOT(ISERROR(MATCH(LEFT(B8,3)+0,#REF!,0)))),"No Post","")</f>
        <v/>
      </c>
    </row>
    <row r="9" spans="1:11" x14ac:dyDescent="0.35">
      <c r="A9" s="17">
        <v>3</v>
      </c>
      <c r="B9" s="64">
        <v>316</v>
      </c>
      <c r="C9" s="60" t="s">
        <v>40</v>
      </c>
      <c r="D9" s="61">
        <v>46123</v>
      </c>
      <c r="E9" s="59">
        <v>2</v>
      </c>
      <c r="F9" s="59"/>
      <c r="G9" s="59"/>
      <c r="H9" s="59"/>
      <c r="I9" s="59"/>
      <c r="J9" s="59" t="s">
        <v>41</v>
      </c>
      <c r="K9" s="56" t="str">
        <f>IF(OR(NOT(ISERROR(MATCH(RIGHT(B9,3)+0,#REF!,0))),NOT(ISERROR(MATCH(LEFT(B9,3)+0,#REF!,0)))),"No Post","")</f>
        <v/>
      </c>
    </row>
    <row r="10" spans="1:11" x14ac:dyDescent="0.35">
      <c r="A10" s="17">
        <v>4</v>
      </c>
      <c r="B10" s="63">
        <v>618</v>
      </c>
      <c r="C10" s="55" t="s">
        <v>43</v>
      </c>
      <c r="D10" s="47">
        <v>46122</v>
      </c>
      <c r="E10" s="24">
        <v>2</v>
      </c>
      <c r="F10" s="24"/>
      <c r="G10" s="24"/>
      <c r="H10" s="24"/>
      <c r="I10" s="24"/>
      <c r="J10" s="24" t="s">
        <v>41</v>
      </c>
      <c r="K10" s="56" t="str">
        <f>IF(OR(NOT(ISERROR(MATCH(RIGHT(B10,3)+0,#REF!,0))),NOT(ISERROR(MATCH(LEFT(B10,3)+0,#REF!,0)))),"No Post","")</f>
        <v/>
      </c>
    </row>
    <row r="11" spans="1:11" x14ac:dyDescent="0.35">
      <c r="A11" s="17">
        <v>5</v>
      </c>
      <c r="B11" s="24"/>
      <c r="C11" s="62" t="s">
        <v>42</v>
      </c>
      <c r="D11" s="47"/>
      <c r="E11" s="24"/>
      <c r="F11" s="24"/>
      <c r="G11" s="24"/>
      <c r="H11" s="24"/>
      <c r="I11" s="24"/>
      <c r="J11" s="24"/>
      <c r="K11" s="56" t="str">
        <f>IF(OR(NOT(ISERROR(MATCH(RIGHT(B11,3)+0,#REF!,0))),NOT(ISERROR(MATCH(LEFT(B11,3)+0,#REF!,0)))),"No Post","")</f>
        <v/>
      </c>
    </row>
    <row r="12" spans="1:11" x14ac:dyDescent="0.35">
      <c r="A12" s="34">
        <v>6</v>
      </c>
      <c r="B12" s="24"/>
      <c r="C12" s="55"/>
      <c r="D12" s="47"/>
      <c r="E12" s="24"/>
      <c r="F12" s="24"/>
      <c r="G12" s="24"/>
      <c r="H12" s="24"/>
      <c r="I12" s="24"/>
      <c r="J12" s="24"/>
      <c r="K12" s="56" t="str">
        <f>IF(OR(NOT(ISERROR(MATCH(RIGHT(B12,3)+0,#REF!,0))),NOT(ISERROR(MATCH(LEFT(B12,3)+0,#REF!,0)))),"No Post","")</f>
        <v/>
      </c>
    </row>
    <row r="13" spans="1:11" x14ac:dyDescent="0.35">
      <c r="A13" s="17">
        <v>7</v>
      </c>
      <c r="B13" s="24"/>
      <c r="C13" s="55"/>
      <c r="D13" s="47"/>
      <c r="E13" s="24"/>
      <c r="F13" s="24"/>
      <c r="G13" s="24"/>
      <c r="H13" s="24"/>
      <c r="I13" s="24"/>
      <c r="J13" s="24"/>
      <c r="K13" s="56" t="str">
        <f>IF(OR(NOT(ISERROR(MATCH(RIGHT(B13,3)+0,#REF!,0))),NOT(ISERROR(MATCH(LEFT(B13,3)+0,#REF!,0)))),"No Post","")</f>
        <v/>
      </c>
    </row>
    <row r="14" spans="1:11" x14ac:dyDescent="0.35">
      <c r="A14" s="17">
        <v>8</v>
      </c>
      <c r="B14" s="24"/>
      <c r="C14" s="55"/>
      <c r="D14" s="47"/>
      <c r="E14" s="24"/>
      <c r="F14" s="24"/>
      <c r="G14" s="24"/>
      <c r="H14" s="24"/>
      <c r="I14" s="24"/>
      <c r="J14" s="24"/>
      <c r="K14" s="56" t="str">
        <f>IF(OR(NOT(ISERROR(MATCH(RIGHT(B14,3)+0,#REF!,0))),NOT(ISERROR(MATCH(LEFT(B14,3)+0,#REF!,0)))),"No Post","")</f>
        <v/>
      </c>
    </row>
    <row r="15" spans="1:11" x14ac:dyDescent="0.35">
      <c r="A15" s="17">
        <v>9</v>
      </c>
      <c r="B15" s="24"/>
      <c r="C15" s="55"/>
      <c r="D15" s="47"/>
      <c r="E15" s="24"/>
      <c r="F15" s="24"/>
      <c r="G15" s="24"/>
      <c r="H15" s="24"/>
      <c r="I15" s="24"/>
      <c r="J15" s="24"/>
      <c r="K15" s="56" t="str">
        <f>IF(OR(NOT(ISERROR(MATCH(RIGHT(B15,3)+0,#REF!,0))),NOT(ISERROR(MATCH(LEFT(B15,3)+0,#REF!,0)))),"No Post","")</f>
        <v/>
      </c>
    </row>
    <row r="16" spans="1:11" x14ac:dyDescent="0.35">
      <c r="A16" s="17">
        <v>10</v>
      </c>
      <c r="B16" s="24"/>
      <c r="C16" s="55"/>
      <c r="D16" s="47"/>
      <c r="E16" s="24"/>
      <c r="F16" s="24"/>
      <c r="G16" s="24"/>
      <c r="H16" s="24"/>
      <c r="I16" s="24"/>
      <c r="J16" s="24"/>
      <c r="K16" s="56" t="str">
        <f>IF(OR(NOT(ISERROR(MATCH(RIGHT(B16,3)+0,#REF!,0))),NOT(ISERROR(MATCH(LEFT(B16,3)+0,#REF!,0)))),"No Post","")</f>
        <v/>
      </c>
    </row>
    <row r="17" spans="1:11" x14ac:dyDescent="0.35">
      <c r="A17" s="34">
        <v>11</v>
      </c>
      <c r="B17" s="24"/>
      <c r="C17" s="55"/>
      <c r="D17" s="47"/>
      <c r="E17" s="24"/>
      <c r="F17" s="24"/>
      <c r="G17" s="24"/>
      <c r="H17" s="24"/>
      <c r="I17" s="24"/>
      <c r="J17" s="24"/>
      <c r="K17" s="56" t="str">
        <f>IF(OR(NOT(ISERROR(MATCH(RIGHT(B17,3)+0,#REF!,0))),NOT(ISERROR(MATCH(LEFT(B17,3)+0,#REF!,0)))),"No Post","")</f>
        <v/>
      </c>
    </row>
    <row r="18" spans="1:11" x14ac:dyDescent="0.35">
      <c r="A18" s="17">
        <v>12</v>
      </c>
      <c r="B18" s="24"/>
      <c r="C18" s="55"/>
      <c r="D18" s="47"/>
      <c r="E18" s="24"/>
      <c r="F18" s="24"/>
      <c r="G18" s="24"/>
      <c r="H18" s="24"/>
      <c r="I18" s="24"/>
      <c r="J18" s="24"/>
      <c r="K18" s="56" t="str">
        <f>IF(OR(NOT(ISERROR(MATCH(RIGHT(B18,3)+0,#REF!,0))),NOT(ISERROR(MATCH(LEFT(B18,3)+0,#REF!,0)))),"No Post","")</f>
        <v/>
      </c>
    </row>
    <row r="19" spans="1:11" x14ac:dyDescent="0.35">
      <c r="A19" s="17">
        <v>13</v>
      </c>
      <c r="B19" s="24"/>
      <c r="C19" s="55"/>
      <c r="D19" s="47"/>
      <c r="E19" s="24"/>
      <c r="F19" s="24"/>
      <c r="G19" s="24"/>
      <c r="H19" s="24"/>
      <c r="I19" s="24"/>
      <c r="J19" s="24"/>
      <c r="K19" s="56" t="str">
        <f>IF(OR(NOT(ISERROR(MATCH(RIGHT(B19,3)+0,#REF!,0))),NOT(ISERROR(MATCH(LEFT(B19,3)+0,#REF!,0)))),"No Post","")</f>
        <v/>
      </c>
    </row>
    <row r="20" spans="1:11" x14ac:dyDescent="0.35">
      <c r="A20" s="17">
        <v>14</v>
      </c>
      <c r="B20" s="24"/>
      <c r="C20" s="55"/>
      <c r="D20" s="47"/>
      <c r="E20" s="24"/>
      <c r="F20" s="24"/>
      <c r="G20" s="24"/>
      <c r="H20" s="24"/>
      <c r="I20" s="24"/>
      <c r="J20" s="24"/>
      <c r="K20" s="56" t="str">
        <f>IF(OR(NOT(ISERROR(MATCH(RIGHT(B20,3)+0,#REF!,0))),NOT(ISERROR(MATCH(LEFT(B20,3)+0,#REF!,0)))),"No Post","")</f>
        <v/>
      </c>
    </row>
    <row r="21" spans="1:11" x14ac:dyDescent="0.35">
      <c r="A21" s="17">
        <v>15</v>
      </c>
      <c r="B21" s="24"/>
      <c r="C21" s="55"/>
      <c r="D21" s="47"/>
      <c r="E21" s="24"/>
      <c r="F21" s="24"/>
      <c r="G21" s="24"/>
      <c r="H21" s="24"/>
      <c r="I21" s="24"/>
      <c r="J21" s="24"/>
      <c r="K21" s="56" t="str">
        <f>IF(OR(NOT(ISERROR(MATCH(RIGHT(B21,3)+0,#REF!,0))),NOT(ISERROR(MATCH(LEFT(B21,3)+0,#REF!,0)))),"No Post","")</f>
        <v/>
      </c>
    </row>
    <row r="22" spans="1:11" x14ac:dyDescent="0.35">
      <c r="A22" s="34">
        <v>16</v>
      </c>
      <c r="B22" s="35"/>
      <c r="C22" s="25"/>
      <c r="D22" s="37"/>
      <c r="E22" s="38"/>
      <c r="F22" s="38"/>
      <c r="G22" s="36"/>
      <c r="H22" s="24"/>
      <c r="I22" s="25"/>
      <c r="J22" s="25"/>
      <c r="K22" s="56" t="str">
        <f>IF(OR(NOT(ISERROR(MATCH(RIGHT(B22,3)+0,#REF!,0))),NOT(ISERROR(MATCH(LEFT(B22,3)+0,#REF!,0)))),"No Post","")</f>
        <v/>
      </c>
    </row>
    <row r="23" spans="1:11" x14ac:dyDescent="0.35">
      <c r="A23" s="17">
        <v>17</v>
      </c>
      <c r="B23" s="19"/>
      <c r="C23" s="33"/>
      <c r="D23" s="21"/>
      <c r="E23" s="39"/>
      <c r="F23" s="20"/>
      <c r="G23" s="18"/>
      <c r="H23" s="17"/>
      <c r="I23" s="33"/>
      <c r="J23" s="33"/>
      <c r="K23" s="56" t="str">
        <f>IF(OR(NOT(ISERROR(MATCH(RIGHT(B23,3)+0,#REF!,0))),NOT(ISERROR(MATCH(LEFT(B23,3)+0,#REF!,0)))),"No Post","")</f>
        <v/>
      </c>
    </row>
    <row r="24" spans="1:11" s="8" customFormat="1" ht="19.8" x14ac:dyDescent="0.4">
      <c r="A24" s="17">
        <v>18</v>
      </c>
      <c r="B24" s="19"/>
      <c r="C24" s="33"/>
      <c r="D24" s="21"/>
      <c r="E24" s="18"/>
      <c r="F24" s="18"/>
      <c r="G24" s="18"/>
      <c r="H24" s="17"/>
      <c r="I24" s="40"/>
      <c r="J24" s="40"/>
      <c r="K24" s="56" t="str">
        <f>IF(OR(NOT(ISERROR(MATCH(RIGHT(B24,3)+0,#REF!,0))),NOT(ISERROR(MATCH(LEFT(B24,3)+0,#REF!,0)))),"No Post","")</f>
        <v/>
      </c>
    </row>
    <row r="25" spans="1:11" x14ac:dyDescent="0.35">
      <c r="A25" s="17">
        <v>19</v>
      </c>
      <c r="B25" s="19"/>
      <c r="C25" s="33"/>
      <c r="D25" s="21"/>
      <c r="E25" s="18"/>
      <c r="F25" s="18"/>
      <c r="G25" s="18"/>
      <c r="H25" s="17"/>
      <c r="I25" s="33"/>
      <c r="J25" s="33"/>
      <c r="K25" s="56" t="str">
        <f>IF(OR(NOT(ISERROR(MATCH(RIGHT(B25,3)+0,#REF!,0))),NOT(ISERROR(MATCH(LEFT(B25,3)+0,#REF!,0)))),"No Post","")</f>
        <v/>
      </c>
    </row>
    <row r="26" spans="1:11" s="9" customFormat="1" x14ac:dyDescent="0.35">
      <c r="A26" s="17">
        <v>20</v>
      </c>
      <c r="B26" s="19"/>
      <c r="C26" s="33"/>
      <c r="D26" s="21"/>
      <c r="E26" s="18"/>
      <c r="F26" s="18"/>
      <c r="G26" s="18"/>
      <c r="H26" s="17"/>
      <c r="I26" s="33"/>
      <c r="J26" s="33"/>
      <c r="K26" s="56" t="str">
        <f>IF(OR(NOT(ISERROR(MATCH(RIGHT(B26,3)+0,#REF!,0))),NOT(ISERROR(MATCH(LEFT(B26,3)+0,#REF!,0)))),"No Post","")</f>
        <v/>
      </c>
    </row>
    <row r="27" spans="1:11" s="9" customFormat="1" ht="23.25" customHeight="1" x14ac:dyDescent="0.35">
      <c r="A27" s="1"/>
      <c r="B27" s="1"/>
      <c r="C27" s="1"/>
      <c r="D27" s="48" t="s">
        <v>18</v>
      </c>
      <c r="E27" s="16">
        <f>SUM(E8:E26)</f>
        <v>6</v>
      </c>
      <c r="F27" s="16">
        <f>SUM(F22:F26)</f>
        <v>0</v>
      </c>
      <c r="G27" s="1"/>
      <c r="H27" s="1"/>
    </row>
    <row r="28" spans="1:11" s="9" customFormat="1" ht="23.25" customHeight="1" x14ac:dyDescent="0.35">
      <c r="A28" s="1"/>
      <c r="B28" s="1"/>
      <c r="C28" s="1"/>
      <c r="D28" s="42"/>
      <c r="E28" s="1"/>
      <c r="F28" s="1"/>
      <c r="G28" s="1"/>
      <c r="H28" s="1"/>
    </row>
    <row r="29" spans="1:11" ht="20.25" customHeight="1" x14ac:dyDescent="0.35">
      <c r="B29" t="s">
        <v>7</v>
      </c>
      <c r="C29"/>
      <c r="D29" s="49"/>
      <c r="E29"/>
      <c r="F29"/>
      <c r="G29"/>
      <c r="H29"/>
    </row>
    <row r="30" spans="1:11" ht="20.25" customHeight="1" x14ac:dyDescent="0.35">
      <c r="B30" s="10" t="s">
        <v>8</v>
      </c>
      <c r="C30" s="10"/>
      <c r="D30" s="50"/>
      <c r="E30" s="10"/>
      <c r="F30" s="10"/>
      <c r="G30" s="10"/>
      <c r="H30" s="10"/>
    </row>
    <row r="31" spans="1:11" ht="20.25" customHeight="1" x14ac:dyDescent="0.35">
      <c r="B31" s="10" t="s">
        <v>9</v>
      </c>
      <c r="C31" s="10"/>
      <c r="D31" s="50"/>
      <c r="E31" s="10"/>
      <c r="F31" s="10"/>
      <c r="G31" s="10"/>
      <c r="H31" s="10"/>
    </row>
    <row r="32" spans="1:11" ht="20.25" customHeight="1" x14ac:dyDescent="0.35">
      <c r="B32" s="10" t="s">
        <v>10</v>
      </c>
      <c r="C32" s="10"/>
      <c r="D32" s="50"/>
      <c r="E32" s="10"/>
      <c r="F32" s="10"/>
      <c r="G32" s="10"/>
      <c r="H32" s="10"/>
    </row>
    <row r="33" spans="2:8" x14ac:dyDescent="0.35">
      <c r="B33" s="10" t="s">
        <v>11</v>
      </c>
      <c r="C33" s="10"/>
      <c r="D33" s="50"/>
      <c r="E33" s="10"/>
      <c r="F33" s="10"/>
      <c r="G33" s="10"/>
      <c r="H33" s="10"/>
    </row>
    <row r="34" spans="2:8" x14ac:dyDescent="0.35">
      <c r="B34" s="10" t="s">
        <v>12</v>
      </c>
      <c r="C34" s="10"/>
      <c r="D34" s="50"/>
      <c r="E34" s="10"/>
      <c r="F34" s="10"/>
      <c r="G34" s="10"/>
      <c r="H34" s="10"/>
    </row>
    <row r="35" spans="2:8" x14ac:dyDescent="0.35">
      <c r="B35" s="10" t="s">
        <v>13</v>
      </c>
      <c r="C35" s="10"/>
      <c r="D35" s="50"/>
      <c r="E35" s="10"/>
      <c r="F35" s="10"/>
      <c r="G35" s="10"/>
      <c r="H35" s="10"/>
    </row>
    <row r="36" spans="2:8" s="12" customFormat="1" ht="15.6" x14ac:dyDescent="0.3">
      <c r="B36" s="11" t="s">
        <v>14</v>
      </c>
      <c r="C36" s="11"/>
      <c r="D36" s="51"/>
      <c r="E36" s="11"/>
      <c r="F36" s="11"/>
      <c r="G36" s="11"/>
    </row>
    <row r="37" spans="2:8" s="12" customFormat="1" ht="15.6" x14ac:dyDescent="0.3">
      <c r="B37" s="11" t="s">
        <v>15</v>
      </c>
      <c r="C37" s="11"/>
      <c r="D37" s="51"/>
      <c r="E37" s="11"/>
      <c r="F37" s="11"/>
      <c r="G37" s="11"/>
    </row>
    <row r="38" spans="2:8" s="14" customFormat="1" ht="20.25" customHeight="1" x14ac:dyDescent="0.35">
      <c r="B38" s="13" t="s">
        <v>16</v>
      </c>
      <c r="C38" s="13"/>
      <c r="D38" s="52"/>
    </row>
    <row r="39" spans="2:8" customFormat="1" ht="14.4" x14ac:dyDescent="0.3">
      <c r="B39" s="15"/>
      <c r="C39" s="10"/>
      <c r="D39" s="50"/>
      <c r="E39" s="10"/>
      <c r="F39" s="10"/>
      <c r="G39" s="10"/>
      <c r="H39" s="10"/>
    </row>
    <row r="40" spans="2:8" x14ac:dyDescent="0.35">
      <c r="B40" s="10"/>
      <c r="C40" s="10"/>
      <c r="D40" s="50"/>
      <c r="E40" s="10"/>
      <c r="F40" s="10"/>
      <c r="G40" s="10"/>
      <c r="H40" s="10"/>
    </row>
    <row r="41" spans="2:8" x14ac:dyDescent="0.35">
      <c r="B41" s="15"/>
      <c r="C41" s="10"/>
      <c r="D41" s="50"/>
      <c r="E41" s="10"/>
      <c r="F41" s="10"/>
      <c r="G41" s="10"/>
      <c r="H41" s="10"/>
    </row>
    <row r="42" spans="2:8" x14ac:dyDescent="0.35">
      <c r="B42" s="10"/>
      <c r="C42" s="10"/>
      <c r="D42" s="50"/>
      <c r="E42" s="10"/>
      <c r="F42" s="10"/>
      <c r="G42" s="10"/>
      <c r="H42" s="10"/>
    </row>
    <row r="44" spans="2:8" x14ac:dyDescent="0.35">
      <c r="B44" s="9"/>
      <c r="C44" s="9"/>
      <c r="D44" s="53"/>
      <c r="E44" s="9"/>
      <c r="F44" s="9"/>
      <c r="G44" s="9"/>
      <c r="H44" s="9"/>
    </row>
    <row r="59" spans="2:8" x14ac:dyDescent="0.35">
      <c r="B59" s="10"/>
      <c r="C59" s="10"/>
      <c r="D59" s="50"/>
      <c r="E59" s="10"/>
      <c r="F59" s="10"/>
      <c r="G59" s="10"/>
      <c r="H59" s="10"/>
    </row>
    <row r="60" spans="2:8" x14ac:dyDescent="0.35">
      <c r="B60" s="10"/>
      <c r="C60" s="10"/>
      <c r="D60" s="50"/>
      <c r="E60" s="10"/>
      <c r="F60" s="10"/>
      <c r="G60" s="10"/>
      <c r="H60" s="10"/>
    </row>
    <row r="61" spans="2:8" x14ac:dyDescent="0.35">
      <c r="B61" s="10"/>
      <c r="C61" s="10"/>
      <c r="D61" s="50"/>
      <c r="E61" s="10"/>
      <c r="F61" s="10"/>
      <c r="G61" s="10"/>
      <c r="H61" s="10"/>
    </row>
    <row r="62" spans="2:8" x14ac:dyDescent="0.35">
      <c r="B62" s="15"/>
      <c r="C62" s="10"/>
      <c r="D62" s="50"/>
      <c r="E62" s="10"/>
      <c r="F62" s="10"/>
      <c r="G62" s="10"/>
      <c r="H62" s="10"/>
    </row>
    <row r="63" spans="2:8" x14ac:dyDescent="0.35">
      <c r="B63" s="10"/>
      <c r="C63" s="10"/>
      <c r="D63" s="50"/>
      <c r="E63" s="10"/>
      <c r="F63" s="10"/>
      <c r="G63" s="10"/>
      <c r="H63" s="10"/>
    </row>
  </sheetData>
  <customSheetViews>
    <customSheetView guid="{AA8333F4-A272-457D-BE6D-1B569A227B28}" showPageBreaks="1" fitToPage="1" printArea="1">
      <selection activeCell="K8" sqref="K8"/>
      <pageMargins left="0.7" right="0.7" top="0.75" bottom="0.75" header="0.3" footer="0.3"/>
      <printOptions horizontalCentered="1"/>
      <pageSetup paperSize="9" scale="84" fitToHeight="0" orientation="landscape" r:id="rId1"/>
    </customSheetView>
    <customSheetView guid="{3FD70E66-B699-4089-A2E2-369960B2F041}" fitToPage="1">
      <selection activeCell="B9" sqref="B9:I9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E61425CB-9FE7-4F79-BE47-5DC477A1BA8E}" fitToPage="1">
      <selection activeCell="K8" sqref="K8"/>
      <pageMargins left="0.7" right="0.7" top="0.75" bottom="0.75" header="0.3" footer="0.3"/>
      <printOptions horizontalCentered="1"/>
      <pageSetup paperSize="9" scale="84" fitToHeight="0" orientation="landscape" r:id="rId3"/>
    </customSheetView>
    <customSheetView guid="{C196B21B-5907-4E7A-90A7-4D3D9BC207B9}" showPageBreaks="1" fitToPage="1" printArea="1">
      <selection activeCell="C13" sqref="C13"/>
      <pageMargins left="0.7" right="0.7" top="0.75" bottom="0.75" header="0.3" footer="0.3"/>
      <printOptions horizontalCentered="1"/>
      <pageSetup paperSize="9" scale="84" fitToHeight="0" orientation="landscape" r:id="rId4"/>
    </customSheetView>
  </customSheetViews>
  <conditionalFormatting sqref="K7:K26">
    <cfRule type="containsText" dxfId="11" priority="1" operator="containsText" text="No Post">
      <formula>NOT(ISERROR(SEARCH("No Post",K7)))</formula>
    </cfRule>
  </conditionalFormatting>
  <printOptions horizontalCentered="1"/>
  <pageMargins left="0.7" right="0.7" top="0.75" bottom="0.75" header="0.3" footer="0.3"/>
  <pageSetup paperSize="9" scale="84" fitToHeight="0" orientation="landscape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tabSelected="1" zoomScaleNormal="100" zoomScaleSheetLayoutView="100" zoomScalePageLayoutView="90" workbookViewId="0">
      <selection activeCell="C9" sqref="C9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42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41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3"/>
    </row>
    <row r="5" spans="1:11" s="7" customFormat="1" ht="23.4" x14ac:dyDescent="0.45">
      <c r="A5" s="26" t="s">
        <v>22</v>
      </c>
      <c r="B5" s="27"/>
      <c r="C5" s="27"/>
      <c r="D5" s="44"/>
      <c r="E5" s="27"/>
      <c r="F5" s="27"/>
      <c r="G5" s="27"/>
      <c r="H5" s="27"/>
      <c r="I5" s="28" t="s">
        <v>1</v>
      </c>
      <c r="J5" s="22" t="str">
        <f ca="1">CONCATENATE((MID(CELL("filename",J5),FIND("]",CELL("filename",J5))+1,255)),"/04/2026")</f>
        <v>7/04/2026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5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4">
        <v>1</v>
      </c>
      <c r="B7" s="23">
        <v>817</v>
      </c>
      <c r="C7" s="54" t="s">
        <v>45</v>
      </c>
      <c r="D7" s="46">
        <v>46123</v>
      </c>
      <c r="E7" s="23" t="s">
        <v>56</v>
      </c>
      <c r="F7" s="23" t="s">
        <v>56</v>
      </c>
      <c r="G7" s="23"/>
      <c r="H7" s="23"/>
      <c r="I7" s="23"/>
      <c r="J7" s="23" t="s">
        <v>41</v>
      </c>
      <c r="K7" s="56" t="str">
        <f>IF(OR(NOT(ISERROR(MATCH(RIGHT(B7,3)+0,#REF!,0))),NOT(ISERROR(MATCH(LEFT(B7,3)+0,#REF!,0)))),"No Post","")</f>
        <v/>
      </c>
    </row>
    <row r="8" spans="1:11" x14ac:dyDescent="0.35">
      <c r="A8" s="17">
        <v>2</v>
      </c>
      <c r="B8" s="24">
        <v>615</v>
      </c>
      <c r="C8" s="55" t="s">
        <v>47</v>
      </c>
      <c r="D8" s="47"/>
      <c r="E8" s="24" t="s">
        <v>48</v>
      </c>
      <c r="F8" s="24" t="s">
        <v>49</v>
      </c>
      <c r="G8" s="24"/>
      <c r="H8" s="24"/>
      <c r="I8" s="24"/>
      <c r="J8" s="24" t="s">
        <v>46</v>
      </c>
      <c r="K8" s="56" t="str">
        <f>IF(OR(NOT(ISERROR(MATCH(RIGHT(B8,3)+0,#REF!,0))),NOT(ISERROR(MATCH(LEFT(B8,3)+0,#REF!,0)))),"No Post","")</f>
        <v/>
      </c>
    </row>
    <row r="9" spans="1:11" x14ac:dyDescent="0.35">
      <c r="A9" s="17">
        <v>3</v>
      </c>
      <c r="B9" s="24"/>
      <c r="C9" s="55"/>
      <c r="D9" s="47"/>
      <c r="E9" s="24"/>
      <c r="F9" s="24"/>
      <c r="G9" s="24"/>
      <c r="H9" s="24"/>
      <c r="I9" s="24"/>
      <c r="J9" s="24"/>
      <c r="K9" s="56" t="str">
        <f>IF(OR(NOT(ISERROR(MATCH(RIGHT(B9,3)+0,#REF!,0))),NOT(ISERROR(MATCH(LEFT(B9,3)+0,#REF!,0)))),"No Post","")</f>
        <v/>
      </c>
    </row>
    <row r="10" spans="1:11" x14ac:dyDescent="0.35">
      <c r="A10" s="17">
        <v>4</v>
      </c>
      <c r="B10" s="24"/>
      <c r="C10" s="55"/>
      <c r="D10" s="47"/>
      <c r="E10" s="24"/>
      <c r="F10" s="24"/>
      <c r="G10" s="24"/>
      <c r="H10" s="24"/>
      <c r="I10" s="24"/>
      <c r="J10" s="24"/>
      <c r="K10" s="56" t="str">
        <f>IF(OR(NOT(ISERROR(MATCH(RIGHT(B10,3)+0,#REF!,0))),NOT(ISERROR(MATCH(LEFT(B10,3)+0,#REF!,0)))),"No Post","")</f>
        <v/>
      </c>
    </row>
    <row r="11" spans="1:11" x14ac:dyDescent="0.35">
      <c r="A11" s="17">
        <v>5</v>
      </c>
      <c r="B11" s="24"/>
      <c r="C11" s="55"/>
      <c r="D11" s="47"/>
      <c r="E11" s="24"/>
      <c r="F11" s="24"/>
      <c r="G11" s="24"/>
      <c r="H11" s="24"/>
      <c r="I11" s="24"/>
      <c r="J11" s="24"/>
      <c r="K11" s="56" t="str">
        <f>IF(OR(NOT(ISERROR(MATCH(RIGHT(B11,3)+0,#REF!,0))),NOT(ISERROR(MATCH(LEFT(B11,3)+0,#REF!,0)))),"No Post","")</f>
        <v/>
      </c>
    </row>
    <row r="12" spans="1:11" x14ac:dyDescent="0.35">
      <c r="A12" s="34">
        <v>6</v>
      </c>
      <c r="B12" s="24"/>
      <c r="C12" s="55"/>
      <c r="D12" s="47"/>
      <c r="E12" s="24"/>
      <c r="F12" s="24"/>
      <c r="G12" s="24"/>
      <c r="H12" s="24"/>
      <c r="I12" s="24"/>
      <c r="J12" s="24"/>
      <c r="K12" s="56" t="str">
        <f>IF(OR(NOT(ISERROR(MATCH(RIGHT(B12,3)+0,#REF!,0))),NOT(ISERROR(MATCH(LEFT(B12,3)+0,#REF!,0)))),"No Post","")</f>
        <v/>
      </c>
    </row>
    <row r="13" spans="1:11" x14ac:dyDescent="0.35">
      <c r="A13" s="17">
        <v>7</v>
      </c>
      <c r="B13" s="24"/>
      <c r="C13" s="55"/>
      <c r="D13" s="47"/>
      <c r="E13" s="24"/>
      <c r="F13" s="24"/>
      <c r="G13" s="24"/>
      <c r="H13" s="24"/>
      <c r="I13" s="24"/>
      <c r="J13" s="24"/>
      <c r="K13" s="56" t="str">
        <f>IF(OR(NOT(ISERROR(MATCH(RIGHT(B13,3)+0,#REF!,0))),NOT(ISERROR(MATCH(LEFT(B13,3)+0,#REF!,0)))),"No Post","")</f>
        <v/>
      </c>
    </row>
    <row r="14" spans="1:11" x14ac:dyDescent="0.35">
      <c r="A14" s="17">
        <v>8</v>
      </c>
      <c r="B14" s="24"/>
      <c r="C14" s="55"/>
      <c r="D14" s="47"/>
      <c r="E14" s="24"/>
      <c r="F14" s="24"/>
      <c r="G14" s="24"/>
      <c r="H14" s="24"/>
      <c r="I14" s="24"/>
      <c r="J14" s="24"/>
      <c r="K14" s="56" t="str">
        <f>IF(OR(NOT(ISERROR(MATCH(RIGHT(B14,3)+0,#REF!,0))),NOT(ISERROR(MATCH(LEFT(B14,3)+0,#REF!,0)))),"No Post","")</f>
        <v/>
      </c>
    </row>
    <row r="15" spans="1:11" x14ac:dyDescent="0.35">
      <c r="A15" s="17">
        <v>9</v>
      </c>
      <c r="B15" s="24"/>
      <c r="C15" s="55"/>
      <c r="D15" s="47"/>
      <c r="E15" s="24"/>
      <c r="F15" s="24"/>
      <c r="G15" s="24"/>
      <c r="H15" s="24"/>
      <c r="I15" s="24"/>
      <c r="J15" s="24"/>
      <c r="K15" s="56" t="str">
        <f>IF(OR(NOT(ISERROR(MATCH(RIGHT(B15,3)+0,#REF!,0))),NOT(ISERROR(MATCH(LEFT(B15,3)+0,#REF!,0)))),"No Post","")</f>
        <v/>
      </c>
    </row>
    <row r="16" spans="1:11" x14ac:dyDescent="0.35">
      <c r="A16" s="17">
        <v>10</v>
      </c>
      <c r="B16" s="24"/>
      <c r="C16" s="55"/>
      <c r="D16" s="47"/>
      <c r="E16" s="24"/>
      <c r="F16" s="24"/>
      <c r="G16" s="24"/>
      <c r="H16" s="24"/>
      <c r="I16" s="24"/>
      <c r="J16" s="24"/>
      <c r="K16" s="56" t="str">
        <f>IF(OR(NOT(ISERROR(MATCH(RIGHT(B16,3)+0,#REF!,0))),NOT(ISERROR(MATCH(LEFT(B16,3)+0,#REF!,0)))),"No Post","")</f>
        <v/>
      </c>
    </row>
    <row r="17" spans="1:11" x14ac:dyDescent="0.35">
      <c r="A17" s="34">
        <v>11</v>
      </c>
      <c r="B17" s="24"/>
      <c r="C17" s="55"/>
      <c r="D17" s="47"/>
      <c r="E17" s="24"/>
      <c r="F17" s="24"/>
      <c r="G17" s="24"/>
      <c r="H17" s="24"/>
      <c r="I17" s="24"/>
      <c r="J17" s="24"/>
      <c r="K17" s="56" t="str">
        <f>IF(OR(NOT(ISERROR(MATCH(RIGHT(B17,3)+0,#REF!,0))),NOT(ISERROR(MATCH(LEFT(B17,3)+0,#REF!,0)))),"No Post","")</f>
        <v/>
      </c>
    </row>
    <row r="18" spans="1:11" x14ac:dyDescent="0.35">
      <c r="A18" s="17">
        <v>12</v>
      </c>
      <c r="B18" s="24"/>
      <c r="C18" s="55"/>
      <c r="D18" s="47"/>
      <c r="E18" s="24"/>
      <c r="F18" s="24"/>
      <c r="G18" s="24"/>
      <c r="H18" s="24"/>
      <c r="I18" s="24"/>
      <c r="J18" s="24"/>
      <c r="K18" s="56" t="str">
        <f>IF(OR(NOT(ISERROR(MATCH(RIGHT(B18,3)+0,#REF!,0))),NOT(ISERROR(MATCH(LEFT(B18,3)+0,#REF!,0)))),"No Post","")</f>
        <v/>
      </c>
    </row>
    <row r="19" spans="1:11" x14ac:dyDescent="0.35">
      <c r="A19" s="17">
        <v>13</v>
      </c>
      <c r="B19" s="24"/>
      <c r="C19" s="55"/>
      <c r="D19" s="47"/>
      <c r="E19" s="24"/>
      <c r="F19" s="24"/>
      <c r="G19" s="24"/>
      <c r="H19" s="24"/>
      <c r="I19" s="24"/>
      <c r="J19" s="24"/>
      <c r="K19" s="56" t="str">
        <f>IF(OR(NOT(ISERROR(MATCH(RIGHT(B19,3)+0,#REF!,0))),NOT(ISERROR(MATCH(LEFT(B19,3)+0,#REF!,0)))),"No Post","")</f>
        <v/>
      </c>
    </row>
    <row r="20" spans="1:11" x14ac:dyDescent="0.35">
      <c r="A20" s="17">
        <v>14</v>
      </c>
      <c r="B20" s="24"/>
      <c r="C20" s="55"/>
      <c r="D20" s="47"/>
      <c r="E20" s="24"/>
      <c r="F20" s="24"/>
      <c r="G20" s="24"/>
      <c r="H20" s="24"/>
      <c r="I20" s="24"/>
      <c r="J20" s="24"/>
      <c r="K20" s="56" t="str">
        <f>IF(OR(NOT(ISERROR(MATCH(RIGHT(B20,3)+0,#REF!,0))),NOT(ISERROR(MATCH(LEFT(B20,3)+0,#REF!,0)))),"No Post","")</f>
        <v/>
      </c>
    </row>
    <row r="21" spans="1:11" x14ac:dyDescent="0.35">
      <c r="A21" s="17">
        <v>15</v>
      </c>
      <c r="B21" s="24"/>
      <c r="C21" s="55"/>
      <c r="D21" s="47"/>
      <c r="E21" s="24"/>
      <c r="F21" s="24"/>
      <c r="G21" s="24"/>
      <c r="H21" s="24"/>
      <c r="I21" s="24"/>
      <c r="J21" s="24"/>
      <c r="K21" s="56" t="str">
        <f>IF(OR(NOT(ISERROR(MATCH(RIGHT(B21,3)+0,#REF!,0))),NOT(ISERROR(MATCH(LEFT(B21,3)+0,#REF!,0)))),"No Post","")</f>
        <v/>
      </c>
    </row>
    <row r="22" spans="1:11" x14ac:dyDescent="0.35">
      <c r="A22" s="34">
        <v>16</v>
      </c>
      <c r="B22" s="35"/>
      <c r="C22" s="25"/>
      <c r="D22" s="37"/>
      <c r="E22" s="38"/>
      <c r="F22" s="38"/>
      <c r="G22" s="36"/>
      <c r="H22" s="24"/>
      <c r="I22" s="25"/>
      <c r="J22" s="25"/>
      <c r="K22" s="56" t="str">
        <f>IF(OR(NOT(ISERROR(MATCH(RIGHT(B22,3)+0,#REF!,0))),NOT(ISERROR(MATCH(LEFT(B22,3)+0,#REF!,0)))),"No Post","")</f>
        <v/>
      </c>
    </row>
    <row r="23" spans="1:11" x14ac:dyDescent="0.35">
      <c r="A23" s="17">
        <v>17</v>
      </c>
      <c r="B23" s="19"/>
      <c r="C23" s="33"/>
      <c r="D23" s="21"/>
      <c r="E23" s="39"/>
      <c r="F23" s="20"/>
      <c r="G23" s="18"/>
      <c r="H23" s="17"/>
      <c r="I23" s="33"/>
      <c r="J23" s="33"/>
      <c r="K23" s="56" t="str">
        <f>IF(OR(NOT(ISERROR(MATCH(RIGHT(B23,3)+0,#REF!,0))),NOT(ISERROR(MATCH(LEFT(B23,3)+0,#REF!,0)))),"No Post","")</f>
        <v/>
      </c>
    </row>
    <row r="24" spans="1:11" s="8" customFormat="1" ht="19.8" x14ac:dyDescent="0.4">
      <c r="A24" s="17">
        <v>18</v>
      </c>
      <c r="B24" s="19"/>
      <c r="C24" s="33"/>
      <c r="D24" s="21"/>
      <c r="E24" s="18"/>
      <c r="F24" s="18"/>
      <c r="G24" s="18"/>
      <c r="H24" s="17"/>
      <c r="I24" s="40"/>
      <c r="J24" s="40"/>
      <c r="K24" s="56" t="str">
        <f>IF(OR(NOT(ISERROR(MATCH(RIGHT(B24,3)+0,#REF!,0))),NOT(ISERROR(MATCH(LEFT(B24,3)+0,#REF!,0)))),"No Post","")</f>
        <v/>
      </c>
    </row>
    <row r="25" spans="1:11" x14ac:dyDescent="0.35">
      <c r="A25" s="17">
        <v>19</v>
      </c>
      <c r="B25" s="19"/>
      <c r="C25" s="33"/>
      <c r="D25" s="21"/>
      <c r="E25" s="18"/>
      <c r="F25" s="18"/>
      <c r="G25" s="18"/>
      <c r="H25" s="17"/>
      <c r="I25" s="33"/>
      <c r="J25" s="33"/>
      <c r="K25" s="56" t="str">
        <f>IF(OR(NOT(ISERROR(MATCH(RIGHT(B25,3)+0,#REF!,0))),NOT(ISERROR(MATCH(LEFT(B25,3)+0,#REF!,0)))),"No Post","")</f>
        <v/>
      </c>
    </row>
    <row r="26" spans="1:11" s="9" customFormat="1" x14ac:dyDescent="0.35">
      <c r="A26" s="17">
        <v>20</v>
      </c>
      <c r="B26" s="19"/>
      <c r="C26" s="33"/>
      <c r="D26" s="21"/>
      <c r="E26" s="18"/>
      <c r="F26" s="18"/>
      <c r="G26" s="18"/>
      <c r="H26" s="17"/>
      <c r="I26" s="33"/>
      <c r="J26" s="33"/>
      <c r="K26" s="56" t="str">
        <f>IF(OR(NOT(ISERROR(MATCH(RIGHT(B26,3)+0,#REF!,0))),NOT(ISERROR(MATCH(LEFT(B26,3)+0,#REF!,0)))),"No Post","")</f>
        <v/>
      </c>
    </row>
    <row r="27" spans="1:11" s="9" customFormat="1" ht="23.25" customHeight="1" x14ac:dyDescent="0.35">
      <c r="A27" s="1"/>
      <c r="B27" s="1"/>
      <c r="C27" s="1"/>
      <c r="D27" s="48" t="s">
        <v>18</v>
      </c>
      <c r="E27" s="16">
        <f>SUM(E22:E26)</f>
        <v>0</v>
      </c>
      <c r="F27" s="16">
        <f>SUM(F22:F26)</f>
        <v>0</v>
      </c>
      <c r="G27" s="1"/>
      <c r="H27" s="1"/>
    </row>
    <row r="28" spans="1:11" s="9" customFormat="1" ht="23.25" customHeight="1" x14ac:dyDescent="0.35">
      <c r="A28" s="1"/>
      <c r="B28" s="1"/>
      <c r="C28" s="1"/>
      <c r="D28" s="42"/>
      <c r="E28" s="1"/>
      <c r="F28" s="1"/>
      <c r="G28" s="1"/>
      <c r="H28" s="1"/>
    </row>
    <row r="29" spans="1:11" ht="20.25" customHeight="1" x14ac:dyDescent="0.35">
      <c r="B29" t="s">
        <v>7</v>
      </c>
      <c r="C29"/>
      <c r="D29" s="49"/>
      <c r="E29"/>
      <c r="F29"/>
      <c r="G29"/>
      <c r="H29"/>
    </row>
    <row r="30" spans="1:11" ht="20.25" customHeight="1" x14ac:dyDescent="0.35">
      <c r="B30" s="10" t="s">
        <v>8</v>
      </c>
      <c r="C30" s="10"/>
      <c r="D30" s="50"/>
      <c r="E30" s="10"/>
      <c r="F30" s="10"/>
      <c r="G30" s="10"/>
      <c r="H30" s="10"/>
    </row>
    <row r="31" spans="1:11" ht="20.25" customHeight="1" x14ac:dyDescent="0.35">
      <c r="B31" s="10" t="s">
        <v>9</v>
      </c>
      <c r="C31" s="10"/>
      <c r="D31" s="50"/>
      <c r="E31" s="10"/>
      <c r="F31" s="10"/>
      <c r="G31" s="10"/>
      <c r="H31" s="10"/>
    </row>
    <row r="32" spans="1:11" ht="20.25" customHeight="1" x14ac:dyDescent="0.35">
      <c r="B32" s="10" t="s">
        <v>10</v>
      </c>
      <c r="C32" s="10"/>
      <c r="D32" s="50"/>
      <c r="E32" s="10"/>
      <c r="F32" s="10"/>
      <c r="G32" s="10"/>
      <c r="H32" s="10"/>
    </row>
    <row r="33" spans="2:8" x14ac:dyDescent="0.35">
      <c r="B33" s="10" t="s">
        <v>11</v>
      </c>
      <c r="C33" s="10"/>
      <c r="D33" s="50"/>
      <c r="E33" s="10"/>
      <c r="F33" s="10"/>
      <c r="G33" s="10"/>
      <c r="H33" s="10"/>
    </row>
    <row r="34" spans="2:8" x14ac:dyDescent="0.35">
      <c r="B34" s="10" t="s">
        <v>12</v>
      </c>
      <c r="C34" s="10"/>
      <c r="D34" s="50"/>
      <c r="E34" s="10"/>
      <c r="F34" s="10"/>
      <c r="G34" s="10"/>
      <c r="H34" s="10"/>
    </row>
    <row r="35" spans="2:8" x14ac:dyDescent="0.35">
      <c r="B35" s="10" t="s">
        <v>13</v>
      </c>
      <c r="C35" s="10"/>
      <c r="D35" s="50"/>
      <c r="E35" s="10"/>
      <c r="F35" s="10"/>
      <c r="G35" s="10"/>
      <c r="H35" s="10"/>
    </row>
    <row r="36" spans="2:8" s="12" customFormat="1" ht="15.6" x14ac:dyDescent="0.3">
      <c r="B36" s="11" t="s">
        <v>14</v>
      </c>
      <c r="C36" s="11"/>
      <c r="D36" s="51"/>
      <c r="E36" s="11"/>
      <c r="F36" s="11"/>
      <c r="G36" s="11"/>
    </row>
    <row r="37" spans="2:8" s="12" customFormat="1" ht="15.6" x14ac:dyDescent="0.3">
      <c r="B37" s="11" t="s">
        <v>15</v>
      </c>
      <c r="C37" s="11"/>
      <c r="D37" s="51"/>
      <c r="E37" s="11"/>
      <c r="F37" s="11"/>
      <c r="G37" s="11"/>
    </row>
    <row r="38" spans="2:8" s="14" customFormat="1" ht="20.25" customHeight="1" x14ac:dyDescent="0.35">
      <c r="B38" s="13" t="s">
        <v>16</v>
      </c>
      <c r="C38" s="13"/>
      <c r="D38" s="52"/>
    </row>
    <row r="39" spans="2:8" customFormat="1" ht="14.4" x14ac:dyDescent="0.3">
      <c r="B39" s="15"/>
      <c r="C39" s="10"/>
      <c r="D39" s="50"/>
      <c r="E39" s="10"/>
      <c r="F39" s="10"/>
      <c r="G39" s="10"/>
      <c r="H39" s="10"/>
    </row>
    <row r="40" spans="2:8" x14ac:dyDescent="0.35">
      <c r="B40" s="10"/>
      <c r="C40" s="10"/>
      <c r="D40" s="50"/>
      <c r="E40" s="10"/>
      <c r="F40" s="10"/>
      <c r="G40" s="10"/>
      <c r="H40" s="10"/>
    </row>
    <row r="41" spans="2:8" x14ac:dyDescent="0.35">
      <c r="B41" s="15"/>
      <c r="C41" s="10"/>
      <c r="D41" s="50"/>
      <c r="E41" s="10"/>
      <c r="F41" s="10"/>
      <c r="G41" s="10"/>
      <c r="H41" s="10"/>
    </row>
    <row r="42" spans="2:8" x14ac:dyDescent="0.35">
      <c r="B42" s="10"/>
      <c r="C42" s="10"/>
      <c r="D42" s="50"/>
      <c r="E42" s="10"/>
      <c r="F42" s="10"/>
      <c r="G42" s="10"/>
      <c r="H42" s="10"/>
    </row>
    <row r="44" spans="2:8" x14ac:dyDescent="0.35">
      <c r="B44" s="9"/>
      <c r="C44" s="9"/>
      <c r="D44" s="53"/>
      <c r="E44" s="9"/>
      <c r="F44" s="9"/>
      <c r="G44" s="9"/>
      <c r="H44" s="9"/>
    </row>
    <row r="59" spans="2:8" x14ac:dyDescent="0.35">
      <c r="B59" s="10"/>
      <c r="C59" s="10"/>
      <c r="D59" s="50"/>
      <c r="E59" s="10"/>
      <c r="F59" s="10"/>
      <c r="G59" s="10"/>
      <c r="H59" s="10"/>
    </row>
    <row r="60" spans="2:8" x14ac:dyDescent="0.35">
      <c r="B60" s="10"/>
      <c r="C60" s="10"/>
      <c r="D60" s="50"/>
      <c r="E60" s="10"/>
      <c r="F60" s="10"/>
      <c r="G60" s="10"/>
      <c r="H60" s="10"/>
    </row>
    <row r="61" spans="2:8" x14ac:dyDescent="0.35">
      <c r="B61" s="10"/>
      <c r="C61" s="10"/>
      <c r="D61" s="50"/>
      <c r="E61" s="10"/>
      <c r="F61" s="10"/>
      <c r="G61" s="10"/>
      <c r="H61" s="10"/>
    </row>
    <row r="62" spans="2:8" x14ac:dyDescent="0.35">
      <c r="B62" s="15"/>
      <c r="C62" s="10"/>
      <c r="D62" s="50"/>
      <c r="E62" s="10"/>
      <c r="F62" s="10"/>
      <c r="G62" s="10"/>
      <c r="H62" s="10"/>
    </row>
    <row r="63" spans="2:8" x14ac:dyDescent="0.35">
      <c r="B63" s="10"/>
      <c r="C63" s="10"/>
      <c r="D63" s="50"/>
      <c r="E63" s="10"/>
      <c r="F63" s="10"/>
      <c r="G63" s="10"/>
      <c r="H63" s="10"/>
    </row>
  </sheetData>
  <customSheetViews>
    <customSheetView guid="{AA8333F4-A272-457D-BE6D-1B569A227B28}" showPageBreaks="1" fitToPage="1" printArea="1">
      <selection activeCell="C9" sqref="C9"/>
      <pageMargins left="0.7" right="0.7" top="0.75" bottom="0.75" header="0.3" footer="0.3"/>
      <printOptions horizontalCentered="1"/>
      <pageSetup paperSize="9" scale="84" fitToHeight="0" orientation="landscape" r:id="rId1"/>
    </customSheetView>
    <customSheetView guid="{3FD70E66-B699-4089-A2E2-369960B2F041}" fitToPage="1">
      <selection activeCell="C17" sqref="C17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E61425CB-9FE7-4F79-BE47-5DC477A1BA8E}" fitToPage="1">
      <selection activeCell="C17" sqref="C17"/>
      <pageMargins left="0.7" right="0.7" top="0.75" bottom="0.75" header="0.3" footer="0.3"/>
      <printOptions horizontalCentered="1"/>
      <pageSetup paperSize="9" scale="84" fitToHeight="0" orientation="landscape" r:id="rId3"/>
    </customSheetView>
    <customSheetView guid="{C196B21B-5907-4E7A-90A7-4D3D9BC207B9}" showPageBreaks="1" fitToPage="1" printArea="1">
      <selection activeCell="C13" sqref="C13"/>
      <pageMargins left="0.7" right="0.7" top="0.75" bottom="0.75" header="0.3" footer="0.3"/>
      <printOptions horizontalCentered="1"/>
      <pageSetup paperSize="9" scale="84" fitToHeight="0" orientation="landscape" r:id="rId4"/>
    </customSheetView>
  </customSheetViews>
  <conditionalFormatting sqref="K7:K26">
    <cfRule type="containsText" dxfId="10" priority="1" operator="containsText" text="No Post">
      <formula>NOT(ISERROR(SEARCH("No Post",K7)))</formula>
    </cfRule>
  </conditionalFormatting>
  <printOptions horizontalCentered="1"/>
  <pageMargins left="0.7" right="0.7" top="0.75" bottom="0.75" header="0.3" footer="0.3"/>
  <pageSetup paperSize="9" scale="84" fitToHeight="0" orientation="landscape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zoomScalePageLayoutView="90" workbookViewId="0">
      <selection activeCell="C17" sqref="C17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42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41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3"/>
    </row>
    <row r="5" spans="1:11" s="7" customFormat="1" ht="23.4" x14ac:dyDescent="0.45">
      <c r="A5" s="26" t="s">
        <v>22</v>
      </c>
      <c r="B5" s="27"/>
      <c r="C5" s="27"/>
      <c r="D5" s="44"/>
      <c r="E5" s="27"/>
      <c r="F5" s="27"/>
      <c r="G5" s="27"/>
      <c r="H5" s="27"/>
      <c r="I5" s="28" t="s">
        <v>1</v>
      </c>
      <c r="J5" s="22" t="str">
        <f ca="1">CONCATENATE((MID(CELL("filename",J5),FIND("]",CELL("filename",J5))+1,255)),"/04/2026")</f>
        <v>9/04/2026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5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4">
        <v>1</v>
      </c>
      <c r="B7" s="24">
        <v>815</v>
      </c>
      <c r="C7" s="24" t="s">
        <v>50</v>
      </c>
      <c r="D7" s="47">
        <v>46129</v>
      </c>
      <c r="E7" s="24" t="s">
        <v>62</v>
      </c>
      <c r="F7" s="24" t="s">
        <v>62</v>
      </c>
      <c r="G7" s="24"/>
      <c r="H7" s="24"/>
      <c r="J7" s="24" t="s">
        <v>51</v>
      </c>
      <c r="K7" s="56" t="str">
        <f>IF(OR(NOT(ISERROR(MATCH(RIGHT(B7,3)+0,#REF!,0))),NOT(ISERROR(MATCH(LEFT(B7,3)+0,#REF!,0)))),"No Post","")</f>
        <v/>
      </c>
    </row>
    <row r="8" spans="1:11" x14ac:dyDescent="0.35">
      <c r="A8" s="17">
        <v>2</v>
      </c>
      <c r="B8" s="24">
        <v>613</v>
      </c>
      <c r="C8" s="24" t="s">
        <v>52</v>
      </c>
      <c r="D8" s="47">
        <v>46124</v>
      </c>
      <c r="E8" s="24">
        <v>2</v>
      </c>
      <c r="F8" s="24">
        <v>1</v>
      </c>
      <c r="G8" s="24"/>
      <c r="H8" s="24"/>
      <c r="I8" s="24"/>
      <c r="J8" s="24" t="s">
        <v>53</v>
      </c>
      <c r="K8" s="56" t="str">
        <f>IF(OR(NOT(ISERROR(MATCH(RIGHT(B8,3)+0,#REF!,0))),NOT(ISERROR(MATCH(LEFT(B8,3)+0,#REF!,0)))),"No Post","")</f>
        <v/>
      </c>
    </row>
    <row r="9" spans="1:11" x14ac:dyDescent="0.35">
      <c r="A9" s="17">
        <v>3</v>
      </c>
      <c r="B9" s="24">
        <v>614</v>
      </c>
      <c r="C9" s="24" t="s">
        <v>63</v>
      </c>
      <c r="D9" s="47">
        <v>46126</v>
      </c>
      <c r="E9" s="24">
        <v>2</v>
      </c>
      <c r="F9" s="24"/>
      <c r="G9" s="24"/>
      <c r="H9" s="24"/>
      <c r="I9" s="24"/>
      <c r="J9" s="24" t="s">
        <v>53</v>
      </c>
      <c r="K9" s="56" t="str">
        <f>IF(OR(NOT(ISERROR(MATCH(RIGHT(B9,3)+0,#REF!,0))),NOT(ISERROR(MATCH(LEFT(B9,3)+0,#REF!,0)))),"No Post","")</f>
        <v/>
      </c>
    </row>
    <row r="10" spans="1:11" x14ac:dyDescent="0.35">
      <c r="A10" s="65">
        <v>4</v>
      </c>
      <c r="B10" s="24">
        <v>851</v>
      </c>
      <c r="C10" s="55" t="s">
        <v>58</v>
      </c>
      <c r="D10" s="47">
        <v>46122</v>
      </c>
      <c r="E10" s="24">
        <v>2</v>
      </c>
      <c r="F10" s="24"/>
      <c r="G10" s="24"/>
      <c r="H10" s="24"/>
      <c r="I10" s="24"/>
      <c r="J10" s="24" t="s">
        <v>57</v>
      </c>
      <c r="K10" s="56" t="str">
        <f>IF(OR(NOT(ISERROR(MATCH(RIGHT(B10,3)+0,#REF!,0))),NOT(ISERROR(MATCH(LEFT(B10,3)+0,#REF!,0)))),"No Post","")</f>
        <v/>
      </c>
    </row>
    <row r="11" spans="1:11" x14ac:dyDescent="0.35">
      <c r="A11" s="65">
        <v>5</v>
      </c>
      <c r="B11" s="24">
        <v>887</v>
      </c>
      <c r="C11" s="55" t="s">
        <v>59</v>
      </c>
      <c r="D11" s="47">
        <v>46124</v>
      </c>
      <c r="E11" s="24">
        <v>2</v>
      </c>
      <c r="F11" s="24"/>
      <c r="G11" s="24"/>
      <c r="H11" s="24"/>
      <c r="I11" s="24"/>
      <c r="J11" s="24" t="s">
        <v>41</v>
      </c>
      <c r="K11" s="56" t="str">
        <f>IF(OR(NOT(ISERROR(MATCH(RIGHT(B11,3)+0,#REF!,0))),NOT(ISERROR(MATCH(LEFT(B11,3)+0,#REF!,0)))),"No Post","")</f>
        <v/>
      </c>
    </row>
    <row r="12" spans="1:11" x14ac:dyDescent="0.35">
      <c r="A12" s="65">
        <v>6</v>
      </c>
      <c r="B12" s="24">
        <v>842</v>
      </c>
      <c r="C12" s="55" t="s">
        <v>60</v>
      </c>
      <c r="D12" s="47">
        <v>46125</v>
      </c>
      <c r="E12" s="24">
        <v>2</v>
      </c>
      <c r="F12" s="24"/>
      <c r="G12" s="24"/>
      <c r="H12" s="24"/>
      <c r="I12" s="24"/>
      <c r="J12" s="24" t="s">
        <v>61</v>
      </c>
      <c r="K12" s="56" t="str">
        <f>IF(OR(NOT(ISERROR(MATCH(RIGHT(B12,3)+0,#REF!,0))),NOT(ISERROR(MATCH(LEFT(B12,3)+0,#REF!,0)))),"No Post","")</f>
        <v/>
      </c>
    </row>
    <row r="13" spans="1:11" x14ac:dyDescent="0.35">
      <c r="A13" s="17">
        <v>7</v>
      </c>
      <c r="B13" s="24">
        <v>816</v>
      </c>
      <c r="C13" s="55" t="s">
        <v>65</v>
      </c>
      <c r="D13" s="47">
        <v>46123</v>
      </c>
      <c r="E13" s="24" t="s">
        <v>56</v>
      </c>
      <c r="F13" s="24" t="s">
        <v>49</v>
      </c>
      <c r="G13" s="24"/>
      <c r="H13" s="24"/>
      <c r="I13" s="24"/>
      <c r="J13" s="24" t="s">
        <v>64</v>
      </c>
      <c r="K13" s="56" t="str">
        <f>IF(OR(NOT(ISERROR(MATCH(RIGHT(B13,3)+0,#REF!,0))),NOT(ISERROR(MATCH(LEFT(B13,3)+0,#REF!,0)))),"No Post","")</f>
        <v/>
      </c>
    </row>
    <row r="14" spans="1:11" x14ac:dyDescent="0.35">
      <c r="A14" s="17">
        <v>8</v>
      </c>
      <c r="B14" s="24">
        <v>604</v>
      </c>
      <c r="C14" s="55" t="s">
        <v>67</v>
      </c>
      <c r="D14" s="47">
        <v>46124</v>
      </c>
      <c r="E14" s="24">
        <v>2</v>
      </c>
      <c r="F14" s="24"/>
      <c r="G14" s="24"/>
      <c r="H14" s="24"/>
      <c r="I14" s="24"/>
      <c r="J14" s="24" t="s">
        <v>66</v>
      </c>
      <c r="K14" s="56" t="str">
        <f>IF(OR(NOT(ISERROR(MATCH(RIGHT(B14,3)+0,#REF!,0))),NOT(ISERROR(MATCH(LEFT(B14,3)+0,#REF!,0)))),"No Post","")</f>
        <v/>
      </c>
    </row>
    <row r="15" spans="1:11" x14ac:dyDescent="0.35">
      <c r="A15" s="17">
        <v>9</v>
      </c>
      <c r="B15" s="24"/>
      <c r="C15" s="55"/>
      <c r="D15" s="47"/>
      <c r="E15" s="24"/>
      <c r="F15" s="24"/>
      <c r="G15" s="24"/>
      <c r="H15" s="24"/>
      <c r="I15" s="24"/>
      <c r="J15" s="24"/>
      <c r="K15" s="56" t="str">
        <f>IF(OR(NOT(ISERROR(MATCH(RIGHT(B15,3)+0,#REF!,0))),NOT(ISERROR(MATCH(LEFT(B15,3)+0,#REF!,0)))),"No Post","")</f>
        <v/>
      </c>
    </row>
    <row r="16" spans="1:11" x14ac:dyDescent="0.35">
      <c r="A16" s="17">
        <v>10</v>
      </c>
      <c r="B16" s="24"/>
      <c r="C16" s="55"/>
      <c r="D16" s="47"/>
      <c r="E16" s="24"/>
      <c r="F16" s="24"/>
      <c r="G16" s="24"/>
      <c r="H16" s="24"/>
      <c r="I16" s="24"/>
      <c r="J16" s="24"/>
      <c r="K16" s="56" t="str">
        <f>IF(OR(NOT(ISERROR(MATCH(RIGHT(B16,3)+0,#REF!,0))),NOT(ISERROR(MATCH(LEFT(B16,3)+0,#REF!,0)))),"No Post","")</f>
        <v/>
      </c>
    </row>
    <row r="17" spans="1:11" x14ac:dyDescent="0.35">
      <c r="A17" s="34">
        <v>11</v>
      </c>
      <c r="B17" s="24"/>
      <c r="C17" s="55"/>
      <c r="D17" s="47"/>
      <c r="E17" s="24"/>
      <c r="F17" s="24"/>
      <c r="G17" s="24"/>
      <c r="H17" s="24"/>
      <c r="I17" s="24"/>
      <c r="J17" s="24"/>
      <c r="K17" s="56" t="str">
        <f>IF(OR(NOT(ISERROR(MATCH(RIGHT(B17,3)+0,#REF!,0))),NOT(ISERROR(MATCH(LEFT(B17,3)+0,#REF!,0)))),"No Post","")</f>
        <v/>
      </c>
    </row>
    <row r="18" spans="1:11" x14ac:dyDescent="0.35">
      <c r="A18" s="17">
        <v>12</v>
      </c>
      <c r="B18" s="24"/>
      <c r="C18" s="55"/>
      <c r="D18" s="47"/>
      <c r="E18" s="24"/>
      <c r="F18" s="24"/>
      <c r="G18" s="24"/>
      <c r="H18" s="24"/>
      <c r="I18" s="24"/>
      <c r="J18" s="24"/>
      <c r="K18" s="56" t="str">
        <f>IF(OR(NOT(ISERROR(MATCH(RIGHT(B18,3)+0,#REF!,0))),NOT(ISERROR(MATCH(LEFT(B18,3)+0,#REF!,0)))),"No Post","")</f>
        <v/>
      </c>
    </row>
    <row r="19" spans="1:11" x14ac:dyDescent="0.35">
      <c r="A19" s="17">
        <v>13</v>
      </c>
      <c r="B19" s="24"/>
      <c r="C19" s="55"/>
      <c r="D19" s="47"/>
      <c r="E19" s="24"/>
      <c r="F19" s="24"/>
      <c r="G19" s="24"/>
      <c r="H19" s="24"/>
      <c r="I19" s="24"/>
      <c r="J19" s="24"/>
      <c r="K19" s="56" t="str">
        <f>IF(OR(NOT(ISERROR(MATCH(RIGHT(B19,3)+0,#REF!,0))),NOT(ISERROR(MATCH(LEFT(B19,3)+0,#REF!,0)))),"No Post","")</f>
        <v/>
      </c>
    </row>
    <row r="20" spans="1:11" x14ac:dyDescent="0.35">
      <c r="A20" s="17">
        <v>14</v>
      </c>
      <c r="B20" s="24"/>
      <c r="C20" s="55"/>
      <c r="D20" s="47"/>
      <c r="E20" s="24"/>
      <c r="F20" s="24"/>
      <c r="G20" s="24"/>
      <c r="H20" s="24"/>
      <c r="I20" s="24"/>
      <c r="J20" s="24"/>
      <c r="K20" s="56" t="str">
        <f>IF(OR(NOT(ISERROR(MATCH(RIGHT(B20,3)+0,#REF!,0))),NOT(ISERROR(MATCH(LEFT(B20,3)+0,#REF!,0)))),"No Post","")</f>
        <v/>
      </c>
    </row>
    <row r="21" spans="1:11" x14ac:dyDescent="0.35">
      <c r="A21" s="17">
        <v>15</v>
      </c>
      <c r="B21" s="24"/>
      <c r="C21" s="55"/>
      <c r="D21" s="47"/>
      <c r="E21" s="24"/>
      <c r="F21" s="24"/>
      <c r="G21" s="24"/>
      <c r="H21" s="24"/>
      <c r="I21" s="24"/>
      <c r="J21" s="24"/>
      <c r="K21" s="56" t="str">
        <f>IF(OR(NOT(ISERROR(MATCH(RIGHT(B21,3)+0,#REF!,0))),NOT(ISERROR(MATCH(LEFT(B21,3)+0,#REF!,0)))),"No Post","")</f>
        <v/>
      </c>
    </row>
    <row r="22" spans="1:11" x14ac:dyDescent="0.35">
      <c r="A22" s="34">
        <v>16</v>
      </c>
      <c r="B22" s="35"/>
      <c r="C22" s="25"/>
      <c r="D22" s="37"/>
      <c r="E22" s="38"/>
      <c r="F22" s="38"/>
      <c r="G22" s="36"/>
      <c r="H22" s="24"/>
      <c r="I22" s="25"/>
      <c r="J22" s="25"/>
      <c r="K22" s="56" t="str">
        <f>IF(OR(NOT(ISERROR(MATCH(RIGHT(B22,3)+0,#REF!,0))),NOT(ISERROR(MATCH(LEFT(B22,3)+0,#REF!,0)))),"No Post","")</f>
        <v/>
      </c>
    </row>
    <row r="23" spans="1:11" x14ac:dyDescent="0.35">
      <c r="A23" s="17">
        <v>17</v>
      </c>
      <c r="B23" s="19"/>
      <c r="C23" s="33"/>
      <c r="D23" s="21"/>
      <c r="E23" s="39"/>
      <c r="F23" s="20"/>
      <c r="G23" s="18"/>
      <c r="H23" s="17"/>
      <c r="I23" s="33"/>
      <c r="J23" s="33"/>
      <c r="K23" s="56" t="str">
        <f>IF(OR(NOT(ISERROR(MATCH(RIGHT(B23,3)+0,#REF!,0))),NOT(ISERROR(MATCH(LEFT(B23,3)+0,#REF!,0)))),"No Post","")</f>
        <v/>
      </c>
    </row>
    <row r="24" spans="1:11" s="8" customFormat="1" ht="19.8" x14ac:dyDescent="0.4">
      <c r="A24" s="17">
        <v>18</v>
      </c>
      <c r="B24" s="19"/>
      <c r="C24" s="33"/>
      <c r="D24" s="21"/>
      <c r="E24" s="18"/>
      <c r="F24" s="18"/>
      <c r="G24" s="18"/>
      <c r="H24" s="17"/>
      <c r="I24" s="40"/>
      <c r="J24" s="40"/>
      <c r="K24" s="56" t="str">
        <f>IF(OR(NOT(ISERROR(MATCH(RIGHT(B24,3)+0,#REF!,0))),NOT(ISERROR(MATCH(LEFT(B24,3)+0,#REF!,0)))),"No Post","")</f>
        <v/>
      </c>
    </row>
    <row r="25" spans="1:11" x14ac:dyDescent="0.35">
      <c r="A25" s="17">
        <v>19</v>
      </c>
      <c r="B25" s="19"/>
      <c r="C25" s="33"/>
      <c r="D25" s="21"/>
      <c r="E25" s="18"/>
      <c r="F25" s="18"/>
      <c r="G25" s="18"/>
      <c r="H25" s="17"/>
      <c r="I25" s="33"/>
      <c r="J25" s="33"/>
      <c r="K25" s="56" t="str">
        <f>IF(OR(NOT(ISERROR(MATCH(RIGHT(B25,3)+0,#REF!,0))),NOT(ISERROR(MATCH(LEFT(B25,3)+0,#REF!,0)))),"No Post","")</f>
        <v/>
      </c>
    </row>
    <row r="26" spans="1:11" s="9" customFormat="1" x14ac:dyDescent="0.35">
      <c r="A26" s="17">
        <v>20</v>
      </c>
      <c r="B26" s="19"/>
      <c r="C26" s="33"/>
      <c r="D26" s="21"/>
      <c r="E26" s="18"/>
      <c r="F26" s="18"/>
      <c r="G26" s="18"/>
      <c r="H26" s="17"/>
      <c r="I26" s="33"/>
      <c r="J26" s="33"/>
      <c r="K26" s="56" t="str">
        <f>IF(OR(NOT(ISERROR(MATCH(RIGHT(B26,3)+0,#REF!,0))),NOT(ISERROR(MATCH(LEFT(B26,3)+0,#REF!,0)))),"No Post","")</f>
        <v/>
      </c>
    </row>
    <row r="27" spans="1:11" s="9" customFormat="1" ht="23.25" customHeight="1" x14ac:dyDescent="0.35">
      <c r="A27" s="1"/>
      <c r="B27" s="1"/>
      <c r="C27" s="1"/>
      <c r="D27" s="48" t="s">
        <v>18</v>
      </c>
      <c r="E27" s="16">
        <f>SUM(E7:E26)</f>
        <v>12</v>
      </c>
      <c r="F27" s="16">
        <f>SUM(F7:F26)</f>
        <v>1</v>
      </c>
      <c r="G27" s="1"/>
      <c r="H27" s="1"/>
    </row>
    <row r="28" spans="1:11" s="9" customFormat="1" ht="23.25" customHeight="1" x14ac:dyDescent="0.35">
      <c r="A28" s="1"/>
      <c r="B28" s="1"/>
      <c r="C28" s="1"/>
      <c r="D28" s="42"/>
      <c r="E28" s="1"/>
      <c r="F28" s="1"/>
      <c r="G28" s="1"/>
      <c r="H28" s="1"/>
    </row>
    <row r="29" spans="1:11" ht="20.25" customHeight="1" x14ac:dyDescent="0.35">
      <c r="B29" t="s">
        <v>7</v>
      </c>
      <c r="C29"/>
      <c r="D29" s="49"/>
      <c r="E29"/>
      <c r="F29"/>
      <c r="G29"/>
      <c r="H29"/>
    </row>
    <row r="30" spans="1:11" ht="20.25" customHeight="1" x14ac:dyDescent="0.35">
      <c r="B30" s="10" t="s">
        <v>8</v>
      </c>
      <c r="C30" s="10"/>
      <c r="D30" s="50"/>
      <c r="E30" s="10"/>
      <c r="F30" s="10"/>
      <c r="G30" s="10"/>
      <c r="H30" s="10"/>
    </row>
    <row r="31" spans="1:11" ht="20.25" customHeight="1" x14ac:dyDescent="0.35">
      <c r="B31" s="10" t="s">
        <v>9</v>
      </c>
      <c r="C31" s="10"/>
      <c r="D31" s="50"/>
      <c r="E31" s="10"/>
      <c r="F31" s="10"/>
      <c r="G31" s="10"/>
      <c r="H31" s="10"/>
    </row>
    <row r="32" spans="1:11" ht="20.25" customHeight="1" x14ac:dyDescent="0.35">
      <c r="B32" s="10" t="s">
        <v>10</v>
      </c>
      <c r="C32" s="10"/>
      <c r="D32" s="50"/>
      <c r="E32" s="10"/>
      <c r="F32" s="10"/>
      <c r="G32" s="10"/>
      <c r="H32" s="10"/>
    </row>
    <row r="33" spans="2:8" x14ac:dyDescent="0.35">
      <c r="B33" s="10" t="s">
        <v>11</v>
      </c>
      <c r="C33" s="10"/>
      <c r="D33" s="50"/>
      <c r="E33" s="10"/>
      <c r="F33" s="10"/>
      <c r="G33" s="10"/>
      <c r="H33" s="10"/>
    </row>
    <row r="34" spans="2:8" x14ac:dyDescent="0.35">
      <c r="B34" s="10" t="s">
        <v>12</v>
      </c>
      <c r="C34" s="10"/>
      <c r="D34" s="50"/>
      <c r="E34" s="10"/>
      <c r="F34" s="10"/>
      <c r="G34" s="10"/>
      <c r="H34" s="10"/>
    </row>
    <row r="35" spans="2:8" x14ac:dyDescent="0.35">
      <c r="B35" s="10" t="s">
        <v>13</v>
      </c>
      <c r="C35" s="10"/>
      <c r="D35" s="50"/>
      <c r="E35" s="10"/>
      <c r="F35" s="10"/>
      <c r="G35" s="10"/>
      <c r="H35" s="10"/>
    </row>
    <row r="36" spans="2:8" s="12" customFormat="1" ht="15.6" x14ac:dyDescent="0.3">
      <c r="B36" s="11" t="s">
        <v>14</v>
      </c>
      <c r="C36" s="11"/>
      <c r="D36" s="51"/>
      <c r="E36" s="11"/>
      <c r="F36" s="11"/>
      <c r="G36" s="11"/>
    </row>
    <row r="37" spans="2:8" s="12" customFormat="1" ht="15.6" x14ac:dyDescent="0.3">
      <c r="B37" s="11" t="s">
        <v>15</v>
      </c>
      <c r="C37" s="11"/>
      <c r="D37" s="51"/>
      <c r="E37" s="11"/>
      <c r="F37" s="11"/>
      <c r="G37" s="11"/>
    </row>
    <row r="38" spans="2:8" s="14" customFormat="1" ht="20.25" customHeight="1" x14ac:dyDescent="0.35">
      <c r="B38" s="13" t="s">
        <v>16</v>
      </c>
      <c r="C38" s="13"/>
      <c r="D38" s="52"/>
    </row>
    <row r="39" spans="2:8" customFormat="1" ht="14.4" x14ac:dyDescent="0.3">
      <c r="B39" s="15"/>
      <c r="C39" s="10"/>
      <c r="D39" s="50"/>
      <c r="E39" s="10"/>
      <c r="F39" s="10"/>
      <c r="G39" s="10"/>
      <c r="H39" s="10"/>
    </row>
    <row r="40" spans="2:8" x14ac:dyDescent="0.35">
      <c r="B40" s="10"/>
      <c r="C40" s="10"/>
      <c r="D40" s="50"/>
      <c r="E40" s="10"/>
      <c r="F40" s="10"/>
      <c r="G40" s="10"/>
      <c r="H40" s="10"/>
    </row>
    <row r="41" spans="2:8" x14ac:dyDescent="0.35">
      <c r="B41" s="15"/>
      <c r="C41" s="10"/>
      <c r="D41" s="50"/>
      <c r="E41" s="10"/>
      <c r="F41" s="10"/>
      <c r="G41" s="10"/>
      <c r="H41" s="10"/>
    </row>
    <row r="42" spans="2:8" x14ac:dyDescent="0.35">
      <c r="B42" s="10"/>
      <c r="C42" s="10"/>
      <c r="D42" s="50"/>
      <c r="E42" s="10"/>
      <c r="F42" s="10"/>
      <c r="G42" s="10"/>
      <c r="H42" s="10"/>
    </row>
    <row r="44" spans="2:8" x14ac:dyDescent="0.35">
      <c r="B44" s="9"/>
      <c r="C44" s="9"/>
      <c r="D44" s="53"/>
      <c r="E44" s="9"/>
      <c r="F44" s="9"/>
      <c r="G44" s="9"/>
      <c r="H44" s="9"/>
    </row>
    <row r="59" spans="2:8" x14ac:dyDescent="0.35">
      <c r="B59" s="10"/>
      <c r="C59" s="10"/>
      <c r="D59" s="50"/>
      <c r="E59" s="10"/>
      <c r="F59" s="10"/>
      <c r="G59" s="10"/>
      <c r="H59" s="10"/>
    </row>
    <row r="60" spans="2:8" x14ac:dyDescent="0.35">
      <c r="B60" s="10"/>
      <c r="C60" s="10"/>
      <c r="D60" s="50"/>
      <c r="E60" s="10"/>
      <c r="F60" s="10"/>
      <c r="G60" s="10"/>
      <c r="H60" s="10"/>
    </row>
    <row r="61" spans="2:8" x14ac:dyDescent="0.35">
      <c r="B61" s="10"/>
      <c r="C61" s="10"/>
      <c r="D61" s="50"/>
      <c r="E61" s="10"/>
      <c r="F61" s="10"/>
      <c r="G61" s="10"/>
      <c r="H61" s="10"/>
    </row>
    <row r="62" spans="2:8" x14ac:dyDescent="0.35">
      <c r="B62" s="15"/>
      <c r="C62" s="10"/>
      <c r="D62" s="50"/>
      <c r="E62" s="10"/>
      <c r="F62" s="10"/>
      <c r="G62" s="10"/>
      <c r="H62" s="10"/>
    </row>
    <row r="63" spans="2:8" x14ac:dyDescent="0.35">
      <c r="B63" s="10"/>
      <c r="C63" s="10"/>
      <c r="D63" s="50"/>
      <c r="E63" s="10"/>
      <c r="F63" s="10"/>
      <c r="G63" s="10"/>
      <c r="H63" s="10"/>
    </row>
  </sheetData>
  <customSheetViews>
    <customSheetView guid="{AA8333F4-A272-457D-BE6D-1B569A227B28}" showPageBreaks="1" fitToPage="1" printArea="1">
      <selection activeCell="C17" sqref="C17"/>
      <pageMargins left="0.7" right="0.7" top="0.75" bottom="0.75" header="0.3" footer="0.3"/>
      <printOptions horizontalCentered="1"/>
      <pageSetup paperSize="9" scale="84" fitToHeight="0" orientation="landscape" r:id="rId1"/>
    </customSheetView>
    <customSheetView guid="{3FD70E66-B699-4089-A2E2-369960B2F041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E61425CB-9FE7-4F79-BE47-5DC477A1BA8E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r:id="rId3"/>
    </customSheetView>
    <customSheetView guid="{C196B21B-5907-4E7A-90A7-4D3D9BC207B9}" showPageBreaks="1" fitToPage="1" printArea="1">
      <selection activeCell="B10" sqref="B10"/>
      <pageMargins left="0.7" right="0.7" top="0.75" bottom="0.75" header="0.3" footer="0.3"/>
      <printOptions horizontalCentered="1"/>
      <pageSetup paperSize="9" scale="84" fitToHeight="0" orientation="landscape" r:id="rId4"/>
    </customSheetView>
  </customSheetViews>
  <conditionalFormatting sqref="K7:K26">
    <cfRule type="containsText" dxfId="9" priority="1" operator="containsText" text="No Post">
      <formula>NOT(ISERROR(SEARCH("No Post",K7)))</formula>
    </cfRule>
  </conditionalFormatting>
  <printOptions horizontalCentered="1"/>
  <pageMargins left="0.7" right="0.7" top="0.75" bottom="0.75" header="0.3" footer="0.3"/>
  <pageSetup paperSize="9" scale="84" fitToHeight="0" orientation="landscape" r:id="rId5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5"/>
  <sheetViews>
    <sheetView zoomScaleNormal="100" zoomScaleSheetLayoutView="100" zoomScalePageLayoutView="90" workbookViewId="0">
      <selection activeCell="F7" activeCellId="7" sqref="E7 E9 E10 E11 E12 E13 F10 F7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42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41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3"/>
    </row>
    <row r="5" spans="1:11" s="7" customFormat="1" ht="23.4" x14ac:dyDescent="0.45">
      <c r="A5" s="26" t="s">
        <v>22</v>
      </c>
      <c r="B5" s="27"/>
      <c r="C5" s="27"/>
      <c r="D5" s="44"/>
      <c r="E5" s="27"/>
      <c r="F5" s="27"/>
      <c r="G5" s="27"/>
      <c r="H5" s="27"/>
      <c r="I5" s="28" t="s">
        <v>1</v>
      </c>
      <c r="J5" s="22" t="str">
        <f ca="1">CONCATENATE((MID(CELL("filename",J5),FIND("]",CELL("filename",J5))+1,255)),"/04/2026")</f>
        <v>11/04/2026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5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4">
        <v>1</v>
      </c>
      <c r="B7" s="68">
        <v>653</v>
      </c>
      <c r="C7" s="35" t="s">
        <v>34</v>
      </c>
      <c r="D7" s="58">
        <v>46132</v>
      </c>
      <c r="E7" s="35">
        <v>2</v>
      </c>
      <c r="F7" s="35">
        <v>2</v>
      </c>
      <c r="G7" s="69"/>
      <c r="H7" s="69"/>
      <c r="I7" s="35">
        <v>2927678</v>
      </c>
      <c r="J7" s="35" t="s">
        <v>31</v>
      </c>
      <c r="K7" s="56" t="str">
        <f>IF(OR(NOT(ISERROR(MATCH(RIGHT(B7,3)+0,#REF!,0))),NOT(ISERROR(MATCH(LEFT(B7,3)+0,#REF!,0)))),"No Post","")</f>
        <v/>
      </c>
    </row>
    <row r="8" spans="1:11" x14ac:dyDescent="0.35">
      <c r="A8" s="17">
        <v>2</v>
      </c>
      <c r="B8" s="35">
        <v>802</v>
      </c>
      <c r="C8" s="70" t="s">
        <v>35</v>
      </c>
      <c r="D8" s="58">
        <v>46124</v>
      </c>
      <c r="E8" s="35" t="s">
        <v>62</v>
      </c>
      <c r="F8" s="35"/>
      <c r="G8" s="35"/>
      <c r="H8" s="35"/>
      <c r="I8" s="71" t="s">
        <v>36</v>
      </c>
      <c r="J8" s="35" t="s">
        <v>37</v>
      </c>
      <c r="K8" s="56" t="str">
        <f>IF(OR(NOT(ISERROR(MATCH(RIGHT(B8,3)+0,#REF!,0))),NOT(ISERROR(MATCH(LEFT(B8,3)+0,#REF!,0)))),"No Post","")</f>
        <v/>
      </c>
    </row>
    <row r="9" spans="1:11" x14ac:dyDescent="0.35">
      <c r="A9" s="17">
        <v>3</v>
      </c>
      <c r="B9" s="68">
        <v>852</v>
      </c>
      <c r="C9" s="35" t="s">
        <v>54</v>
      </c>
      <c r="D9" s="58">
        <v>46124</v>
      </c>
      <c r="E9" s="35">
        <v>2</v>
      </c>
      <c r="F9" s="35"/>
      <c r="G9" s="35"/>
      <c r="H9" s="35"/>
      <c r="I9" s="72"/>
      <c r="J9" s="35" t="s">
        <v>55</v>
      </c>
      <c r="K9" s="56" t="str">
        <f>IF(OR(NOT(ISERROR(MATCH(RIGHT(B9,3)+0,#REF!,0))),NOT(ISERROR(MATCH(LEFT(B9,3)+0,#REF!,0)))),"No Post","")</f>
        <v/>
      </c>
    </row>
    <row r="10" spans="1:11" x14ac:dyDescent="0.35">
      <c r="A10" s="17">
        <v>4</v>
      </c>
      <c r="B10" s="35">
        <v>613</v>
      </c>
      <c r="C10" s="35" t="s">
        <v>52</v>
      </c>
      <c r="D10" s="58">
        <v>46124</v>
      </c>
      <c r="E10" s="35">
        <v>2</v>
      </c>
      <c r="F10" s="35">
        <v>1</v>
      </c>
      <c r="G10" s="35"/>
      <c r="H10" s="35"/>
      <c r="I10" s="35"/>
      <c r="J10" s="35" t="s">
        <v>66</v>
      </c>
      <c r="K10" s="56" t="str">
        <f>IF(OR(NOT(ISERROR(MATCH(RIGHT(B10,3)+0,#REF!,0))),NOT(ISERROR(MATCH(LEFT(B10,3)+0,#REF!,0)))),"No Post","")</f>
        <v/>
      </c>
    </row>
    <row r="11" spans="1:11" x14ac:dyDescent="0.35">
      <c r="A11" s="17">
        <v>5</v>
      </c>
      <c r="B11" s="35">
        <v>604</v>
      </c>
      <c r="C11" s="35" t="s">
        <v>67</v>
      </c>
      <c r="D11" s="58">
        <v>46124</v>
      </c>
      <c r="E11" s="35">
        <v>2</v>
      </c>
      <c r="F11" s="35"/>
      <c r="G11" s="35"/>
      <c r="H11" s="35"/>
      <c r="I11" s="35"/>
      <c r="J11" s="35" t="s">
        <v>66</v>
      </c>
      <c r="K11" s="56" t="str">
        <f>IF(OR(NOT(ISERROR(MATCH(RIGHT(B11,3)+0,#REF!,0))),NOT(ISERROR(MATCH(LEFT(B11,3)+0,#REF!,0)))),"No Post","")</f>
        <v/>
      </c>
    </row>
    <row r="12" spans="1:11" x14ac:dyDescent="0.35">
      <c r="A12" s="34">
        <v>6</v>
      </c>
      <c r="B12" s="68">
        <v>805</v>
      </c>
      <c r="C12" s="35" t="s">
        <v>78</v>
      </c>
      <c r="D12" s="58">
        <v>46129</v>
      </c>
      <c r="E12" s="35">
        <v>2</v>
      </c>
      <c r="F12" s="35"/>
      <c r="G12" s="35"/>
      <c r="H12" s="35"/>
      <c r="I12" s="35"/>
      <c r="J12" s="35" t="s">
        <v>68</v>
      </c>
      <c r="K12" s="56" t="str">
        <f>IF(OR(NOT(ISERROR(MATCH(RIGHT(B12,3)+0,#REF!,0))),NOT(ISERROR(MATCH(LEFT(B12,3)+0,#REF!,0)))),"No Post","")</f>
        <v/>
      </c>
    </row>
    <row r="13" spans="1:11" x14ac:dyDescent="0.35">
      <c r="A13" s="34"/>
      <c r="B13" s="68">
        <v>841</v>
      </c>
      <c r="C13" s="35" t="s">
        <v>69</v>
      </c>
      <c r="D13" s="58">
        <v>46125</v>
      </c>
      <c r="E13" s="35">
        <v>1</v>
      </c>
      <c r="F13" s="35"/>
      <c r="G13" s="35"/>
      <c r="H13" s="35"/>
      <c r="I13" s="35"/>
      <c r="J13" s="35" t="s">
        <v>70</v>
      </c>
      <c r="K13" s="56"/>
    </row>
    <row r="14" spans="1:11" x14ac:dyDescent="0.35">
      <c r="A14" s="34"/>
      <c r="B14" s="35"/>
      <c r="C14" s="69" t="s">
        <v>71</v>
      </c>
      <c r="D14" s="58"/>
      <c r="E14" s="35">
        <v>2</v>
      </c>
      <c r="F14" s="35"/>
      <c r="G14" s="35"/>
      <c r="H14" s="35"/>
      <c r="I14" s="35"/>
      <c r="J14" s="35"/>
      <c r="K14" s="56"/>
    </row>
    <row r="15" spans="1:11" x14ac:dyDescent="0.35">
      <c r="A15" s="17">
        <v>7</v>
      </c>
      <c r="B15" s="24"/>
      <c r="C15" s="66" t="s">
        <v>42</v>
      </c>
      <c r="D15" s="47"/>
      <c r="E15" s="24"/>
      <c r="F15" s="24"/>
      <c r="G15" s="24"/>
      <c r="H15" s="24"/>
      <c r="I15" s="24"/>
      <c r="J15" s="24"/>
      <c r="K15" s="56" t="str">
        <f>IF(OR(NOT(ISERROR(MATCH(RIGHT(B15,3)+0,#REF!,0))),NOT(ISERROR(MATCH(LEFT(B15,3)+0,#REF!,0)))),"No Post","")</f>
        <v/>
      </c>
    </row>
    <row r="16" spans="1:11" x14ac:dyDescent="0.35">
      <c r="A16" s="17">
        <v>8</v>
      </c>
      <c r="B16" s="24"/>
      <c r="C16" s="55"/>
      <c r="D16" s="47"/>
      <c r="E16" s="24"/>
      <c r="F16" s="24"/>
      <c r="G16" s="24"/>
      <c r="H16" s="24"/>
      <c r="I16" s="24"/>
      <c r="J16" s="24"/>
      <c r="K16" s="56" t="str">
        <f>IF(OR(NOT(ISERROR(MATCH(RIGHT(B16,3)+0,#REF!,0))),NOT(ISERROR(MATCH(LEFT(B16,3)+0,#REF!,0)))),"No Post","")</f>
        <v/>
      </c>
    </row>
    <row r="17" spans="1:11" x14ac:dyDescent="0.35">
      <c r="A17" s="17">
        <v>9</v>
      </c>
      <c r="B17" s="24"/>
      <c r="C17" s="55"/>
      <c r="D17" s="47"/>
      <c r="E17" s="24"/>
      <c r="F17" s="24"/>
      <c r="G17" s="24"/>
      <c r="H17" s="24"/>
      <c r="I17" s="24"/>
      <c r="J17" s="24"/>
      <c r="K17" s="56" t="str">
        <f>IF(OR(NOT(ISERROR(MATCH(RIGHT(B17,3)+0,#REF!,0))),NOT(ISERROR(MATCH(LEFT(B17,3)+0,#REF!,0)))),"No Post","")</f>
        <v/>
      </c>
    </row>
    <row r="18" spans="1:11" x14ac:dyDescent="0.35">
      <c r="A18" s="17">
        <v>10</v>
      </c>
      <c r="B18" s="24"/>
      <c r="C18" s="55"/>
      <c r="D18" s="47"/>
      <c r="E18" s="24"/>
      <c r="F18" s="24"/>
      <c r="G18" s="24"/>
      <c r="H18" s="24"/>
      <c r="I18" s="24"/>
      <c r="J18" s="24"/>
      <c r="K18" s="56" t="str">
        <f>IF(OR(NOT(ISERROR(MATCH(RIGHT(B18,3)+0,#REF!,0))),NOT(ISERROR(MATCH(LEFT(B18,3)+0,#REF!,0)))),"No Post","")</f>
        <v/>
      </c>
    </row>
    <row r="19" spans="1:11" x14ac:dyDescent="0.35">
      <c r="A19" s="34">
        <v>11</v>
      </c>
      <c r="B19" s="24"/>
      <c r="C19" s="55"/>
      <c r="D19" s="47"/>
      <c r="E19" s="24"/>
      <c r="F19" s="24"/>
      <c r="G19" s="24"/>
      <c r="H19" s="24"/>
      <c r="I19" s="24"/>
      <c r="J19" s="24"/>
      <c r="K19" s="56" t="str">
        <f>IF(OR(NOT(ISERROR(MATCH(RIGHT(B19,3)+0,#REF!,0))),NOT(ISERROR(MATCH(LEFT(B19,3)+0,#REF!,0)))),"No Post","")</f>
        <v/>
      </c>
    </row>
    <row r="20" spans="1:11" x14ac:dyDescent="0.35">
      <c r="A20" s="17">
        <v>12</v>
      </c>
      <c r="B20" s="24"/>
      <c r="C20" s="55"/>
      <c r="D20" s="47"/>
      <c r="E20" s="24"/>
      <c r="F20" s="24"/>
      <c r="G20" s="24"/>
      <c r="H20" s="24"/>
      <c r="I20" s="24"/>
      <c r="J20" s="24"/>
      <c r="K20" s="56" t="str">
        <f>IF(OR(NOT(ISERROR(MATCH(RIGHT(B20,3)+0,#REF!,0))),NOT(ISERROR(MATCH(LEFT(B20,3)+0,#REF!,0)))),"No Post","")</f>
        <v/>
      </c>
    </row>
    <row r="21" spans="1:11" x14ac:dyDescent="0.35">
      <c r="A21" s="17">
        <v>13</v>
      </c>
      <c r="B21" s="24"/>
      <c r="C21" s="55"/>
      <c r="D21" s="47"/>
      <c r="E21" s="24"/>
      <c r="F21" s="24"/>
      <c r="G21" s="24"/>
      <c r="H21" s="24"/>
      <c r="I21" s="24"/>
      <c r="J21" s="24"/>
      <c r="K21" s="56" t="str">
        <f>IF(OR(NOT(ISERROR(MATCH(RIGHT(B21,3)+0,#REF!,0))),NOT(ISERROR(MATCH(LEFT(B21,3)+0,#REF!,0)))),"No Post","")</f>
        <v/>
      </c>
    </row>
    <row r="22" spans="1:11" x14ac:dyDescent="0.35">
      <c r="A22" s="17">
        <v>14</v>
      </c>
      <c r="B22" s="24"/>
      <c r="C22" s="55"/>
      <c r="D22" s="47"/>
      <c r="E22" s="24"/>
      <c r="F22" s="24"/>
      <c r="G22" s="24"/>
      <c r="H22" s="24"/>
      <c r="I22" s="24"/>
      <c r="J22" s="24"/>
      <c r="K22" s="56" t="str">
        <f>IF(OR(NOT(ISERROR(MATCH(RIGHT(B22,3)+0,#REF!,0))),NOT(ISERROR(MATCH(LEFT(B22,3)+0,#REF!,0)))),"No Post","")</f>
        <v/>
      </c>
    </row>
    <row r="23" spans="1:11" x14ac:dyDescent="0.35">
      <c r="A23" s="17">
        <v>15</v>
      </c>
      <c r="B23" s="24"/>
      <c r="C23" s="55"/>
      <c r="D23" s="47"/>
      <c r="E23" s="24"/>
      <c r="F23" s="24"/>
      <c r="G23" s="24"/>
      <c r="H23" s="24"/>
      <c r="I23" s="24"/>
      <c r="J23" s="24"/>
      <c r="K23" s="56" t="str">
        <f>IF(OR(NOT(ISERROR(MATCH(RIGHT(B23,3)+0,#REF!,0))),NOT(ISERROR(MATCH(LEFT(B23,3)+0,#REF!,0)))),"No Post","")</f>
        <v/>
      </c>
    </row>
    <row r="24" spans="1:11" x14ac:dyDescent="0.35">
      <c r="A24" s="34">
        <v>16</v>
      </c>
      <c r="B24" s="35"/>
      <c r="C24" s="25"/>
      <c r="D24" s="37"/>
      <c r="E24" s="38"/>
      <c r="F24" s="38"/>
      <c r="G24" s="36"/>
      <c r="H24" s="24"/>
      <c r="I24" s="25"/>
      <c r="J24" s="25"/>
      <c r="K24" s="56" t="str">
        <f>IF(OR(NOT(ISERROR(MATCH(RIGHT(B24,3)+0,#REF!,0))),NOT(ISERROR(MATCH(LEFT(B24,3)+0,#REF!,0)))),"No Post","")</f>
        <v/>
      </c>
    </row>
    <row r="25" spans="1:11" x14ac:dyDescent="0.35">
      <c r="A25" s="17">
        <v>17</v>
      </c>
      <c r="B25" s="19"/>
      <c r="C25" s="33"/>
      <c r="D25" s="21"/>
      <c r="E25" s="39"/>
      <c r="F25" s="20"/>
      <c r="G25" s="18"/>
      <c r="H25" s="17"/>
      <c r="I25" s="33"/>
      <c r="J25" s="33"/>
      <c r="K25" s="56" t="str">
        <f>IF(OR(NOT(ISERROR(MATCH(RIGHT(B25,3)+0,#REF!,0))),NOT(ISERROR(MATCH(LEFT(B25,3)+0,#REF!,0)))),"No Post","")</f>
        <v/>
      </c>
    </row>
    <row r="26" spans="1:11" s="8" customFormat="1" ht="19.8" x14ac:dyDescent="0.4">
      <c r="A26" s="17">
        <v>18</v>
      </c>
      <c r="B26" s="19"/>
      <c r="C26" s="33"/>
      <c r="D26" s="21"/>
      <c r="E26" s="18"/>
      <c r="F26" s="18"/>
      <c r="G26" s="18"/>
      <c r="H26" s="17"/>
      <c r="I26" s="40"/>
      <c r="J26" s="40"/>
      <c r="K26" s="56" t="str">
        <f>IF(OR(NOT(ISERROR(MATCH(RIGHT(B26,3)+0,#REF!,0))),NOT(ISERROR(MATCH(LEFT(B26,3)+0,#REF!,0)))),"No Post","")</f>
        <v/>
      </c>
    </row>
    <row r="27" spans="1:11" x14ac:dyDescent="0.35">
      <c r="A27" s="17">
        <v>19</v>
      </c>
      <c r="B27" s="19"/>
      <c r="C27" s="33"/>
      <c r="D27" s="21"/>
      <c r="E27" s="18"/>
      <c r="F27" s="18"/>
      <c r="G27" s="18"/>
      <c r="H27" s="17"/>
      <c r="I27" s="33"/>
      <c r="J27" s="33"/>
      <c r="K27" s="56" t="str">
        <f>IF(OR(NOT(ISERROR(MATCH(RIGHT(B27,3)+0,#REF!,0))),NOT(ISERROR(MATCH(LEFT(B27,3)+0,#REF!,0)))),"No Post","")</f>
        <v/>
      </c>
    </row>
    <row r="28" spans="1:11" s="9" customFormat="1" x14ac:dyDescent="0.35">
      <c r="A28" s="17">
        <v>20</v>
      </c>
      <c r="B28" s="19"/>
      <c r="C28" s="33"/>
      <c r="D28" s="21"/>
      <c r="E28" s="18"/>
      <c r="F28" s="18"/>
      <c r="G28" s="18"/>
      <c r="H28" s="17"/>
      <c r="I28" s="33"/>
      <c r="J28" s="33"/>
      <c r="K28" s="56" t="str">
        <f>IF(OR(NOT(ISERROR(MATCH(RIGHT(B28,3)+0,#REF!,0))),NOT(ISERROR(MATCH(LEFT(B28,3)+0,#REF!,0)))),"No Post","")</f>
        <v/>
      </c>
    </row>
    <row r="29" spans="1:11" s="9" customFormat="1" ht="23.25" customHeight="1" x14ac:dyDescent="0.35">
      <c r="A29" s="1"/>
      <c r="B29" s="1"/>
      <c r="C29" s="1"/>
      <c r="D29" s="48" t="s">
        <v>18</v>
      </c>
      <c r="E29" s="16">
        <f>SUM(E24:E28)</f>
        <v>0</v>
      </c>
      <c r="F29" s="16">
        <f>SUM(F24:F28)</f>
        <v>0</v>
      </c>
      <c r="G29" s="1"/>
      <c r="H29" s="1"/>
    </row>
    <row r="30" spans="1:11" s="9" customFormat="1" ht="23.25" customHeight="1" x14ac:dyDescent="0.35">
      <c r="A30" s="1"/>
      <c r="B30" s="1"/>
      <c r="C30" s="1"/>
      <c r="D30" s="42"/>
      <c r="E30" s="1"/>
      <c r="F30" s="1"/>
      <c r="G30" s="1"/>
      <c r="H30" s="1"/>
    </row>
    <row r="31" spans="1:11" ht="20.25" customHeight="1" x14ac:dyDescent="0.35">
      <c r="B31" t="s">
        <v>7</v>
      </c>
      <c r="C31"/>
      <c r="D31" s="49"/>
      <c r="E31"/>
      <c r="F31"/>
      <c r="G31"/>
      <c r="H31"/>
    </row>
    <row r="32" spans="1:11" ht="20.25" customHeight="1" x14ac:dyDescent="0.35">
      <c r="B32" s="10" t="s">
        <v>8</v>
      </c>
      <c r="C32" s="10"/>
      <c r="D32" s="50"/>
      <c r="E32" s="10"/>
      <c r="F32" s="10"/>
      <c r="G32" s="10"/>
      <c r="H32" s="10"/>
    </row>
    <row r="33" spans="2:8" ht="20.25" customHeight="1" x14ac:dyDescent="0.35">
      <c r="B33" s="10" t="s">
        <v>9</v>
      </c>
      <c r="C33" s="10"/>
      <c r="D33" s="50"/>
      <c r="E33" s="10"/>
      <c r="F33" s="10"/>
      <c r="G33" s="10"/>
      <c r="H33" s="10"/>
    </row>
    <row r="34" spans="2:8" ht="20.25" customHeight="1" x14ac:dyDescent="0.35">
      <c r="B34" s="10" t="s">
        <v>10</v>
      </c>
      <c r="C34" s="10"/>
      <c r="D34" s="50"/>
      <c r="E34" s="10"/>
      <c r="F34" s="10"/>
      <c r="G34" s="10"/>
      <c r="H34" s="10"/>
    </row>
    <row r="35" spans="2:8" x14ac:dyDescent="0.35">
      <c r="B35" s="10" t="s">
        <v>11</v>
      </c>
      <c r="C35" s="10"/>
      <c r="D35" s="50"/>
      <c r="E35" s="10"/>
      <c r="F35" s="10"/>
      <c r="G35" s="10"/>
      <c r="H35" s="10"/>
    </row>
    <row r="36" spans="2:8" x14ac:dyDescent="0.35">
      <c r="B36" s="10" t="s">
        <v>12</v>
      </c>
      <c r="C36" s="10"/>
      <c r="D36" s="50"/>
      <c r="E36" s="10"/>
      <c r="F36" s="10"/>
      <c r="G36" s="10"/>
      <c r="H36" s="10"/>
    </row>
    <row r="37" spans="2:8" x14ac:dyDescent="0.35">
      <c r="B37" s="10" t="s">
        <v>13</v>
      </c>
      <c r="C37" s="10"/>
      <c r="D37" s="50"/>
      <c r="E37" s="10"/>
      <c r="F37" s="10"/>
      <c r="G37" s="10"/>
      <c r="H37" s="10"/>
    </row>
    <row r="38" spans="2:8" s="12" customFormat="1" ht="15.6" x14ac:dyDescent="0.3">
      <c r="B38" s="11" t="s">
        <v>14</v>
      </c>
      <c r="C38" s="11"/>
      <c r="D38" s="51"/>
      <c r="E38" s="11"/>
      <c r="F38" s="11"/>
      <c r="G38" s="11"/>
    </row>
    <row r="39" spans="2:8" s="12" customFormat="1" ht="15.6" x14ac:dyDescent="0.3">
      <c r="B39" s="11" t="s">
        <v>15</v>
      </c>
      <c r="C39" s="11"/>
      <c r="D39" s="51"/>
      <c r="E39" s="11"/>
      <c r="F39" s="11"/>
      <c r="G39" s="11"/>
    </row>
    <row r="40" spans="2:8" s="14" customFormat="1" ht="20.25" customHeight="1" x14ac:dyDescent="0.35">
      <c r="B40" s="13" t="s">
        <v>16</v>
      </c>
      <c r="C40" s="13"/>
      <c r="D40" s="52"/>
    </row>
    <row r="41" spans="2:8" customFormat="1" ht="14.4" x14ac:dyDescent="0.3">
      <c r="B41" s="15"/>
      <c r="C41" s="10"/>
      <c r="D41" s="50"/>
      <c r="E41" s="10"/>
      <c r="F41" s="10"/>
      <c r="G41" s="10"/>
      <c r="H41" s="10"/>
    </row>
    <row r="42" spans="2:8" x14ac:dyDescent="0.35">
      <c r="B42" s="10"/>
      <c r="C42" s="10"/>
      <c r="D42" s="50"/>
      <c r="E42" s="10"/>
      <c r="F42" s="10"/>
      <c r="G42" s="10"/>
      <c r="H42" s="10"/>
    </row>
    <row r="43" spans="2:8" x14ac:dyDescent="0.35">
      <c r="B43" s="15"/>
      <c r="C43" s="10"/>
      <c r="D43" s="50"/>
      <c r="E43" s="10"/>
      <c r="F43" s="10"/>
      <c r="G43" s="10"/>
      <c r="H43" s="10"/>
    </row>
    <row r="44" spans="2:8" x14ac:dyDescent="0.35">
      <c r="B44" s="10"/>
      <c r="C44" s="10"/>
      <c r="D44" s="50"/>
      <c r="E44" s="10"/>
      <c r="F44" s="10"/>
      <c r="G44" s="10"/>
      <c r="H44" s="10"/>
    </row>
    <row r="46" spans="2:8" x14ac:dyDescent="0.35">
      <c r="B46" s="9"/>
      <c r="C46" s="9"/>
      <c r="D46" s="53"/>
      <c r="E46" s="9"/>
      <c r="F46" s="9"/>
      <c r="G46" s="9"/>
      <c r="H46" s="9"/>
    </row>
    <row r="61" spans="2:8" x14ac:dyDescent="0.35">
      <c r="B61" s="10"/>
      <c r="C61" s="10"/>
      <c r="D61" s="50"/>
      <c r="E61" s="10"/>
      <c r="F61" s="10"/>
      <c r="G61" s="10"/>
      <c r="H61" s="10"/>
    </row>
    <row r="62" spans="2:8" x14ac:dyDescent="0.35">
      <c r="B62" s="10"/>
      <c r="C62" s="10"/>
      <c r="D62" s="50"/>
      <c r="E62" s="10"/>
      <c r="F62" s="10"/>
      <c r="G62" s="10"/>
      <c r="H62" s="10"/>
    </row>
    <row r="63" spans="2:8" x14ac:dyDescent="0.35">
      <c r="B63" s="10"/>
      <c r="C63" s="10"/>
      <c r="D63" s="50"/>
      <c r="E63" s="10"/>
      <c r="F63" s="10"/>
      <c r="G63" s="10"/>
      <c r="H63" s="10"/>
    </row>
    <row r="64" spans="2:8" x14ac:dyDescent="0.35">
      <c r="B64" s="15"/>
      <c r="C64" s="10"/>
      <c r="D64" s="50"/>
      <c r="E64" s="10"/>
      <c r="F64" s="10"/>
      <c r="G64" s="10"/>
      <c r="H64" s="10"/>
    </row>
    <row r="65" spans="2:8" x14ac:dyDescent="0.35">
      <c r="B65" s="10"/>
      <c r="C65" s="10"/>
      <c r="D65" s="50"/>
      <c r="E65" s="10"/>
      <c r="F65" s="10"/>
      <c r="G65" s="10"/>
      <c r="H65" s="10"/>
    </row>
  </sheetData>
  <customSheetViews>
    <customSheetView guid="{AA8333F4-A272-457D-BE6D-1B569A227B28}" showPageBreaks="1" fitToPage="1" printArea="1">
      <selection activeCell="F7" activeCellId="7" sqref="E7 E9 E10 E11 E12 E13 F10 F7"/>
      <pageMargins left="0.7" right="0.7" top="0.75" bottom="0.75" header="0.3" footer="0.3"/>
      <printOptions horizontalCentered="1"/>
      <pageSetup paperSize="9" scale="84" fitToHeight="0" orientation="landscape" r:id="rId1"/>
    </customSheetView>
    <customSheetView guid="{3FD70E66-B699-4089-A2E2-369960B2F041}" fitToPage="1">
      <selection activeCell="B7" sqref="B7:J7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E61425CB-9FE7-4F79-BE47-5DC477A1BA8E}" fitToPage="1">
      <selection activeCell="C14" sqref="C14"/>
      <pageMargins left="0.7" right="0.7" top="0.75" bottom="0.75" header="0.3" footer="0.3"/>
      <printOptions horizontalCentered="1"/>
      <pageSetup paperSize="9" scale="84" fitToHeight="0" orientation="landscape" r:id="rId3"/>
    </customSheetView>
    <customSheetView guid="{C196B21B-5907-4E7A-90A7-4D3D9BC207B9}" showPageBreaks="1" fitToPage="1" printArea="1">
      <selection activeCell="C16" sqref="C16"/>
      <pageMargins left="0.7" right="0.7" top="0.75" bottom="0.75" header="0.3" footer="0.3"/>
      <printOptions horizontalCentered="1"/>
      <pageSetup paperSize="9" scale="84" fitToHeight="0" orientation="landscape" r:id="rId4"/>
    </customSheetView>
  </customSheetViews>
  <conditionalFormatting sqref="K7:K28">
    <cfRule type="containsText" dxfId="8" priority="1" operator="containsText" text="No Post">
      <formula>NOT(ISERROR(SEARCH("No Post",K7)))</formula>
    </cfRule>
  </conditionalFormatting>
  <printOptions horizontalCentered="1"/>
  <pageMargins left="0.7" right="0.7" top="0.75" bottom="0.75" header="0.3" footer="0.3"/>
  <pageSetup paperSize="9" scale="84" fitToHeight="0" orientation="landscape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zoomScalePageLayoutView="90" workbookViewId="0">
      <selection activeCell="J9" sqref="J9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42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41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3"/>
    </row>
    <row r="5" spans="1:11" s="7" customFormat="1" ht="23.4" x14ac:dyDescent="0.45">
      <c r="A5" s="26" t="s">
        <v>22</v>
      </c>
      <c r="B5" s="27"/>
      <c r="C5" s="27"/>
      <c r="D5" s="44"/>
      <c r="E5" s="27"/>
      <c r="F5" s="27"/>
      <c r="G5" s="27"/>
      <c r="H5" s="27"/>
      <c r="I5" s="28" t="s">
        <v>1</v>
      </c>
      <c r="J5" s="22" t="str">
        <f ca="1">CONCATENATE((MID(CELL("filename",J5),FIND("]",CELL("filename",J5))+1,255)),"/04/2026")</f>
        <v>14/04/2026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5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80">
        <v>1</v>
      </c>
      <c r="B7" s="79">
        <v>871</v>
      </c>
      <c r="C7" s="69" t="s">
        <v>73</v>
      </c>
      <c r="D7" s="74">
        <v>46128</v>
      </c>
      <c r="E7" s="69">
        <v>2</v>
      </c>
      <c r="F7" s="23"/>
      <c r="G7" s="23"/>
      <c r="H7" s="23"/>
      <c r="I7" s="78" t="s">
        <v>74</v>
      </c>
      <c r="J7" s="23" t="s">
        <v>72</v>
      </c>
      <c r="K7" s="56" t="s">
        <v>89</v>
      </c>
    </row>
    <row r="8" spans="1:11" x14ac:dyDescent="0.35">
      <c r="A8" s="80">
        <v>2</v>
      </c>
      <c r="B8" s="35">
        <v>322</v>
      </c>
      <c r="C8" s="35" t="s">
        <v>75</v>
      </c>
      <c r="D8" s="58">
        <v>46128</v>
      </c>
      <c r="E8" s="35">
        <v>2</v>
      </c>
      <c r="F8" s="35"/>
      <c r="G8" s="35"/>
      <c r="H8" s="35"/>
      <c r="I8" s="75" t="s">
        <v>87</v>
      </c>
      <c r="J8" s="24" t="s">
        <v>76</v>
      </c>
      <c r="K8" s="56" t="str">
        <f>IF(OR(NOT(ISERROR(MATCH(RIGHT(B8,3)+0,#REF!,0))),NOT(ISERROR(MATCH(LEFT(B8,3)+0,#REF!,0)))),"No Post","")</f>
        <v/>
      </c>
    </row>
    <row r="9" spans="1:11" x14ac:dyDescent="0.35">
      <c r="A9" s="80">
        <v>3</v>
      </c>
      <c r="B9" s="79">
        <v>603</v>
      </c>
      <c r="C9" s="69" t="s">
        <v>77</v>
      </c>
      <c r="D9" s="74">
        <v>46132</v>
      </c>
      <c r="E9" s="69">
        <v>2</v>
      </c>
      <c r="F9" s="24"/>
      <c r="G9" s="24"/>
      <c r="H9" s="24">
        <v>150</v>
      </c>
      <c r="I9" s="76" t="s">
        <v>74</v>
      </c>
      <c r="J9" s="24" t="s">
        <v>41</v>
      </c>
      <c r="K9" s="56" t="s">
        <v>89</v>
      </c>
    </row>
    <row r="10" spans="1:11" x14ac:dyDescent="0.35">
      <c r="A10" s="80">
        <v>4</v>
      </c>
      <c r="B10" s="79" t="s">
        <v>83</v>
      </c>
      <c r="C10" s="73" t="s">
        <v>79</v>
      </c>
      <c r="D10" s="58">
        <v>46131</v>
      </c>
      <c r="E10" s="35">
        <v>2</v>
      </c>
      <c r="F10" s="24"/>
      <c r="G10" s="24"/>
      <c r="H10" s="24"/>
      <c r="I10" s="76" t="s">
        <v>74</v>
      </c>
      <c r="J10" s="24" t="s">
        <v>41</v>
      </c>
      <c r="K10" s="56" t="s">
        <v>89</v>
      </c>
    </row>
    <row r="11" spans="1:11" x14ac:dyDescent="0.35">
      <c r="A11" s="80">
        <v>5</v>
      </c>
      <c r="B11" s="68" t="s">
        <v>84</v>
      </c>
      <c r="C11" s="35" t="s">
        <v>80</v>
      </c>
      <c r="D11" s="58">
        <v>46131</v>
      </c>
      <c r="E11" s="35">
        <v>1</v>
      </c>
      <c r="F11" s="24"/>
      <c r="G11" s="24"/>
      <c r="H11" s="24"/>
      <c r="I11" s="76" t="s">
        <v>74</v>
      </c>
      <c r="J11" s="24" t="s">
        <v>41</v>
      </c>
      <c r="K11" s="56" t="s">
        <v>89</v>
      </c>
    </row>
    <row r="12" spans="1:11" x14ac:dyDescent="0.35">
      <c r="A12" s="80">
        <v>6</v>
      </c>
      <c r="B12" s="79" t="s">
        <v>82</v>
      </c>
      <c r="C12" s="69" t="s">
        <v>81</v>
      </c>
      <c r="D12" s="74">
        <v>46131</v>
      </c>
      <c r="E12" s="69">
        <v>2</v>
      </c>
      <c r="F12" s="24"/>
      <c r="G12" s="24"/>
      <c r="H12" s="24"/>
      <c r="I12" s="76" t="s">
        <v>74</v>
      </c>
      <c r="J12" s="24" t="s">
        <v>41</v>
      </c>
      <c r="K12" s="56" t="s">
        <v>89</v>
      </c>
    </row>
    <row r="13" spans="1:11" x14ac:dyDescent="0.35">
      <c r="A13" s="80">
        <v>7</v>
      </c>
      <c r="B13" s="67">
        <v>811</v>
      </c>
      <c r="C13" s="55" t="s">
        <v>85</v>
      </c>
      <c r="D13" s="47">
        <v>46127</v>
      </c>
      <c r="E13" s="24">
        <v>1</v>
      </c>
      <c r="F13" s="24"/>
      <c r="G13" s="24"/>
      <c r="H13" s="24"/>
      <c r="I13" s="76" t="s">
        <v>74</v>
      </c>
      <c r="J13" s="24" t="s">
        <v>41</v>
      </c>
      <c r="K13" s="56" t="str">
        <f>IF(OR(NOT(ISERROR(MATCH(RIGHT(B13,3)+0,#REF!,0))),NOT(ISERROR(MATCH(LEFT(B13,3)+0,#REF!,0)))),"No Post","")</f>
        <v/>
      </c>
    </row>
    <row r="14" spans="1:11" x14ac:dyDescent="0.35">
      <c r="A14" s="80">
        <v>8</v>
      </c>
      <c r="B14" s="67">
        <v>213</v>
      </c>
      <c r="C14" s="55" t="s">
        <v>86</v>
      </c>
      <c r="D14" s="47">
        <v>46128</v>
      </c>
      <c r="E14" s="24">
        <v>2</v>
      </c>
      <c r="F14" s="24"/>
      <c r="G14" s="24"/>
      <c r="H14" s="24"/>
      <c r="I14" s="77" t="s">
        <v>88</v>
      </c>
      <c r="J14" s="24" t="s">
        <v>41</v>
      </c>
      <c r="K14" s="56" t="s">
        <v>89</v>
      </c>
    </row>
    <row r="15" spans="1:11" x14ac:dyDescent="0.35">
      <c r="A15" s="17">
        <v>9</v>
      </c>
      <c r="B15" s="24"/>
      <c r="C15" s="55"/>
      <c r="D15" s="47"/>
      <c r="E15" s="24"/>
      <c r="F15" s="24"/>
      <c r="G15" s="24"/>
      <c r="H15" s="24"/>
      <c r="I15" s="24"/>
      <c r="J15" s="24"/>
      <c r="K15" s="56" t="str">
        <f>IF(OR(NOT(ISERROR(MATCH(RIGHT(B15,3)+0,#REF!,0))),NOT(ISERROR(MATCH(LEFT(B15,3)+0,#REF!,0)))),"No Post","")</f>
        <v/>
      </c>
    </row>
    <row r="16" spans="1:11" x14ac:dyDescent="0.35">
      <c r="A16" s="17">
        <v>10</v>
      </c>
      <c r="B16" s="24"/>
      <c r="C16" s="55"/>
      <c r="D16" s="47"/>
      <c r="E16" s="24"/>
      <c r="F16" s="24"/>
      <c r="G16" s="24"/>
      <c r="H16" s="24"/>
      <c r="I16" s="24"/>
      <c r="J16" s="24"/>
      <c r="K16" s="56" t="str">
        <f>IF(OR(NOT(ISERROR(MATCH(RIGHT(B16,3)+0,#REF!,0))),NOT(ISERROR(MATCH(LEFT(B16,3)+0,#REF!,0)))),"No Post","")</f>
        <v/>
      </c>
    </row>
    <row r="17" spans="1:11" x14ac:dyDescent="0.35">
      <c r="A17" s="34">
        <v>11</v>
      </c>
      <c r="B17" s="24"/>
      <c r="C17" s="55"/>
      <c r="D17" s="47"/>
      <c r="E17" s="24"/>
      <c r="F17" s="24"/>
      <c r="G17" s="24"/>
      <c r="H17" s="24"/>
      <c r="I17" s="24"/>
      <c r="J17" s="24"/>
      <c r="K17" s="56" t="str">
        <f>IF(OR(NOT(ISERROR(MATCH(RIGHT(B17,3)+0,#REF!,0))),NOT(ISERROR(MATCH(LEFT(B17,3)+0,#REF!,0)))),"No Post","")</f>
        <v/>
      </c>
    </row>
    <row r="18" spans="1:11" x14ac:dyDescent="0.35">
      <c r="A18" s="17">
        <v>12</v>
      </c>
      <c r="B18" s="24"/>
      <c r="C18" s="55"/>
      <c r="D18" s="47"/>
      <c r="E18" s="24"/>
      <c r="F18" s="24"/>
      <c r="G18" s="24"/>
      <c r="H18" s="24"/>
      <c r="I18" s="24"/>
      <c r="J18" s="24"/>
      <c r="K18" s="56" t="str">
        <f>IF(OR(NOT(ISERROR(MATCH(RIGHT(B18,3)+0,#REF!,0))),NOT(ISERROR(MATCH(LEFT(B18,3)+0,#REF!,0)))),"No Post","")</f>
        <v/>
      </c>
    </row>
    <row r="19" spans="1:11" x14ac:dyDescent="0.35">
      <c r="A19" s="17">
        <v>13</v>
      </c>
      <c r="B19" s="24"/>
      <c r="C19" s="55"/>
      <c r="D19" s="47"/>
      <c r="E19" s="24"/>
      <c r="F19" s="24"/>
      <c r="G19" s="24"/>
      <c r="H19" s="24"/>
      <c r="I19" s="24"/>
      <c r="J19" s="24"/>
      <c r="K19" s="56" t="str">
        <f>IF(OR(NOT(ISERROR(MATCH(RIGHT(B19,3)+0,#REF!,0))),NOT(ISERROR(MATCH(LEFT(B19,3)+0,#REF!,0)))),"No Post","")</f>
        <v/>
      </c>
    </row>
    <row r="20" spans="1:11" x14ac:dyDescent="0.35">
      <c r="A20" s="17">
        <v>14</v>
      </c>
      <c r="B20" s="24"/>
      <c r="C20" s="55"/>
      <c r="D20" s="47"/>
      <c r="E20" s="24"/>
      <c r="F20" s="24"/>
      <c r="G20" s="24"/>
      <c r="H20" s="24"/>
      <c r="I20" s="24"/>
      <c r="J20" s="24"/>
      <c r="K20" s="56" t="str">
        <f>IF(OR(NOT(ISERROR(MATCH(RIGHT(B20,3)+0,#REF!,0))),NOT(ISERROR(MATCH(LEFT(B20,3)+0,#REF!,0)))),"No Post","")</f>
        <v/>
      </c>
    </row>
    <row r="21" spans="1:11" x14ac:dyDescent="0.35">
      <c r="A21" s="17">
        <v>15</v>
      </c>
      <c r="B21" s="24"/>
      <c r="C21" s="55"/>
      <c r="D21" s="47"/>
      <c r="E21" s="24"/>
      <c r="F21" s="24"/>
      <c r="G21" s="24"/>
      <c r="H21" s="24"/>
      <c r="I21" s="24"/>
      <c r="J21" s="24"/>
      <c r="K21" s="56" t="str">
        <f>IF(OR(NOT(ISERROR(MATCH(RIGHT(B21,3)+0,#REF!,0))),NOT(ISERROR(MATCH(LEFT(B21,3)+0,#REF!,0)))),"No Post","")</f>
        <v/>
      </c>
    </row>
    <row r="22" spans="1:11" x14ac:dyDescent="0.35">
      <c r="A22" s="34">
        <v>16</v>
      </c>
      <c r="B22" s="35"/>
      <c r="C22" s="25"/>
      <c r="D22" s="37"/>
      <c r="E22" s="38"/>
      <c r="F22" s="38"/>
      <c r="G22" s="36"/>
      <c r="H22" s="24"/>
      <c r="I22" s="25"/>
      <c r="J22" s="25"/>
      <c r="K22" s="56" t="str">
        <f>IF(OR(NOT(ISERROR(MATCH(RIGHT(B22,3)+0,#REF!,0))),NOT(ISERROR(MATCH(LEFT(B22,3)+0,#REF!,0)))),"No Post","")</f>
        <v/>
      </c>
    </row>
    <row r="23" spans="1:11" x14ac:dyDescent="0.35">
      <c r="A23" s="17">
        <v>17</v>
      </c>
      <c r="B23" s="19"/>
      <c r="C23" s="33"/>
      <c r="D23" s="21"/>
      <c r="E23" s="39"/>
      <c r="F23" s="20"/>
      <c r="G23" s="18"/>
      <c r="H23" s="17"/>
      <c r="I23" s="33"/>
      <c r="J23" s="33"/>
      <c r="K23" s="56" t="str">
        <f>IF(OR(NOT(ISERROR(MATCH(RIGHT(B23,3)+0,#REF!,0))),NOT(ISERROR(MATCH(LEFT(B23,3)+0,#REF!,0)))),"No Post","")</f>
        <v/>
      </c>
    </row>
    <row r="24" spans="1:11" s="8" customFormat="1" ht="19.8" x14ac:dyDescent="0.4">
      <c r="A24" s="17">
        <v>18</v>
      </c>
      <c r="B24" s="19"/>
      <c r="C24" s="33"/>
      <c r="D24" s="21"/>
      <c r="E24" s="18"/>
      <c r="F24" s="18"/>
      <c r="G24" s="18"/>
      <c r="H24" s="17"/>
      <c r="I24" s="40"/>
      <c r="J24" s="40"/>
      <c r="K24" s="56" t="str">
        <f>IF(OR(NOT(ISERROR(MATCH(RIGHT(B24,3)+0,#REF!,0))),NOT(ISERROR(MATCH(LEFT(B24,3)+0,#REF!,0)))),"No Post","")</f>
        <v/>
      </c>
    </row>
    <row r="25" spans="1:11" x14ac:dyDescent="0.35">
      <c r="A25" s="17">
        <v>19</v>
      </c>
      <c r="B25" s="19"/>
      <c r="C25" s="33"/>
      <c r="D25" s="21"/>
      <c r="E25" s="18"/>
      <c r="F25" s="18"/>
      <c r="G25" s="18"/>
      <c r="H25" s="17"/>
      <c r="I25" s="33"/>
      <c r="J25" s="33"/>
      <c r="K25" s="56" t="str">
        <f>IF(OR(NOT(ISERROR(MATCH(RIGHT(B25,3)+0,#REF!,0))),NOT(ISERROR(MATCH(LEFT(B25,3)+0,#REF!,0)))),"No Post","")</f>
        <v/>
      </c>
    </row>
    <row r="26" spans="1:11" s="9" customFormat="1" x14ac:dyDescent="0.35">
      <c r="A26" s="17">
        <v>20</v>
      </c>
      <c r="B26" s="19"/>
      <c r="C26" s="33"/>
      <c r="D26" s="21"/>
      <c r="E26" s="18"/>
      <c r="F26" s="18"/>
      <c r="G26" s="18"/>
      <c r="H26" s="17"/>
      <c r="I26" s="33"/>
      <c r="J26" s="33"/>
      <c r="K26" s="56" t="str">
        <f>IF(OR(NOT(ISERROR(MATCH(RIGHT(B26,3)+0,#REF!,0))),NOT(ISERROR(MATCH(LEFT(B26,3)+0,#REF!,0)))),"No Post","")</f>
        <v/>
      </c>
    </row>
    <row r="27" spans="1:11" s="9" customFormat="1" ht="23.25" customHeight="1" x14ac:dyDescent="0.35">
      <c r="A27" s="1"/>
      <c r="B27" s="1"/>
      <c r="C27" s="1"/>
      <c r="D27" s="48" t="s">
        <v>18</v>
      </c>
      <c r="E27" s="16">
        <f>SUM(E22:E26)</f>
        <v>0</v>
      </c>
      <c r="F27" s="16">
        <f>SUM(F22:F26)</f>
        <v>0</v>
      </c>
      <c r="G27" s="1"/>
      <c r="H27" s="1"/>
    </row>
    <row r="28" spans="1:11" s="9" customFormat="1" ht="23.25" customHeight="1" x14ac:dyDescent="0.35">
      <c r="A28" s="1"/>
      <c r="B28" s="1"/>
      <c r="C28" s="1"/>
      <c r="D28" s="42"/>
      <c r="E28" s="1"/>
      <c r="F28" s="1"/>
      <c r="G28" s="1"/>
      <c r="H28" s="1"/>
    </row>
    <row r="29" spans="1:11" ht="20.25" customHeight="1" x14ac:dyDescent="0.35">
      <c r="B29" t="s">
        <v>7</v>
      </c>
      <c r="C29"/>
      <c r="D29" s="49"/>
      <c r="E29"/>
      <c r="F29"/>
      <c r="G29"/>
      <c r="H29"/>
    </row>
    <row r="30" spans="1:11" ht="20.25" customHeight="1" x14ac:dyDescent="0.35">
      <c r="B30" s="10" t="s">
        <v>8</v>
      </c>
      <c r="C30" s="10"/>
      <c r="D30" s="50"/>
      <c r="E30" s="10"/>
      <c r="F30" s="10"/>
      <c r="G30" s="10"/>
      <c r="H30" s="10"/>
    </row>
    <row r="31" spans="1:11" ht="20.25" customHeight="1" x14ac:dyDescent="0.35">
      <c r="B31" s="10" t="s">
        <v>9</v>
      </c>
      <c r="C31" s="10"/>
      <c r="D31" s="50"/>
      <c r="E31" s="10"/>
      <c r="F31" s="10"/>
      <c r="G31" s="10"/>
      <c r="H31" s="10"/>
    </row>
    <row r="32" spans="1:11" ht="20.25" customHeight="1" x14ac:dyDescent="0.35">
      <c r="B32" s="10" t="s">
        <v>10</v>
      </c>
      <c r="C32" s="10"/>
      <c r="D32" s="50"/>
      <c r="E32" s="10"/>
      <c r="F32" s="10"/>
      <c r="G32" s="10"/>
      <c r="H32" s="10"/>
    </row>
    <row r="33" spans="2:8" x14ac:dyDescent="0.35">
      <c r="B33" s="10" t="s">
        <v>11</v>
      </c>
      <c r="C33" s="10"/>
      <c r="D33" s="50"/>
      <c r="E33" s="10"/>
      <c r="F33" s="10"/>
      <c r="G33" s="10"/>
      <c r="H33" s="10"/>
    </row>
    <row r="34" spans="2:8" x14ac:dyDescent="0.35">
      <c r="B34" s="10" t="s">
        <v>12</v>
      </c>
      <c r="C34" s="10"/>
      <c r="D34" s="50"/>
      <c r="E34" s="10"/>
      <c r="F34" s="10"/>
      <c r="G34" s="10"/>
      <c r="H34" s="10"/>
    </row>
    <row r="35" spans="2:8" x14ac:dyDescent="0.35">
      <c r="B35" s="10" t="s">
        <v>13</v>
      </c>
      <c r="C35" s="10"/>
      <c r="D35" s="50"/>
      <c r="E35" s="10"/>
      <c r="F35" s="10"/>
      <c r="G35" s="10"/>
      <c r="H35" s="10"/>
    </row>
    <row r="36" spans="2:8" s="12" customFormat="1" ht="15.6" x14ac:dyDescent="0.3">
      <c r="B36" s="11" t="s">
        <v>14</v>
      </c>
      <c r="C36" s="11"/>
      <c r="D36" s="51"/>
      <c r="E36" s="11"/>
      <c r="F36" s="11"/>
      <c r="G36" s="11"/>
    </row>
    <row r="37" spans="2:8" s="12" customFormat="1" ht="15.6" x14ac:dyDescent="0.3">
      <c r="B37" s="11" t="s">
        <v>15</v>
      </c>
      <c r="C37" s="11"/>
      <c r="D37" s="51"/>
      <c r="E37" s="11"/>
      <c r="F37" s="11"/>
      <c r="G37" s="11"/>
    </row>
    <row r="38" spans="2:8" s="14" customFormat="1" ht="20.25" customHeight="1" x14ac:dyDescent="0.35">
      <c r="B38" s="13" t="s">
        <v>16</v>
      </c>
      <c r="C38" s="13"/>
      <c r="D38" s="52"/>
    </row>
    <row r="39" spans="2:8" customFormat="1" ht="14.4" x14ac:dyDescent="0.3">
      <c r="B39" s="15"/>
      <c r="C39" s="10"/>
      <c r="D39" s="50"/>
      <c r="E39" s="10"/>
      <c r="F39" s="10"/>
      <c r="G39" s="10"/>
      <c r="H39" s="10"/>
    </row>
    <row r="40" spans="2:8" x14ac:dyDescent="0.35">
      <c r="B40" s="10"/>
      <c r="C40" s="10"/>
      <c r="D40" s="50"/>
      <c r="E40" s="10"/>
      <c r="F40" s="10"/>
      <c r="G40" s="10"/>
      <c r="H40" s="10"/>
    </row>
    <row r="41" spans="2:8" x14ac:dyDescent="0.35">
      <c r="B41" s="15"/>
      <c r="C41" s="10"/>
      <c r="D41" s="50"/>
      <c r="E41" s="10"/>
      <c r="F41" s="10"/>
      <c r="G41" s="10"/>
      <c r="H41" s="10"/>
    </row>
    <row r="42" spans="2:8" x14ac:dyDescent="0.35">
      <c r="B42" s="10"/>
      <c r="C42" s="10"/>
      <c r="D42" s="50"/>
      <c r="E42" s="10"/>
      <c r="F42" s="10"/>
      <c r="G42" s="10"/>
      <c r="H42" s="10"/>
    </row>
    <row r="44" spans="2:8" x14ac:dyDescent="0.35">
      <c r="B44" s="9"/>
      <c r="C44" s="9"/>
      <c r="D44" s="53"/>
      <c r="E44" s="9"/>
      <c r="F44" s="9"/>
      <c r="G44" s="9"/>
      <c r="H44" s="9"/>
    </row>
    <row r="59" spans="2:8" x14ac:dyDescent="0.35">
      <c r="B59" s="10"/>
      <c r="C59" s="10"/>
      <c r="D59" s="50"/>
      <c r="E59" s="10"/>
      <c r="F59" s="10"/>
      <c r="G59" s="10"/>
      <c r="H59" s="10"/>
    </row>
    <row r="60" spans="2:8" x14ac:dyDescent="0.35">
      <c r="B60" s="10"/>
      <c r="C60" s="10"/>
      <c r="D60" s="50"/>
      <c r="E60" s="10"/>
      <c r="F60" s="10"/>
      <c r="G60" s="10"/>
      <c r="H60" s="10"/>
    </row>
    <row r="61" spans="2:8" x14ac:dyDescent="0.35">
      <c r="B61" s="10"/>
      <c r="C61" s="10"/>
      <c r="D61" s="50"/>
      <c r="E61" s="10"/>
      <c r="F61" s="10"/>
      <c r="G61" s="10"/>
      <c r="H61" s="10"/>
    </row>
    <row r="62" spans="2:8" x14ac:dyDescent="0.35">
      <c r="B62" s="15"/>
      <c r="C62" s="10"/>
      <c r="D62" s="50"/>
      <c r="E62" s="10"/>
      <c r="F62" s="10"/>
      <c r="G62" s="10"/>
      <c r="H62" s="10"/>
    </row>
    <row r="63" spans="2:8" x14ac:dyDescent="0.35">
      <c r="B63" s="10"/>
      <c r="C63" s="10"/>
      <c r="D63" s="50"/>
      <c r="E63" s="10"/>
      <c r="F63" s="10"/>
      <c r="G63" s="10"/>
      <c r="H63" s="10"/>
    </row>
  </sheetData>
  <customSheetViews>
    <customSheetView guid="{AA8333F4-A272-457D-BE6D-1B569A227B28}" showPageBreaks="1" fitToPage="1" printArea="1">
      <selection activeCell="J9" sqref="J9"/>
      <pageMargins left="0.7" right="0.7" top="0.75" bottom="0.75" header="0.3" footer="0.3"/>
      <printOptions horizontalCentered="1"/>
      <pageSetup paperSize="9" scale="84" fitToHeight="0" orientation="landscape" r:id="rId1"/>
    </customSheetView>
    <customSheetView guid="{3FD70E66-B699-4089-A2E2-369960B2F041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E61425CB-9FE7-4F79-BE47-5DC477A1BA8E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r:id="rId3"/>
    </customSheetView>
    <customSheetView guid="{C196B21B-5907-4E7A-90A7-4D3D9BC207B9}" showPageBreaks="1" fitToPage="1" printArea="1">
      <selection activeCell="B7" sqref="B7"/>
      <pageMargins left="0.7" right="0.7" top="0.75" bottom="0.75" header="0.3" footer="0.3"/>
      <printOptions horizontalCentered="1"/>
      <pageSetup paperSize="9" scale="84" fitToHeight="0" orientation="landscape" r:id="rId4"/>
    </customSheetView>
  </customSheetViews>
  <conditionalFormatting sqref="K7:K26">
    <cfRule type="containsText" dxfId="7" priority="1" operator="containsText" text="No Post">
      <formula>NOT(ISERROR(SEARCH("No Post",K7)))</formula>
    </cfRule>
  </conditionalFormatting>
  <printOptions horizontalCentered="1"/>
  <pageMargins left="0.7" right="0.7" top="0.75" bottom="0.75" header="0.3" footer="0.3"/>
  <pageSetup paperSize="9" scale="84" fitToHeight="0" orientation="landscape" r:id="rId5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3"/>
  <sheetViews>
    <sheetView zoomScaleNormal="100" zoomScaleSheetLayoutView="100" zoomScalePageLayoutView="90" workbookViewId="0">
      <selection activeCell="B7" sqref="B7"/>
    </sheetView>
  </sheetViews>
  <sheetFormatPr defaultColWidth="9.109375" defaultRowHeight="18" x14ac:dyDescent="0.35"/>
  <cols>
    <col min="1" max="1" width="4.109375" style="1" bestFit="1" customWidth="1"/>
    <col min="2" max="2" width="4.109375" style="1" customWidth="1"/>
    <col min="3" max="3" width="13.44140625" style="1" customWidth="1"/>
    <col min="4" max="4" width="41.33203125" style="1" customWidth="1"/>
    <col min="5" max="5" width="14.88671875" style="42" customWidth="1"/>
    <col min="6" max="7" width="10.6640625" style="1" customWidth="1"/>
    <col min="8" max="8" width="8.6640625" style="1" bestFit="1" customWidth="1"/>
    <col min="9" max="9" width="10.33203125" style="1" customWidth="1"/>
    <col min="10" max="10" width="20.33203125" style="1" customWidth="1"/>
    <col min="11" max="11" width="20.6640625" style="1" customWidth="1"/>
    <col min="12" max="16384" width="9.109375" style="1"/>
  </cols>
  <sheetData>
    <row r="2" spans="1:12" x14ac:dyDescent="0.35">
      <c r="D2" s="2" t="s">
        <v>0</v>
      </c>
      <c r="E2" s="41"/>
      <c r="F2" s="3"/>
      <c r="G2" s="3"/>
      <c r="H2" s="3"/>
    </row>
    <row r="3" spans="1:12" x14ac:dyDescent="0.35">
      <c r="H3" s="4"/>
    </row>
    <row r="4" spans="1:12" s="5" customFormat="1" thickBot="1" x14ac:dyDescent="0.4">
      <c r="D4" s="6"/>
      <c r="E4" s="43"/>
    </row>
    <row r="5" spans="1:12" s="7" customFormat="1" ht="23.4" x14ac:dyDescent="0.45">
      <c r="A5" s="26" t="s">
        <v>22</v>
      </c>
      <c r="B5" s="81"/>
      <c r="C5" s="27"/>
      <c r="D5" s="27"/>
      <c r="E5" s="44"/>
      <c r="F5" s="27"/>
      <c r="G5" s="27"/>
      <c r="H5" s="27"/>
      <c r="I5" s="27"/>
      <c r="J5" s="28" t="s">
        <v>1</v>
      </c>
      <c r="K5" s="22" t="str">
        <f ca="1">CONCATENATE((MID(CELL("filename",K5),FIND("]",CELL("filename",K5))+1,255)),"/04/2026")</f>
        <v>16/04/2026</v>
      </c>
    </row>
    <row r="6" spans="1:12" ht="18.600000000000001" thickBot="1" x14ac:dyDescent="0.4">
      <c r="A6" s="29"/>
      <c r="B6" s="82"/>
      <c r="C6" s="30" t="s">
        <v>2</v>
      </c>
      <c r="D6" s="30" t="s">
        <v>3</v>
      </c>
      <c r="E6" s="45" t="s">
        <v>21</v>
      </c>
      <c r="F6" s="30" t="s">
        <v>19</v>
      </c>
      <c r="G6" s="30" t="s">
        <v>17</v>
      </c>
      <c r="H6" s="30" t="s">
        <v>4</v>
      </c>
      <c r="I6" s="31" t="s">
        <v>5</v>
      </c>
      <c r="J6" s="31" t="s">
        <v>20</v>
      </c>
      <c r="K6" s="32" t="s">
        <v>6</v>
      </c>
    </row>
    <row r="7" spans="1:12" x14ac:dyDescent="0.35">
      <c r="A7" s="34">
        <v>1</v>
      </c>
      <c r="B7" s="83"/>
      <c r="C7" s="23">
        <v>211</v>
      </c>
      <c r="D7" s="54" t="s">
        <v>90</v>
      </c>
      <c r="E7" s="46">
        <v>46130</v>
      </c>
      <c r="F7" s="23">
        <v>2</v>
      </c>
      <c r="G7" s="23"/>
      <c r="H7" s="23"/>
      <c r="I7" s="23"/>
      <c r="J7" s="23"/>
      <c r="K7" s="23" t="s">
        <v>38</v>
      </c>
      <c r="L7" s="56" t="str">
        <f>IF(OR(NOT(ISERROR(MATCH(RIGHT(C7,3)+0,#REF!,0))),NOT(ISERROR(MATCH(LEFT(C7,3)+0,#REF!,0)))),"No Post","")</f>
        <v/>
      </c>
    </row>
    <row r="8" spans="1:12" x14ac:dyDescent="0.35">
      <c r="A8" s="17">
        <v>2</v>
      </c>
      <c r="B8" s="84"/>
      <c r="C8" s="24">
        <v>330</v>
      </c>
      <c r="D8" s="55" t="s">
        <v>91</v>
      </c>
      <c r="E8" s="47">
        <v>46133</v>
      </c>
      <c r="F8" s="24">
        <v>2</v>
      </c>
      <c r="G8" s="24"/>
      <c r="H8" s="24"/>
      <c r="I8" s="24"/>
      <c r="J8" s="24"/>
      <c r="K8" s="24" t="s">
        <v>38</v>
      </c>
      <c r="L8" s="56" t="str">
        <f>IF(OR(NOT(ISERROR(MATCH(RIGHT(C8,3)+0,#REF!,0))),NOT(ISERROR(MATCH(LEFT(C8,3)+0,#REF!,0)))),"No Post","")</f>
        <v/>
      </c>
    </row>
    <row r="9" spans="1:12" x14ac:dyDescent="0.35">
      <c r="A9" s="17">
        <v>3</v>
      </c>
      <c r="B9" s="17"/>
      <c r="C9" s="24"/>
      <c r="D9" s="55"/>
      <c r="E9" s="47"/>
      <c r="F9" s="24"/>
      <c r="G9" s="24"/>
      <c r="H9" s="24"/>
      <c r="I9" s="24"/>
      <c r="J9" s="24"/>
      <c r="K9" s="24"/>
      <c r="L9" s="56" t="str">
        <f>IF(OR(NOT(ISERROR(MATCH(RIGHT(C9,3)+0,#REF!,0))),NOT(ISERROR(MATCH(LEFT(C9,3)+0,#REF!,0)))),"No Post","")</f>
        <v/>
      </c>
    </row>
    <row r="10" spans="1:12" x14ac:dyDescent="0.35">
      <c r="A10" s="17">
        <v>4</v>
      </c>
      <c r="B10" s="17"/>
      <c r="C10" s="24"/>
      <c r="D10" s="55"/>
      <c r="E10" s="47"/>
      <c r="F10" s="24"/>
      <c r="G10" s="24"/>
      <c r="H10" s="24"/>
      <c r="I10" s="24"/>
      <c r="J10" s="24"/>
      <c r="K10" s="24"/>
      <c r="L10" s="56" t="str">
        <f>IF(OR(NOT(ISERROR(MATCH(RIGHT(C10,3)+0,#REF!,0))),NOT(ISERROR(MATCH(LEFT(C10,3)+0,#REF!,0)))),"No Post","")</f>
        <v/>
      </c>
    </row>
    <row r="11" spans="1:12" x14ac:dyDescent="0.35">
      <c r="A11" s="17">
        <v>5</v>
      </c>
      <c r="B11" s="17"/>
      <c r="C11" s="24"/>
      <c r="D11" s="55"/>
      <c r="E11" s="47"/>
      <c r="F11" s="24"/>
      <c r="G11" s="24"/>
      <c r="H11" s="24"/>
      <c r="I11" s="24"/>
      <c r="J11" s="24"/>
      <c r="K11" s="24"/>
      <c r="L11" s="56" t="str">
        <f>IF(OR(NOT(ISERROR(MATCH(RIGHT(C11,3)+0,#REF!,0))),NOT(ISERROR(MATCH(LEFT(C11,3)+0,#REF!,0)))),"No Post","")</f>
        <v/>
      </c>
    </row>
    <row r="12" spans="1:12" x14ac:dyDescent="0.35">
      <c r="A12" s="34">
        <v>6</v>
      </c>
      <c r="B12" s="34"/>
      <c r="C12" s="24"/>
      <c r="D12" s="55"/>
      <c r="E12" s="47"/>
      <c r="F12" s="24"/>
      <c r="G12" s="24"/>
      <c r="H12" s="24"/>
      <c r="I12" s="24"/>
      <c r="J12" s="24"/>
      <c r="K12" s="24"/>
      <c r="L12" s="56" t="str">
        <f>IF(OR(NOT(ISERROR(MATCH(RIGHT(C12,3)+0,#REF!,0))),NOT(ISERROR(MATCH(LEFT(C12,3)+0,#REF!,0)))),"No Post","")</f>
        <v/>
      </c>
    </row>
    <row r="13" spans="1:12" x14ac:dyDescent="0.35">
      <c r="A13" s="17">
        <v>7</v>
      </c>
      <c r="B13" s="17"/>
      <c r="C13" s="24"/>
      <c r="D13" s="55"/>
      <c r="E13" s="47"/>
      <c r="F13" s="24"/>
      <c r="G13" s="24"/>
      <c r="H13" s="24"/>
      <c r="I13" s="24"/>
      <c r="J13" s="24"/>
      <c r="K13" s="24"/>
      <c r="L13" s="56" t="str">
        <f>IF(OR(NOT(ISERROR(MATCH(RIGHT(C13,3)+0,#REF!,0))),NOT(ISERROR(MATCH(LEFT(C13,3)+0,#REF!,0)))),"No Post","")</f>
        <v/>
      </c>
    </row>
    <row r="14" spans="1:12" x14ac:dyDescent="0.35">
      <c r="A14" s="17">
        <v>8</v>
      </c>
      <c r="B14" s="17"/>
      <c r="C14" s="24"/>
      <c r="D14" s="55"/>
      <c r="E14" s="47"/>
      <c r="F14" s="24"/>
      <c r="G14" s="24"/>
      <c r="H14" s="24"/>
      <c r="I14" s="24"/>
      <c r="J14" s="24"/>
      <c r="K14" s="24"/>
      <c r="L14" s="56" t="str">
        <f>IF(OR(NOT(ISERROR(MATCH(RIGHT(C14,3)+0,#REF!,0))),NOT(ISERROR(MATCH(LEFT(C14,3)+0,#REF!,0)))),"No Post","")</f>
        <v/>
      </c>
    </row>
    <row r="15" spans="1:12" x14ac:dyDescent="0.35">
      <c r="A15" s="17">
        <v>9</v>
      </c>
      <c r="B15" s="17"/>
      <c r="C15" s="24"/>
      <c r="D15" s="55"/>
      <c r="E15" s="47"/>
      <c r="F15" s="24"/>
      <c r="G15" s="24"/>
      <c r="H15" s="24"/>
      <c r="I15" s="24"/>
      <c r="J15" s="24"/>
      <c r="K15" s="24"/>
      <c r="L15" s="56" t="str">
        <f>IF(OR(NOT(ISERROR(MATCH(RIGHT(C15,3)+0,#REF!,0))),NOT(ISERROR(MATCH(LEFT(C15,3)+0,#REF!,0)))),"No Post","")</f>
        <v/>
      </c>
    </row>
    <row r="16" spans="1:12" x14ac:dyDescent="0.35">
      <c r="A16" s="17">
        <v>10</v>
      </c>
      <c r="B16" s="17"/>
      <c r="C16" s="24"/>
      <c r="D16" s="55"/>
      <c r="E16" s="47"/>
      <c r="F16" s="24"/>
      <c r="G16" s="24"/>
      <c r="H16" s="24"/>
      <c r="I16" s="24"/>
      <c r="J16" s="24"/>
      <c r="K16" s="24"/>
      <c r="L16" s="56" t="str">
        <f>IF(OR(NOT(ISERROR(MATCH(RIGHT(C16,3)+0,#REF!,0))),NOT(ISERROR(MATCH(LEFT(C16,3)+0,#REF!,0)))),"No Post","")</f>
        <v/>
      </c>
    </row>
    <row r="17" spans="1:12" x14ac:dyDescent="0.35">
      <c r="A17" s="34">
        <v>11</v>
      </c>
      <c r="B17" s="34"/>
      <c r="C17" s="24"/>
      <c r="D17" s="55"/>
      <c r="E17" s="47"/>
      <c r="F17" s="24"/>
      <c r="G17" s="24"/>
      <c r="H17" s="24"/>
      <c r="I17" s="24"/>
      <c r="J17" s="24"/>
      <c r="K17" s="24"/>
      <c r="L17" s="56" t="str">
        <f>IF(OR(NOT(ISERROR(MATCH(RIGHT(C17,3)+0,#REF!,0))),NOT(ISERROR(MATCH(LEFT(C17,3)+0,#REF!,0)))),"No Post","")</f>
        <v/>
      </c>
    </row>
    <row r="18" spans="1:12" x14ac:dyDescent="0.35">
      <c r="A18" s="17">
        <v>12</v>
      </c>
      <c r="B18" s="17"/>
      <c r="C18" s="24"/>
      <c r="D18" s="55"/>
      <c r="E18" s="47"/>
      <c r="F18" s="24"/>
      <c r="G18" s="24"/>
      <c r="H18" s="24"/>
      <c r="I18" s="24"/>
      <c r="J18" s="24"/>
      <c r="K18" s="24"/>
      <c r="L18" s="56" t="str">
        <f>IF(OR(NOT(ISERROR(MATCH(RIGHT(C18,3)+0,#REF!,0))),NOT(ISERROR(MATCH(LEFT(C18,3)+0,#REF!,0)))),"No Post","")</f>
        <v/>
      </c>
    </row>
    <row r="19" spans="1:12" x14ac:dyDescent="0.35">
      <c r="A19" s="17">
        <v>13</v>
      </c>
      <c r="B19" s="17"/>
      <c r="C19" s="24"/>
      <c r="D19" s="55"/>
      <c r="E19" s="47"/>
      <c r="F19" s="24"/>
      <c r="G19" s="24"/>
      <c r="H19" s="24"/>
      <c r="I19" s="24"/>
      <c r="J19" s="24"/>
      <c r="K19" s="24"/>
      <c r="L19" s="56" t="str">
        <f>IF(OR(NOT(ISERROR(MATCH(RIGHT(C19,3)+0,#REF!,0))),NOT(ISERROR(MATCH(LEFT(C19,3)+0,#REF!,0)))),"No Post","")</f>
        <v/>
      </c>
    </row>
    <row r="20" spans="1:12" x14ac:dyDescent="0.35">
      <c r="A20" s="17">
        <v>14</v>
      </c>
      <c r="B20" s="17"/>
      <c r="C20" s="24"/>
      <c r="D20" s="55"/>
      <c r="E20" s="47"/>
      <c r="F20" s="24"/>
      <c r="G20" s="24"/>
      <c r="H20" s="24"/>
      <c r="I20" s="24"/>
      <c r="J20" s="24"/>
      <c r="K20" s="24"/>
      <c r="L20" s="56" t="str">
        <f>IF(OR(NOT(ISERROR(MATCH(RIGHT(C20,3)+0,#REF!,0))),NOT(ISERROR(MATCH(LEFT(C20,3)+0,#REF!,0)))),"No Post","")</f>
        <v/>
      </c>
    </row>
    <row r="21" spans="1:12" x14ac:dyDescent="0.35">
      <c r="A21" s="17">
        <v>15</v>
      </c>
      <c r="B21" s="17"/>
      <c r="C21" s="24"/>
      <c r="D21" s="55"/>
      <c r="E21" s="47"/>
      <c r="F21" s="24"/>
      <c r="G21" s="24"/>
      <c r="H21" s="24"/>
      <c r="I21" s="24"/>
      <c r="J21" s="24"/>
      <c r="K21" s="24"/>
      <c r="L21" s="56" t="str">
        <f>IF(OR(NOT(ISERROR(MATCH(RIGHT(C21,3)+0,#REF!,0))),NOT(ISERROR(MATCH(LEFT(C21,3)+0,#REF!,0)))),"No Post","")</f>
        <v/>
      </c>
    </row>
    <row r="22" spans="1:12" x14ac:dyDescent="0.35">
      <c r="A22" s="34">
        <v>16</v>
      </c>
      <c r="B22" s="34"/>
      <c r="C22" s="35"/>
      <c r="D22" s="25"/>
      <c r="E22" s="37"/>
      <c r="F22" s="38"/>
      <c r="G22" s="38"/>
      <c r="H22" s="36"/>
      <c r="I22" s="24"/>
      <c r="J22" s="25"/>
      <c r="K22" s="25"/>
      <c r="L22" s="56" t="str">
        <f>IF(OR(NOT(ISERROR(MATCH(RIGHT(C22,3)+0,#REF!,0))),NOT(ISERROR(MATCH(LEFT(C22,3)+0,#REF!,0)))),"No Post","")</f>
        <v/>
      </c>
    </row>
    <row r="23" spans="1:12" x14ac:dyDescent="0.35">
      <c r="A23" s="17">
        <v>17</v>
      </c>
      <c r="B23" s="17"/>
      <c r="C23" s="19"/>
      <c r="D23" s="33"/>
      <c r="E23" s="21"/>
      <c r="F23" s="39"/>
      <c r="G23" s="20"/>
      <c r="H23" s="18"/>
      <c r="I23" s="17"/>
      <c r="J23" s="33"/>
      <c r="K23" s="33"/>
      <c r="L23" s="56" t="str">
        <f>IF(OR(NOT(ISERROR(MATCH(RIGHT(C23,3)+0,#REF!,0))),NOT(ISERROR(MATCH(LEFT(C23,3)+0,#REF!,0)))),"No Post","")</f>
        <v/>
      </c>
    </row>
    <row r="24" spans="1:12" s="8" customFormat="1" ht="19.8" x14ac:dyDescent="0.4">
      <c r="A24" s="17">
        <v>18</v>
      </c>
      <c r="B24" s="17"/>
      <c r="C24" s="19"/>
      <c r="D24" s="33"/>
      <c r="E24" s="21"/>
      <c r="F24" s="18"/>
      <c r="G24" s="18"/>
      <c r="H24" s="18"/>
      <c r="I24" s="17"/>
      <c r="J24" s="40"/>
      <c r="K24" s="40"/>
      <c r="L24" s="56" t="str">
        <f>IF(OR(NOT(ISERROR(MATCH(RIGHT(C24,3)+0,#REF!,0))),NOT(ISERROR(MATCH(LEFT(C24,3)+0,#REF!,0)))),"No Post","")</f>
        <v/>
      </c>
    </row>
    <row r="25" spans="1:12" x14ac:dyDescent="0.35">
      <c r="A25" s="17">
        <v>19</v>
      </c>
      <c r="B25" s="17"/>
      <c r="C25" s="19"/>
      <c r="D25" s="33"/>
      <c r="E25" s="21"/>
      <c r="F25" s="18"/>
      <c r="G25" s="18"/>
      <c r="H25" s="18"/>
      <c r="I25" s="17"/>
      <c r="J25" s="33"/>
      <c r="K25" s="33"/>
      <c r="L25" s="56" t="str">
        <f>IF(OR(NOT(ISERROR(MATCH(RIGHT(C25,3)+0,#REF!,0))),NOT(ISERROR(MATCH(LEFT(C25,3)+0,#REF!,0)))),"No Post","")</f>
        <v/>
      </c>
    </row>
    <row r="26" spans="1:12" s="9" customFormat="1" x14ac:dyDescent="0.35">
      <c r="A26" s="17">
        <v>20</v>
      </c>
      <c r="B26" s="17"/>
      <c r="C26" s="19"/>
      <c r="D26" s="33"/>
      <c r="E26" s="21"/>
      <c r="F26" s="18"/>
      <c r="G26" s="18"/>
      <c r="H26" s="18"/>
      <c r="I26" s="17"/>
      <c r="J26" s="33"/>
      <c r="K26" s="33"/>
      <c r="L26" s="56" t="str">
        <f>IF(OR(NOT(ISERROR(MATCH(RIGHT(C26,3)+0,#REF!,0))),NOT(ISERROR(MATCH(LEFT(C26,3)+0,#REF!,0)))),"No Post","")</f>
        <v/>
      </c>
    </row>
    <row r="27" spans="1:12" s="9" customFormat="1" ht="23.25" customHeight="1" x14ac:dyDescent="0.35">
      <c r="A27" s="1"/>
      <c r="B27" s="1"/>
      <c r="C27" s="1"/>
      <c r="D27" s="1"/>
      <c r="E27" s="48" t="s">
        <v>18</v>
      </c>
      <c r="F27" s="16">
        <f>SUM(F22:F26)</f>
        <v>0</v>
      </c>
      <c r="G27" s="16">
        <f>SUM(G22:G26)</f>
        <v>0</v>
      </c>
      <c r="H27" s="1"/>
      <c r="I27" s="1"/>
    </row>
    <row r="28" spans="1:12" s="9" customFormat="1" ht="23.25" customHeight="1" x14ac:dyDescent="0.35">
      <c r="A28" s="1"/>
      <c r="B28" s="1"/>
      <c r="C28" s="1"/>
      <c r="D28" s="1"/>
      <c r="E28" s="42"/>
      <c r="F28" s="1"/>
      <c r="G28" s="1"/>
      <c r="H28" s="1"/>
      <c r="I28" s="1"/>
    </row>
    <row r="29" spans="1:12" ht="20.25" customHeight="1" x14ac:dyDescent="0.35">
      <c r="C29" t="s">
        <v>7</v>
      </c>
      <c r="D29"/>
      <c r="E29" s="49"/>
      <c r="F29"/>
      <c r="G29"/>
      <c r="H29"/>
      <c r="I29"/>
    </row>
    <row r="30" spans="1:12" ht="20.25" customHeight="1" x14ac:dyDescent="0.35">
      <c r="C30" s="10" t="s">
        <v>8</v>
      </c>
      <c r="D30" s="10"/>
      <c r="E30" s="50"/>
      <c r="F30" s="10"/>
      <c r="G30" s="10"/>
      <c r="H30" s="10"/>
      <c r="I30" s="10"/>
    </row>
    <row r="31" spans="1:12" ht="20.25" customHeight="1" x14ac:dyDescent="0.35">
      <c r="C31" s="10" t="s">
        <v>9</v>
      </c>
      <c r="D31" s="10"/>
      <c r="E31" s="50"/>
      <c r="F31" s="10"/>
      <c r="G31" s="10"/>
      <c r="H31" s="10"/>
      <c r="I31" s="10"/>
    </row>
    <row r="32" spans="1:12" ht="20.25" customHeight="1" x14ac:dyDescent="0.35">
      <c r="C32" s="10" t="s">
        <v>10</v>
      </c>
      <c r="D32" s="10"/>
      <c r="E32" s="50"/>
      <c r="F32" s="10"/>
      <c r="G32" s="10"/>
      <c r="H32" s="10"/>
      <c r="I32" s="10"/>
    </row>
    <row r="33" spans="3:9" x14ac:dyDescent="0.35">
      <c r="C33" s="10" t="s">
        <v>11</v>
      </c>
      <c r="D33" s="10"/>
      <c r="E33" s="50"/>
      <c r="F33" s="10"/>
      <c r="G33" s="10"/>
      <c r="H33" s="10"/>
      <c r="I33" s="10"/>
    </row>
    <row r="34" spans="3:9" x14ac:dyDescent="0.35">
      <c r="C34" s="10" t="s">
        <v>12</v>
      </c>
      <c r="D34" s="10"/>
      <c r="E34" s="50"/>
      <c r="F34" s="10"/>
      <c r="G34" s="10"/>
      <c r="H34" s="10"/>
      <c r="I34" s="10"/>
    </row>
    <row r="35" spans="3:9" x14ac:dyDescent="0.35">
      <c r="C35" s="10" t="s">
        <v>13</v>
      </c>
      <c r="D35" s="10"/>
      <c r="E35" s="50"/>
      <c r="F35" s="10"/>
      <c r="G35" s="10"/>
      <c r="H35" s="10"/>
      <c r="I35" s="10"/>
    </row>
    <row r="36" spans="3:9" s="12" customFormat="1" ht="15.6" x14ac:dyDescent="0.3">
      <c r="C36" s="11" t="s">
        <v>14</v>
      </c>
      <c r="D36" s="11"/>
      <c r="E36" s="51"/>
      <c r="F36" s="11"/>
      <c r="G36" s="11"/>
      <c r="H36" s="11"/>
    </row>
    <row r="37" spans="3:9" s="12" customFormat="1" ht="15.6" x14ac:dyDescent="0.3">
      <c r="C37" s="11" t="s">
        <v>15</v>
      </c>
      <c r="D37" s="11"/>
      <c r="E37" s="51"/>
      <c r="F37" s="11"/>
      <c r="G37" s="11"/>
      <c r="H37" s="11"/>
    </row>
    <row r="38" spans="3:9" s="14" customFormat="1" ht="20.25" customHeight="1" x14ac:dyDescent="0.35">
      <c r="C38" s="13" t="s">
        <v>16</v>
      </c>
      <c r="D38" s="13"/>
      <c r="E38" s="52"/>
    </row>
    <row r="39" spans="3:9" customFormat="1" ht="14.4" x14ac:dyDescent="0.3">
      <c r="C39" s="15"/>
      <c r="D39" s="10"/>
      <c r="E39" s="50"/>
      <c r="F39" s="10"/>
      <c r="G39" s="10"/>
      <c r="H39" s="10"/>
      <c r="I39" s="10"/>
    </row>
    <row r="40" spans="3:9" x14ac:dyDescent="0.35">
      <c r="C40" s="10"/>
      <c r="D40" s="10"/>
      <c r="E40" s="50"/>
      <c r="F40" s="10"/>
      <c r="G40" s="10"/>
      <c r="H40" s="10"/>
      <c r="I40" s="10"/>
    </row>
    <row r="41" spans="3:9" x14ac:dyDescent="0.35">
      <c r="C41" s="15"/>
      <c r="D41" s="10"/>
      <c r="E41" s="50"/>
      <c r="F41" s="10"/>
      <c r="G41" s="10"/>
      <c r="H41" s="10"/>
      <c r="I41" s="10"/>
    </row>
    <row r="42" spans="3:9" x14ac:dyDescent="0.35">
      <c r="C42" s="10"/>
      <c r="D42" s="10"/>
      <c r="E42" s="50"/>
      <c r="F42" s="10"/>
      <c r="G42" s="10"/>
      <c r="H42" s="10"/>
      <c r="I42" s="10"/>
    </row>
    <row r="44" spans="3:9" x14ac:dyDescent="0.35">
      <c r="C44" s="9"/>
      <c r="D44" s="9"/>
      <c r="E44" s="53"/>
      <c r="F44" s="9"/>
      <c r="G44" s="9"/>
      <c r="H44" s="9"/>
      <c r="I44" s="9"/>
    </row>
    <row r="59" spans="3:9" x14ac:dyDescent="0.35">
      <c r="C59" s="10"/>
      <c r="D59" s="10"/>
      <c r="E59" s="50"/>
      <c r="F59" s="10"/>
      <c r="G59" s="10"/>
      <c r="H59" s="10"/>
      <c r="I59" s="10"/>
    </row>
    <row r="60" spans="3:9" x14ac:dyDescent="0.35">
      <c r="C60" s="10"/>
      <c r="D60" s="10"/>
      <c r="E60" s="50"/>
      <c r="F60" s="10"/>
      <c r="G60" s="10"/>
      <c r="H60" s="10"/>
      <c r="I60" s="10"/>
    </row>
    <row r="61" spans="3:9" x14ac:dyDescent="0.35">
      <c r="C61" s="10"/>
      <c r="D61" s="10"/>
      <c r="E61" s="50"/>
      <c r="F61" s="10"/>
      <c r="G61" s="10"/>
      <c r="H61" s="10"/>
      <c r="I61" s="10"/>
    </row>
    <row r="62" spans="3:9" x14ac:dyDescent="0.35">
      <c r="C62" s="15"/>
      <c r="D62" s="10"/>
      <c r="E62" s="50"/>
      <c r="F62" s="10"/>
      <c r="G62" s="10"/>
      <c r="H62" s="10"/>
      <c r="I62" s="10"/>
    </row>
    <row r="63" spans="3:9" x14ac:dyDescent="0.35">
      <c r="C63" s="10"/>
      <c r="D63" s="10"/>
      <c r="E63" s="50"/>
      <c r="F63" s="10"/>
      <c r="G63" s="10"/>
      <c r="H63" s="10"/>
      <c r="I63" s="10"/>
    </row>
  </sheetData>
  <customSheetViews>
    <customSheetView guid="{AA8333F4-A272-457D-BE6D-1B569A227B28}" showPageBreaks="1" fitToPage="1" printArea="1">
      <selection activeCell="B7" sqref="B7"/>
      <pageMargins left="0.7" right="0.7" top="0.75" bottom="0.75" header="0.3" footer="0.3"/>
      <printOptions horizontalCentered="1"/>
      <pageSetup paperSize="9" scale="82" fitToHeight="0" orientation="landscape" r:id="rId1"/>
    </customSheetView>
    <customSheetView guid="{3FD70E66-B699-4089-A2E2-369960B2F041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E61425CB-9FE7-4F79-BE47-5DC477A1BA8E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r:id="rId3"/>
    </customSheetView>
    <customSheetView guid="{C196B21B-5907-4E7A-90A7-4D3D9BC207B9}" showPageBreaks="1" fitToPage="1" printArea="1">
      <selection activeCell="B7" sqref="B7"/>
      <pageMargins left="0.7" right="0.7" top="0.75" bottom="0.75" header="0.3" footer="0.3"/>
      <printOptions horizontalCentered="1"/>
      <pageSetup paperSize="9" scale="82" fitToHeight="0" orientation="landscape" r:id="rId4"/>
    </customSheetView>
  </customSheetViews>
  <conditionalFormatting sqref="L7:L26">
    <cfRule type="containsText" dxfId="6" priority="1" operator="containsText" text="No Post">
      <formula>NOT(ISERROR(SEARCH("No Post",L7)))</formula>
    </cfRule>
  </conditionalFormatting>
  <printOptions horizontalCentered="1"/>
  <pageMargins left="0.7" right="0.7" top="0.75" bottom="0.75" header="0.3" footer="0.3"/>
  <pageSetup paperSize="9" scale="82" fitToHeight="0" orientation="landscape" r:id="rId5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2"/>
  <sheetViews>
    <sheetView zoomScaleNormal="100" zoomScaleSheetLayoutView="100" zoomScalePageLayoutView="90" workbookViewId="0">
      <selection activeCell="D12" sqref="D12"/>
    </sheetView>
  </sheetViews>
  <sheetFormatPr defaultColWidth="9.109375" defaultRowHeight="18" x14ac:dyDescent="0.35"/>
  <cols>
    <col min="1" max="1" width="4.109375" style="1" bestFit="1" customWidth="1"/>
    <col min="2" max="2" width="4.109375" style="1" customWidth="1"/>
    <col min="3" max="3" width="13.44140625" style="1" customWidth="1"/>
    <col min="4" max="4" width="41.33203125" style="1" customWidth="1"/>
    <col min="5" max="5" width="14.88671875" style="42" customWidth="1"/>
    <col min="6" max="7" width="10.6640625" style="1" customWidth="1"/>
    <col min="8" max="8" width="8.6640625" style="1" bestFit="1" customWidth="1"/>
    <col min="9" max="9" width="10.33203125" style="1" customWidth="1"/>
    <col min="10" max="10" width="20.33203125" style="1" customWidth="1"/>
    <col min="11" max="11" width="20.6640625" style="1" customWidth="1"/>
    <col min="12" max="16384" width="9.109375" style="1"/>
  </cols>
  <sheetData>
    <row r="2" spans="1:12" x14ac:dyDescent="0.35">
      <c r="D2" s="2" t="s">
        <v>0</v>
      </c>
      <c r="E2" s="41"/>
      <c r="F2" s="3"/>
      <c r="G2" s="3"/>
      <c r="H2" s="3"/>
    </row>
    <row r="3" spans="1:12" x14ac:dyDescent="0.35">
      <c r="H3" s="4"/>
    </row>
    <row r="4" spans="1:12" s="5" customFormat="1" thickBot="1" x14ac:dyDescent="0.4">
      <c r="D4" s="6"/>
      <c r="E4" s="43"/>
    </row>
    <row r="5" spans="1:12" s="7" customFormat="1" ht="23.4" x14ac:dyDescent="0.45">
      <c r="A5" s="26" t="s">
        <v>22</v>
      </c>
      <c r="B5" s="81"/>
      <c r="C5" s="27"/>
      <c r="D5" s="27"/>
      <c r="E5" s="44"/>
      <c r="F5" s="27"/>
      <c r="G5" s="27"/>
      <c r="H5" s="27"/>
      <c r="I5" s="27"/>
      <c r="J5" s="28" t="s">
        <v>1</v>
      </c>
      <c r="K5" s="22" t="str">
        <f ca="1">CONCATENATE((MID(CELL("filename",K5),FIND("]",CELL("filename",K5))+1,255)),"/04/2026")</f>
        <v>18/04/2026</v>
      </c>
    </row>
    <row r="6" spans="1:12" ht="18.600000000000001" thickBot="1" x14ac:dyDescent="0.4">
      <c r="A6" s="29"/>
      <c r="B6" s="82"/>
      <c r="C6" s="30" t="s">
        <v>2</v>
      </c>
      <c r="D6" s="30" t="s">
        <v>3</v>
      </c>
      <c r="E6" s="45" t="s">
        <v>21</v>
      </c>
      <c r="F6" s="30" t="s">
        <v>19</v>
      </c>
      <c r="G6" s="30" t="s">
        <v>17</v>
      </c>
      <c r="H6" s="30" t="s">
        <v>4</v>
      </c>
      <c r="I6" s="31" t="s">
        <v>5</v>
      </c>
      <c r="J6" s="31" t="s">
        <v>20</v>
      </c>
      <c r="K6" s="32" t="s">
        <v>6</v>
      </c>
    </row>
    <row r="7" spans="1:12" x14ac:dyDescent="0.35">
      <c r="A7" s="34">
        <v>1</v>
      </c>
      <c r="B7" s="83"/>
      <c r="C7" s="69">
        <v>202</v>
      </c>
      <c r="D7" s="69" t="s">
        <v>33</v>
      </c>
      <c r="E7" s="74">
        <v>46138</v>
      </c>
      <c r="F7" s="69" t="s">
        <v>98</v>
      </c>
      <c r="G7" s="69"/>
      <c r="H7" s="69"/>
      <c r="I7" s="69"/>
      <c r="J7" s="69" t="s">
        <v>88</v>
      </c>
      <c r="K7" s="69" t="s">
        <v>31</v>
      </c>
      <c r="L7" s="56" t="s">
        <v>99</v>
      </c>
    </row>
    <row r="8" spans="1:12" x14ac:dyDescent="0.35">
      <c r="A8" s="17">
        <v>2</v>
      </c>
      <c r="B8" s="65"/>
      <c r="C8" s="35">
        <v>876</v>
      </c>
      <c r="D8" s="35" t="s">
        <v>93</v>
      </c>
      <c r="E8" s="58">
        <v>46134</v>
      </c>
      <c r="F8" s="35">
        <v>2</v>
      </c>
      <c r="G8" s="35"/>
      <c r="H8" s="35"/>
      <c r="I8" s="35"/>
      <c r="J8" s="35" t="s">
        <v>74</v>
      </c>
      <c r="K8" s="35" t="s">
        <v>70</v>
      </c>
      <c r="L8" s="56" t="s">
        <v>99</v>
      </c>
    </row>
    <row r="9" spans="1:12" x14ac:dyDescent="0.35">
      <c r="A9" s="17">
        <v>3</v>
      </c>
      <c r="B9" s="17"/>
      <c r="C9" s="35">
        <v>614</v>
      </c>
      <c r="D9" s="35" t="s">
        <v>94</v>
      </c>
      <c r="E9" s="58">
        <v>46131</v>
      </c>
      <c r="F9" s="35">
        <v>2</v>
      </c>
      <c r="G9" s="35"/>
      <c r="H9" s="35"/>
      <c r="I9" s="35"/>
      <c r="J9" s="35" t="s">
        <v>74</v>
      </c>
      <c r="K9" s="35" t="s">
        <v>95</v>
      </c>
      <c r="L9" s="56" t="s">
        <v>99</v>
      </c>
    </row>
    <row r="10" spans="1:12" x14ac:dyDescent="0.35">
      <c r="A10" s="17">
        <v>4</v>
      </c>
      <c r="B10" s="65"/>
      <c r="C10" s="35">
        <v>843</v>
      </c>
      <c r="D10" s="35" t="s">
        <v>97</v>
      </c>
      <c r="E10" s="58">
        <v>46133</v>
      </c>
      <c r="F10" s="35">
        <v>2</v>
      </c>
      <c r="G10" s="35"/>
      <c r="H10" s="35"/>
      <c r="I10" s="35"/>
      <c r="J10" s="35" t="s">
        <v>74</v>
      </c>
      <c r="K10" s="35" t="s">
        <v>41</v>
      </c>
      <c r="L10" s="56" t="s">
        <v>99</v>
      </c>
    </row>
    <row r="11" spans="1:12" x14ac:dyDescent="0.35">
      <c r="A11" s="17">
        <v>5</v>
      </c>
      <c r="B11" s="65"/>
      <c r="C11" s="73">
        <v>853</v>
      </c>
      <c r="D11" s="35" t="s">
        <v>92</v>
      </c>
      <c r="E11" s="58">
        <v>46131</v>
      </c>
      <c r="F11" s="73">
        <v>2</v>
      </c>
      <c r="G11" s="35"/>
      <c r="H11" s="35"/>
      <c r="I11" s="35"/>
      <c r="J11" s="35"/>
      <c r="K11" s="35" t="s">
        <v>70</v>
      </c>
      <c r="L11" s="56" t="str">
        <f>IF(OR(NOT(ISERROR(MATCH(RIGHT(C11,3)+0,#REF!,0))),NOT(ISERROR(MATCH(LEFT(C11,3)+0,#REF!,0)))),"No Post","")</f>
        <v/>
      </c>
    </row>
    <row r="12" spans="1:12" x14ac:dyDescent="0.35">
      <c r="A12" s="34">
        <v>6</v>
      </c>
      <c r="B12" s="34"/>
      <c r="C12" s="35"/>
      <c r="D12" s="35"/>
      <c r="E12" s="58"/>
      <c r="F12" s="35"/>
      <c r="G12" s="35"/>
      <c r="H12" s="35"/>
      <c r="I12" s="35"/>
      <c r="J12" s="35"/>
      <c r="K12" s="35"/>
      <c r="L12" s="56" t="str">
        <f>IF(OR(NOT(ISERROR(MATCH(RIGHT(C12,3)+0,#REF!,0))),NOT(ISERROR(MATCH(LEFT(C12,3)+0,#REF!,0)))),"No Post","")</f>
        <v/>
      </c>
    </row>
    <row r="13" spans="1:12" x14ac:dyDescent="0.35">
      <c r="A13" s="17">
        <v>7</v>
      </c>
      <c r="B13" s="17"/>
      <c r="C13" s="24"/>
      <c r="D13" s="55"/>
      <c r="E13" s="47"/>
      <c r="F13" s="24"/>
      <c r="G13" s="24"/>
      <c r="H13" s="24"/>
      <c r="I13" s="24"/>
      <c r="J13" s="24"/>
      <c r="K13" s="24"/>
      <c r="L13" s="56" t="str">
        <f>IF(OR(NOT(ISERROR(MATCH(RIGHT(C13,3)+0,#REF!,0))),NOT(ISERROR(MATCH(LEFT(C13,3)+0,#REF!,0)))),"No Post","")</f>
        <v/>
      </c>
    </row>
    <row r="14" spans="1:12" x14ac:dyDescent="0.35">
      <c r="A14" s="17">
        <v>8</v>
      </c>
      <c r="B14" s="17"/>
      <c r="C14" s="24"/>
      <c r="D14" s="55"/>
      <c r="E14" s="47"/>
      <c r="F14" s="24"/>
      <c r="G14" s="24"/>
      <c r="H14" s="24"/>
      <c r="I14" s="24"/>
      <c r="J14" s="24"/>
      <c r="K14" s="24"/>
      <c r="L14" s="56" t="str">
        <f>IF(OR(NOT(ISERROR(MATCH(RIGHT(C14,3)+0,#REF!,0))),NOT(ISERROR(MATCH(LEFT(C14,3)+0,#REF!,0)))),"No Post","")</f>
        <v/>
      </c>
    </row>
    <row r="15" spans="1:12" x14ac:dyDescent="0.35">
      <c r="A15" s="17">
        <v>9</v>
      </c>
      <c r="B15" s="17"/>
      <c r="C15" s="24"/>
      <c r="D15" s="55"/>
      <c r="E15" s="47"/>
      <c r="F15" s="24"/>
      <c r="G15" s="24"/>
      <c r="H15" s="24"/>
      <c r="I15" s="24"/>
      <c r="J15" s="24"/>
      <c r="K15" s="24"/>
      <c r="L15" s="56" t="str">
        <f>IF(OR(NOT(ISERROR(MATCH(RIGHT(C15,3)+0,#REF!,0))),NOT(ISERROR(MATCH(LEFT(C15,3)+0,#REF!,0)))),"No Post","")</f>
        <v/>
      </c>
    </row>
    <row r="16" spans="1:12" s="9" customFormat="1" ht="23.25" customHeight="1" x14ac:dyDescent="0.35">
      <c r="A16" s="1"/>
      <c r="B16" s="1"/>
      <c r="C16" s="1"/>
      <c r="D16" s="1"/>
      <c r="E16" s="48" t="s">
        <v>18</v>
      </c>
      <c r="F16" s="16">
        <f>SUM(F7:F15)</f>
        <v>8</v>
      </c>
      <c r="G16" s="16">
        <f>SUM(G7:G15)</f>
        <v>0</v>
      </c>
      <c r="H16" s="1"/>
      <c r="I16" s="1"/>
    </row>
    <row r="17" spans="1:9" s="9" customFormat="1" ht="23.25" customHeight="1" x14ac:dyDescent="0.35">
      <c r="A17" s="1"/>
      <c r="B17" s="1"/>
      <c r="C17" s="1"/>
      <c r="D17" s="1"/>
      <c r="E17" s="42"/>
      <c r="F17" s="1"/>
      <c r="G17" s="1"/>
      <c r="H17" s="1"/>
      <c r="I17" s="1"/>
    </row>
    <row r="18" spans="1:9" ht="20.25" customHeight="1" x14ac:dyDescent="0.35">
      <c r="C18" t="s">
        <v>7</v>
      </c>
      <c r="D18"/>
      <c r="E18" s="49"/>
      <c r="F18"/>
      <c r="G18"/>
      <c r="H18"/>
      <c r="I18"/>
    </row>
    <row r="19" spans="1:9" ht="20.25" customHeight="1" x14ac:dyDescent="0.35">
      <c r="C19" s="10" t="s">
        <v>8</v>
      </c>
      <c r="D19" s="10"/>
      <c r="E19" s="50"/>
      <c r="F19" s="10"/>
      <c r="G19" s="10"/>
      <c r="H19" s="10"/>
      <c r="I19" s="10"/>
    </row>
    <row r="20" spans="1:9" ht="20.25" customHeight="1" x14ac:dyDescent="0.35">
      <c r="C20" s="10" t="s">
        <v>9</v>
      </c>
      <c r="D20" s="10"/>
      <c r="E20" s="50"/>
      <c r="F20" s="10"/>
      <c r="G20" s="10"/>
      <c r="H20" s="10"/>
      <c r="I20" s="10"/>
    </row>
    <row r="21" spans="1:9" ht="20.25" customHeight="1" x14ac:dyDescent="0.35">
      <c r="C21" s="10" t="s">
        <v>10</v>
      </c>
      <c r="D21" s="10"/>
      <c r="E21" s="50"/>
      <c r="F21" s="10"/>
      <c r="G21" s="10"/>
      <c r="H21" s="10"/>
      <c r="I21" s="10"/>
    </row>
    <row r="22" spans="1:9" x14ac:dyDescent="0.35">
      <c r="C22" s="10" t="s">
        <v>11</v>
      </c>
      <c r="D22" s="10"/>
      <c r="E22" s="50"/>
      <c r="F22" s="10"/>
      <c r="G22" s="10"/>
      <c r="H22" s="10"/>
      <c r="I22" s="10"/>
    </row>
    <row r="23" spans="1:9" x14ac:dyDescent="0.35">
      <c r="C23" s="10" t="s">
        <v>12</v>
      </c>
      <c r="D23" s="10"/>
      <c r="E23" s="50"/>
      <c r="F23" s="10"/>
      <c r="G23" s="10"/>
      <c r="H23" s="10"/>
      <c r="I23" s="10"/>
    </row>
    <row r="24" spans="1:9" x14ac:dyDescent="0.35">
      <c r="C24" s="10" t="s">
        <v>13</v>
      </c>
      <c r="D24" s="10"/>
      <c r="E24" s="50"/>
      <c r="F24" s="10"/>
      <c r="G24" s="10"/>
      <c r="H24" s="10"/>
      <c r="I24" s="10"/>
    </row>
    <row r="25" spans="1:9" s="12" customFormat="1" ht="15.6" x14ac:dyDescent="0.3">
      <c r="C25" s="11" t="s">
        <v>14</v>
      </c>
      <c r="D25" s="11"/>
      <c r="E25" s="51"/>
      <c r="F25" s="11"/>
      <c r="G25" s="11"/>
      <c r="H25" s="11"/>
    </row>
    <row r="26" spans="1:9" s="12" customFormat="1" ht="15.6" x14ac:dyDescent="0.3">
      <c r="C26" s="11" t="s">
        <v>15</v>
      </c>
      <c r="D26" s="11"/>
      <c r="E26" s="51"/>
      <c r="F26" s="11"/>
      <c r="G26" s="11"/>
      <c r="H26" s="11"/>
    </row>
    <row r="27" spans="1:9" s="14" customFormat="1" ht="20.25" customHeight="1" x14ac:dyDescent="0.35">
      <c r="C27" s="13" t="s">
        <v>16</v>
      </c>
      <c r="D27" s="13"/>
      <c r="E27" s="52"/>
    </row>
    <row r="28" spans="1:9" customFormat="1" ht="14.4" x14ac:dyDescent="0.3">
      <c r="C28" s="15"/>
      <c r="D28" s="10"/>
      <c r="E28" s="50"/>
      <c r="F28" s="10"/>
      <c r="G28" s="10"/>
      <c r="H28" s="10"/>
      <c r="I28" s="10"/>
    </row>
    <row r="29" spans="1:9" x14ac:dyDescent="0.35">
      <c r="C29" s="10"/>
      <c r="D29" s="10"/>
      <c r="E29" s="50"/>
      <c r="F29" s="10"/>
      <c r="G29" s="10"/>
      <c r="H29" s="10"/>
      <c r="I29" s="10"/>
    </row>
    <row r="30" spans="1:9" x14ac:dyDescent="0.35">
      <c r="C30" s="15"/>
      <c r="D30" s="10"/>
      <c r="E30" s="50"/>
      <c r="F30" s="10"/>
      <c r="G30" s="10"/>
      <c r="H30" s="10"/>
      <c r="I30" s="10"/>
    </row>
    <row r="31" spans="1:9" x14ac:dyDescent="0.35">
      <c r="C31" s="10"/>
      <c r="D31" s="10"/>
      <c r="E31" s="50"/>
      <c r="F31" s="10"/>
      <c r="G31" s="10"/>
      <c r="H31" s="10"/>
      <c r="I31" s="10"/>
    </row>
    <row r="33" spans="3:9" x14ac:dyDescent="0.35">
      <c r="C33" s="9"/>
      <c r="D33" s="9"/>
      <c r="E33" s="53"/>
      <c r="F33" s="9"/>
      <c r="G33" s="9"/>
      <c r="H33" s="9"/>
      <c r="I33" s="9"/>
    </row>
    <row r="48" spans="3:9" x14ac:dyDescent="0.35">
      <c r="C48" s="10"/>
      <c r="D48" s="10"/>
      <c r="E48" s="50"/>
      <c r="F48" s="10"/>
      <c r="G48" s="10"/>
      <c r="H48" s="10"/>
      <c r="I48" s="10"/>
    </row>
    <row r="49" spans="3:9" x14ac:dyDescent="0.35">
      <c r="C49" s="10"/>
      <c r="D49" s="10"/>
      <c r="E49" s="50"/>
      <c r="F49" s="10"/>
      <c r="G49" s="10"/>
      <c r="H49" s="10"/>
      <c r="I49" s="10"/>
    </row>
    <row r="50" spans="3:9" x14ac:dyDescent="0.35">
      <c r="C50" s="10"/>
      <c r="D50" s="10"/>
      <c r="E50" s="50"/>
      <c r="F50" s="10"/>
      <c r="G50" s="10"/>
      <c r="H50" s="10"/>
      <c r="I50" s="10"/>
    </row>
    <row r="51" spans="3:9" x14ac:dyDescent="0.35">
      <c r="C51" s="15"/>
      <c r="D51" s="10"/>
      <c r="E51" s="50"/>
      <c r="F51" s="10"/>
      <c r="G51" s="10"/>
      <c r="H51" s="10"/>
      <c r="I51" s="10"/>
    </row>
    <row r="52" spans="3:9" x14ac:dyDescent="0.35">
      <c r="C52" s="10"/>
      <c r="D52" s="10"/>
      <c r="E52" s="50"/>
      <c r="F52" s="10"/>
      <c r="G52" s="10"/>
      <c r="H52" s="10"/>
      <c r="I52" s="10"/>
    </row>
  </sheetData>
  <customSheetViews>
    <customSheetView guid="{AA8333F4-A272-457D-BE6D-1B569A227B28}" showPageBreaks="1" fitToPage="1" printArea="1">
      <selection activeCell="D12" sqref="D12"/>
      <pageMargins left="0.7" right="0.7" top="0.75" bottom="0.75" header="0.3" footer="0.3"/>
      <printOptions horizontalCentered="1"/>
      <pageSetup paperSize="9" scale="82" fitToHeight="0" orientation="landscape" r:id="rId1"/>
    </customSheetView>
    <customSheetView guid="{3FD70E66-B699-4089-A2E2-369960B2F041}" fitToPage="1">
      <selection activeCell="D12" sqref="D12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E61425CB-9FE7-4F79-BE47-5DC477A1BA8E}" fitToPage="1">
      <selection activeCell="D12" sqref="D12"/>
      <pageMargins left="0.7" right="0.7" top="0.75" bottom="0.75" header="0.3" footer="0.3"/>
      <printOptions horizontalCentered="1"/>
      <pageSetup paperSize="9" scale="84" fitToHeight="0" orientation="landscape" r:id="rId3"/>
    </customSheetView>
    <customSheetView guid="{C196B21B-5907-4E7A-90A7-4D3D9BC207B9}" showPageBreaks="1" fitToPage="1" printArea="1">
      <selection activeCell="D12" sqref="D12"/>
      <pageMargins left="0.7" right="0.7" top="0.75" bottom="0.75" header="0.3" footer="0.3"/>
      <printOptions horizontalCentered="1"/>
      <pageSetup paperSize="9" scale="82" fitToHeight="0" orientation="landscape" r:id="rId4"/>
    </customSheetView>
  </customSheetViews>
  <conditionalFormatting sqref="L7:L15">
    <cfRule type="containsText" dxfId="5" priority="1" operator="containsText" text="No Post">
      <formula>NOT(ISERROR(SEARCH("No Post",L7)))</formula>
    </cfRule>
  </conditionalFormatting>
  <printOptions horizontalCentered="1"/>
  <pageMargins left="0.7" right="0.7" top="0.75" bottom="0.75" header="0.3" footer="0.3"/>
  <pageSetup paperSize="9" scale="82" fitToHeight="0" orientation="landscape" r:id="rId5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3"/>
  <sheetViews>
    <sheetView zoomScaleNormal="100" zoomScaleSheetLayoutView="100" zoomScalePageLayoutView="90" workbookViewId="0">
      <selection activeCell="H17" sqref="H17"/>
    </sheetView>
  </sheetViews>
  <sheetFormatPr defaultColWidth="9.109375" defaultRowHeight="18" x14ac:dyDescent="0.35"/>
  <cols>
    <col min="1" max="1" width="4.109375" style="1" bestFit="1" customWidth="1"/>
    <col min="2" max="2" width="4.109375" style="1" customWidth="1"/>
    <col min="3" max="3" width="13.44140625" style="1" customWidth="1"/>
    <col min="4" max="4" width="41.33203125" style="1" customWidth="1"/>
    <col min="5" max="5" width="14.88671875" style="42" customWidth="1"/>
    <col min="6" max="7" width="10.6640625" style="1" customWidth="1"/>
    <col min="8" max="8" width="8.6640625" style="1" bestFit="1" customWidth="1"/>
    <col min="9" max="9" width="10.33203125" style="1" customWidth="1"/>
    <col min="10" max="10" width="20.33203125" style="1" customWidth="1"/>
    <col min="11" max="11" width="20.6640625" style="1" customWidth="1"/>
    <col min="12" max="16384" width="9.109375" style="1"/>
  </cols>
  <sheetData>
    <row r="2" spans="1:12" x14ac:dyDescent="0.35">
      <c r="D2" s="2" t="s">
        <v>0</v>
      </c>
      <c r="E2" s="41"/>
      <c r="F2" s="3"/>
      <c r="G2" s="3"/>
      <c r="H2" s="3"/>
    </row>
    <row r="3" spans="1:12" x14ac:dyDescent="0.35">
      <c r="H3" s="4"/>
    </row>
    <row r="4" spans="1:12" s="5" customFormat="1" thickBot="1" x14ac:dyDescent="0.4">
      <c r="D4" s="6"/>
      <c r="E4" s="43"/>
    </row>
    <row r="5" spans="1:12" s="7" customFormat="1" ht="23.4" x14ac:dyDescent="0.45">
      <c r="A5" s="26" t="s">
        <v>22</v>
      </c>
      <c r="B5" s="81"/>
      <c r="C5" s="27"/>
      <c r="D5" s="27"/>
      <c r="E5" s="44"/>
      <c r="F5" s="27"/>
      <c r="G5" s="27"/>
      <c r="H5" s="27"/>
      <c r="I5" s="27"/>
      <c r="J5" s="28" t="s">
        <v>1</v>
      </c>
      <c r="K5" s="22" t="str">
        <f ca="1">CONCATENATE((MID(CELL("filename",K5),FIND("]",CELL("filename",K5))+1,255)),"/04/2026")</f>
        <v>21/04/2026</v>
      </c>
    </row>
    <row r="6" spans="1:12" ht="18.600000000000001" thickBot="1" x14ac:dyDescent="0.4">
      <c r="A6" s="29"/>
      <c r="B6" s="82"/>
      <c r="C6" s="30" t="s">
        <v>2</v>
      </c>
      <c r="D6" s="30" t="s">
        <v>3</v>
      </c>
      <c r="E6" s="45" t="s">
        <v>21</v>
      </c>
      <c r="F6" s="30" t="s">
        <v>19</v>
      </c>
      <c r="G6" s="30" t="s">
        <v>17</v>
      </c>
      <c r="H6" s="30" t="s">
        <v>4</v>
      </c>
      <c r="I6" s="31" t="s">
        <v>5</v>
      </c>
      <c r="J6" s="31" t="s">
        <v>20</v>
      </c>
      <c r="K6" s="32" t="s">
        <v>6</v>
      </c>
    </row>
    <row r="7" spans="1:12" x14ac:dyDescent="0.35">
      <c r="A7" s="34">
        <v>1</v>
      </c>
      <c r="B7" s="34"/>
      <c r="C7" s="35">
        <v>685</v>
      </c>
      <c r="D7" s="25" t="s">
        <v>96</v>
      </c>
      <c r="E7" s="58">
        <v>46137</v>
      </c>
      <c r="F7" s="35">
        <v>2</v>
      </c>
      <c r="G7" s="35"/>
      <c r="H7" s="35"/>
      <c r="I7" s="85"/>
      <c r="J7" s="24" t="s">
        <v>74</v>
      </c>
      <c r="K7" s="25" t="s">
        <v>70</v>
      </c>
      <c r="L7" s="56" t="str">
        <f>IF(OR(NOT(ISERROR(MATCH(RIGHT(C7,3)+0,#REF!,0))),NOT(ISERROR(MATCH(LEFT(C7,3)+0,#REF!,0)))),"No Post","")</f>
        <v/>
      </c>
    </row>
    <row r="8" spans="1:12" x14ac:dyDescent="0.35">
      <c r="A8" s="17">
        <v>2</v>
      </c>
      <c r="B8" s="17"/>
      <c r="C8" s="24"/>
      <c r="D8" s="55"/>
      <c r="E8" s="47"/>
      <c r="F8" s="24"/>
      <c r="G8" s="24"/>
      <c r="H8" s="24"/>
      <c r="I8" s="24"/>
      <c r="J8" s="24"/>
      <c r="K8" s="24"/>
      <c r="L8" s="56" t="str">
        <f>IF(OR(NOT(ISERROR(MATCH(RIGHT(C8,3)+0,#REF!,0))),NOT(ISERROR(MATCH(LEFT(C8,3)+0,#REF!,0)))),"No Post","")</f>
        <v/>
      </c>
    </row>
    <row r="9" spans="1:12" x14ac:dyDescent="0.35">
      <c r="A9" s="17">
        <v>3</v>
      </c>
      <c r="B9" s="17"/>
      <c r="C9" s="24"/>
      <c r="D9" s="55"/>
      <c r="E9" s="47"/>
      <c r="F9" s="24"/>
      <c r="G9" s="24"/>
      <c r="H9" s="24"/>
      <c r="I9" s="24"/>
      <c r="J9" s="24"/>
      <c r="K9" s="24"/>
      <c r="L9" s="56" t="str">
        <f>IF(OR(NOT(ISERROR(MATCH(RIGHT(C9,3)+0,#REF!,0))),NOT(ISERROR(MATCH(LEFT(C9,3)+0,#REF!,0)))),"No Post","")</f>
        <v/>
      </c>
    </row>
    <row r="10" spans="1:12" x14ac:dyDescent="0.35">
      <c r="A10" s="17">
        <v>4</v>
      </c>
      <c r="B10" s="17"/>
      <c r="C10" s="24"/>
      <c r="D10" s="55"/>
      <c r="E10" s="47"/>
      <c r="F10" s="24"/>
      <c r="G10" s="24"/>
      <c r="H10" s="24"/>
      <c r="I10" s="24"/>
      <c r="J10" s="24"/>
      <c r="K10" s="24"/>
      <c r="L10" s="56" t="str">
        <f>IF(OR(NOT(ISERROR(MATCH(RIGHT(C10,3)+0,#REF!,0))),NOT(ISERROR(MATCH(LEFT(C10,3)+0,#REF!,0)))),"No Post","")</f>
        <v/>
      </c>
    </row>
    <row r="11" spans="1:12" x14ac:dyDescent="0.35">
      <c r="A11" s="17">
        <v>5</v>
      </c>
      <c r="B11" s="17"/>
      <c r="C11" s="24"/>
      <c r="D11" s="55"/>
      <c r="E11" s="47"/>
      <c r="F11" s="24"/>
      <c r="G11" s="24"/>
      <c r="H11" s="24"/>
      <c r="I11" s="24"/>
      <c r="J11" s="24"/>
      <c r="K11" s="24"/>
      <c r="L11" s="56" t="str">
        <f>IF(OR(NOT(ISERROR(MATCH(RIGHT(C11,3)+0,#REF!,0))),NOT(ISERROR(MATCH(LEFT(C11,3)+0,#REF!,0)))),"No Post","")</f>
        <v/>
      </c>
    </row>
    <row r="12" spans="1:12" x14ac:dyDescent="0.35">
      <c r="A12" s="34">
        <v>6</v>
      </c>
      <c r="B12" s="34"/>
      <c r="C12" s="24"/>
      <c r="D12" s="55"/>
      <c r="E12" s="47"/>
      <c r="F12" s="24"/>
      <c r="G12" s="24"/>
      <c r="H12" s="24"/>
      <c r="I12" s="24"/>
      <c r="J12" s="24"/>
      <c r="K12" s="24"/>
      <c r="L12" s="56" t="str">
        <f>IF(OR(NOT(ISERROR(MATCH(RIGHT(C12,3)+0,#REF!,0))),NOT(ISERROR(MATCH(LEFT(C12,3)+0,#REF!,0)))),"No Post","")</f>
        <v/>
      </c>
    </row>
    <row r="13" spans="1:12" x14ac:dyDescent="0.35">
      <c r="A13" s="17">
        <v>7</v>
      </c>
      <c r="B13" s="17"/>
      <c r="C13" s="24"/>
      <c r="D13" s="55"/>
      <c r="E13" s="47"/>
      <c r="F13" s="24"/>
      <c r="G13" s="24"/>
      <c r="H13" s="24"/>
      <c r="I13" s="24"/>
      <c r="J13" s="24"/>
      <c r="K13" s="24"/>
      <c r="L13" s="56" t="str">
        <f>IF(OR(NOT(ISERROR(MATCH(RIGHT(C13,3)+0,#REF!,0))),NOT(ISERROR(MATCH(LEFT(C13,3)+0,#REF!,0)))),"No Post","")</f>
        <v/>
      </c>
    </row>
    <row r="14" spans="1:12" x14ac:dyDescent="0.35">
      <c r="A14" s="17">
        <v>8</v>
      </c>
      <c r="B14" s="17"/>
      <c r="C14" s="24"/>
      <c r="D14" s="55"/>
      <c r="E14" s="47"/>
      <c r="F14" s="24"/>
      <c r="G14" s="24"/>
      <c r="H14" s="24"/>
      <c r="I14" s="24"/>
      <c r="J14" s="24"/>
      <c r="K14" s="24"/>
      <c r="L14" s="56" t="str">
        <f>IF(OR(NOT(ISERROR(MATCH(RIGHT(C14,3)+0,#REF!,0))),NOT(ISERROR(MATCH(LEFT(C14,3)+0,#REF!,0)))),"No Post","")</f>
        <v/>
      </c>
    </row>
    <row r="15" spans="1:12" x14ac:dyDescent="0.35">
      <c r="A15" s="17">
        <v>9</v>
      </c>
      <c r="B15" s="17"/>
      <c r="C15" s="24"/>
      <c r="D15" s="55"/>
      <c r="E15" s="47"/>
      <c r="F15" s="24"/>
      <c r="G15" s="24"/>
      <c r="H15" s="24"/>
      <c r="I15" s="24"/>
      <c r="J15" s="24"/>
      <c r="K15" s="24"/>
      <c r="L15" s="56" t="str">
        <f>IF(OR(NOT(ISERROR(MATCH(RIGHT(C15,3)+0,#REF!,0))),NOT(ISERROR(MATCH(LEFT(C15,3)+0,#REF!,0)))),"No Post","")</f>
        <v/>
      </c>
    </row>
    <row r="16" spans="1:12" x14ac:dyDescent="0.35">
      <c r="A16" s="17">
        <v>10</v>
      </c>
      <c r="B16" s="17"/>
      <c r="C16" s="24"/>
      <c r="D16" s="55"/>
      <c r="E16" s="47"/>
      <c r="F16" s="24"/>
      <c r="G16" s="24"/>
      <c r="H16" s="24"/>
      <c r="I16" s="24"/>
      <c r="J16" s="24"/>
      <c r="K16" s="24"/>
      <c r="L16" s="56" t="str">
        <f>IF(OR(NOT(ISERROR(MATCH(RIGHT(C16,3)+0,#REF!,0))),NOT(ISERROR(MATCH(LEFT(C16,3)+0,#REF!,0)))),"No Post","")</f>
        <v/>
      </c>
    </row>
    <row r="17" spans="1:12" x14ac:dyDescent="0.35">
      <c r="A17" s="34">
        <v>11</v>
      </c>
      <c r="B17" s="34"/>
      <c r="C17" s="24"/>
      <c r="D17" s="55"/>
      <c r="E17" s="47"/>
      <c r="F17" s="24"/>
      <c r="G17" s="24"/>
      <c r="H17" s="24"/>
      <c r="I17" s="24"/>
      <c r="J17" s="24"/>
      <c r="K17" s="24"/>
      <c r="L17" s="56" t="str">
        <f>IF(OR(NOT(ISERROR(MATCH(RIGHT(C17,3)+0,#REF!,0))),NOT(ISERROR(MATCH(LEFT(C17,3)+0,#REF!,0)))),"No Post","")</f>
        <v/>
      </c>
    </row>
    <row r="18" spans="1:12" x14ac:dyDescent="0.35">
      <c r="A18" s="17">
        <v>12</v>
      </c>
      <c r="B18" s="17"/>
      <c r="C18" s="24"/>
      <c r="D18" s="55"/>
      <c r="E18" s="47"/>
      <c r="F18" s="24"/>
      <c r="G18" s="24"/>
      <c r="H18" s="24"/>
      <c r="I18" s="24"/>
      <c r="J18" s="24"/>
      <c r="K18" s="24"/>
      <c r="L18" s="56" t="str">
        <f>IF(OR(NOT(ISERROR(MATCH(RIGHT(C18,3)+0,#REF!,0))),NOT(ISERROR(MATCH(LEFT(C18,3)+0,#REF!,0)))),"No Post","")</f>
        <v/>
      </c>
    </row>
    <row r="19" spans="1:12" x14ac:dyDescent="0.35">
      <c r="A19" s="17">
        <v>13</v>
      </c>
      <c r="B19" s="17"/>
      <c r="C19" s="24"/>
      <c r="D19" s="55"/>
      <c r="E19" s="47"/>
      <c r="F19" s="24"/>
      <c r="G19" s="24"/>
      <c r="H19" s="24"/>
      <c r="I19" s="24"/>
      <c r="J19" s="24"/>
      <c r="K19" s="24"/>
      <c r="L19" s="56" t="str">
        <f>IF(OR(NOT(ISERROR(MATCH(RIGHT(C19,3)+0,#REF!,0))),NOT(ISERROR(MATCH(LEFT(C19,3)+0,#REF!,0)))),"No Post","")</f>
        <v/>
      </c>
    </row>
    <row r="20" spans="1:12" x14ac:dyDescent="0.35">
      <c r="A20" s="17">
        <v>14</v>
      </c>
      <c r="B20" s="17"/>
      <c r="C20" s="24"/>
      <c r="D20" s="55"/>
      <c r="E20" s="47"/>
      <c r="F20" s="24"/>
      <c r="G20" s="24"/>
      <c r="H20" s="24"/>
      <c r="I20" s="24"/>
      <c r="J20" s="24"/>
      <c r="K20" s="24"/>
      <c r="L20" s="56" t="str">
        <f>IF(OR(NOT(ISERROR(MATCH(RIGHT(C20,3)+0,#REF!,0))),NOT(ISERROR(MATCH(LEFT(C20,3)+0,#REF!,0)))),"No Post","")</f>
        <v/>
      </c>
    </row>
    <row r="21" spans="1:12" x14ac:dyDescent="0.35">
      <c r="A21" s="17">
        <v>15</v>
      </c>
      <c r="B21" s="17"/>
      <c r="C21" s="24"/>
      <c r="D21" s="55"/>
      <c r="E21" s="47"/>
      <c r="F21" s="24"/>
      <c r="G21" s="24"/>
      <c r="H21" s="24"/>
      <c r="I21" s="24"/>
      <c r="J21" s="24"/>
      <c r="K21" s="24"/>
      <c r="L21" s="56" t="str">
        <f>IF(OR(NOT(ISERROR(MATCH(RIGHT(C21,3)+0,#REF!,0))),NOT(ISERROR(MATCH(LEFT(C21,3)+0,#REF!,0)))),"No Post","")</f>
        <v/>
      </c>
    </row>
    <row r="22" spans="1:12" x14ac:dyDescent="0.35">
      <c r="A22" s="34">
        <v>16</v>
      </c>
      <c r="B22" s="34"/>
      <c r="C22" s="35"/>
      <c r="D22" s="25"/>
      <c r="E22" s="37"/>
      <c r="F22" s="38"/>
      <c r="G22" s="38"/>
      <c r="H22" s="36"/>
      <c r="I22" s="24"/>
      <c r="J22" s="25"/>
      <c r="K22" s="25"/>
      <c r="L22" s="56" t="str">
        <f>IF(OR(NOT(ISERROR(MATCH(RIGHT(C22,3)+0,#REF!,0))),NOT(ISERROR(MATCH(LEFT(C22,3)+0,#REF!,0)))),"No Post","")</f>
        <v/>
      </c>
    </row>
    <row r="23" spans="1:12" x14ac:dyDescent="0.35">
      <c r="A23" s="17">
        <v>17</v>
      </c>
      <c r="B23" s="17"/>
      <c r="C23" s="19"/>
      <c r="D23" s="33"/>
      <c r="E23" s="21"/>
      <c r="F23" s="39"/>
      <c r="G23" s="20"/>
      <c r="H23" s="18"/>
      <c r="I23" s="17"/>
      <c r="J23" s="33"/>
      <c r="K23" s="33"/>
      <c r="L23" s="56" t="str">
        <f>IF(OR(NOT(ISERROR(MATCH(RIGHT(C23,3)+0,#REF!,0))),NOT(ISERROR(MATCH(LEFT(C23,3)+0,#REF!,0)))),"No Post","")</f>
        <v/>
      </c>
    </row>
    <row r="24" spans="1:12" s="8" customFormat="1" ht="19.8" x14ac:dyDescent="0.4">
      <c r="A24" s="17">
        <v>18</v>
      </c>
      <c r="B24" s="17"/>
      <c r="C24" s="19"/>
      <c r="D24" s="33"/>
      <c r="E24" s="21"/>
      <c r="F24" s="18"/>
      <c r="G24" s="18"/>
      <c r="H24" s="18"/>
      <c r="I24" s="17"/>
      <c r="J24" s="40"/>
      <c r="K24" s="40"/>
      <c r="L24" s="56" t="str">
        <f>IF(OR(NOT(ISERROR(MATCH(RIGHT(C24,3)+0,#REF!,0))),NOT(ISERROR(MATCH(LEFT(C24,3)+0,#REF!,0)))),"No Post","")</f>
        <v/>
      </c>
    </row>
    <row r="25" spans="1:12" x14ac:dyDescent="0.35">
      <c r="A25" s="17">
        <v>19</v>
      </c>
      <c r="B25" s="17"/>
      <c r="C25" s="19"/>
      <c r="D25" s="33"/>
      <c r="E25" s="21"/>
      <c r="F25" s="18"/>
      <c r="G25" s="18"/>
      <c r="H25" s="18"/>
      <c r="I25" s="17"/>
      <c r="J25" s="33"/>
      <c r="K25" s="33"/>
      <c r="L25" s="56" t="str">
        <f>IF(OR(NOT(ISERROR(MATCH(RIGHT(C25,3)+0,#REF!,0))),NOT(ISERROR(MATCH(LEFT(C25,3)+0,#REF!,0)))),"No Post","")</f>
        <v/>
      </c>
    </row>
    <row r="26" spans="1:12" s="9" customFormat="1" x14ac:dyDescent="0.35">
      <c r="A26" s="17">
        <v>20</v>
      </c>
      <c r="B26" s="17"/>
      <c r="C26" s="19"/>
      <c r="D26" s="33"/>
      <c r="E26" s="21"/>
      <c r="F26" s="18"/>
      <c r="G26" s="18"/>
      <c r="H26" s="18"/>
      <c r="I26" s="17"/>
      <c r="J26" s="33"/>
      <c r="K26" s="33"/>
      <c r="L26" s="56" t="str">
        <f>IF(OR(NOT(ISERROR(MATCH(RIGHT(C26,3)+0,#REF!,0))),NOT(ISERROR(MATCH(LEFT(C26,3)+0,#REF!,0)))),"No Post","")</f>
        <v/>
      </c>
    </row>
    <row r="27" spans="1:12" s="9" customFormat="1" ht="23.25" customHeight="1" x14ac:dyDescent="0.35">
      <c r="A27" s="1"/>
      <c r="B27" s="1"/>
      <c r="C27" s="1"/>
      <c r="D27" s="1"/>
      <c r="E27" s="48" t="s">
        <v>18</v>
      </c>
      <c r="F27" s="16">
        <f>SUM(F22:F26)</f>
        <v>0</v>
      </c>
      <c r="G27" s="16">
        <f>SUM(G22:G26)</f>
        <v>0</v>
      </c>
      <c r="H27" s="1"/>
      <c r="I27" s="1"/>
    </row>
    <row r="28" spans="1:12" s="9" customFormat="1" ht="23.25" customHeight="1" x14ac:dyDescent="0.35">
      <c r="A28" s="1"/>
      <c r="B28" s="1"/>
      <c r="C28" s="1"/>
      <c r="D28" s="1"/>
      <c r="E28" s="42"/>
      <c r="F28" s="1"/>
      <c r="G28" s="1"/>
      <c r="H28" s="1"/>
      <c r="I28" s="1"/>
    </row>
    <row r="29" spans="1:12" ht="20.25" customHeight="1" x14ac:dyDescent="0.35">
      <c r="C29" t="s">
        <v>7</v>
      </c>
      <c r="D29"/>
      <c r="E29" s="49"/>
      <c r="F29"/>
      <c r="G29"/>
      <c r="H29"/>
      <c r="I29"/>
    </row>
    <row r="30" spans="1:12" ht="20.25" customHeight="1" x14ac:dyDescent="0.35">
      <c r="C30" s="10" t="s">
        <v>8</v>
      </c>
      <c r="D30" s="10"/>
      <c r="E30" s="50"/>
      <c r="F30" s="10"/>
      <c r="G30" s="10"/>
      <c r="H30" s="10"/>
      <c r="I30" s="10"/>
    </row>
    <row r="31" spans="1:12" ht="20.25" customHeight="1" x14ac:dyDescent="0.35">
      <c r="C31" s="10" t="s">
        <v>9</v>
      </c>
      <c r="D31" s="10"/>
      <c r="E31" s="50"/>
      <c r="F31" s="10"/>
      <c r="G31" s="10"/>
      <c r="H31" s="10"/>
      <c r="I31" s="10"/>
    </row>
    <row r="32" spans="1:12" ht="20.25" customHeight="1" x14ac:dyDescent="0.35">
      <c r="C32" s="10" t="s">
        <v>10</v>
      </c>
      <c r="D32" s="10"/>
      <c r="E32" s="50"/>
      <c r="F32" s="10"/>
      <c r="G32" s="10"/>
      <c r="H32" s="10"/>
      <c r="I32" s="10"/>
    </row>
    <row r="33" spans="3:9" x14ac:dyDescent="0.35">
      <c r="C33" s="10" t="s">
        <v>11</v>
      </c>
      <c r="D33" s="10"/>
      <c r="E33" s="50"/>
      <c r="F33" s="10"/>
      <c r="G33" s="10"/>
      <c r="H33" s="10"/>
      <c r="I33" s="10"/>
    </row>
    <row r="34" spans="3:9" x14ac:dyDescent="0.35">
      <c r="C34" s="10" t="s">
        <v>12</v>
      </c>
      <c r="D34" s="10"/>
      <c r="E34" s="50"/>
      <c r="F34" s="10"/>
      <c r="G34" s="10"/>
      <c r="H34" s="10"/>
      <c r="I34" s="10"/>
    </row>
    <row r="35" spans="3:9" x14ac:dyDescent="0.35">
      <c r="C35" s="10" t="s">
        <v>13</v>
      </c>
      <c r="D35" s="10"/>
      <c r="E35" s="50"/>
      <c r="F35" s="10"/>
      <c r="G35" s="10"/>
      <c r="H35" s="10"/>
      <c r="I35" s="10"/>
    </row>
    <row r="36" spans="3:9" s="12" customFormat="1" ht="15.6" x14ac:dyDescent="0.3">
      <c r="C36" s="11" t="s">
        <v>14</v>
      </c>
      <c r="D36" s="11"/>
      <c r="E36" s="51"/>
      <c r="F36" s="11"/>
      <c r="G36" s="11"/>
      <c r="H36" s="11"/>
    </row>
    <row r="37" spans="3:9" s="12" customFormat="1" ht="15.6" x14ac:dyDescent="0.3">
      <c r="C37" s="11" t="s">
        <v>15</v>
      </c>
      <c r="D37" s="11"/>
      <c r="E37" s="51"/>
      <c r="F37" s="11"/>
      <c r="G37" s="11"/>
      <c r="H37" s="11"/>
    </row>
    <row r="38" spans="3:9" s="14" customFormat="1" ht="20.25" customHeight="1" x14ac:dyDescent="0.35">
      <c r="C38" s="13" t="s">
        <v>16</v>
      </c>
      <c r="D38" s="13"/>
      <c r="E38" s="52"/>
    </row>
    <row r="39" spans="3:9" customFormat="1" ht="14.4" x14ac:dyDescent="0.3">
      <c r="C39" s="15"/>
      <c r="D39" s="10"/>
      <c r="E39" s="50"/>
      <c r="F39" s="10"/>
      <c r="G39" s="10"/>
      <c r="H39" s="10"/>
      <c r="I39" s="10"/>
    </row>
    <row r="40" spans="3:9" x14ac:dyDescent="0.35">
      <c r="C40" s="10"/>
      <c r="D40" s="10"/>
      <c r="E40" s="50"/>
      <c r="F40" s="10"/>
      <c r="G40" s="10"/>
      <c r="H40" s="10"/>
      <c r="I40" s="10"/>
    </row>
    <row r="41" spans="3:9" x14ac:dyDescent="0.35">
      <c r="C41" s="15"/>
      <c r="D41" s="10"/>
      <c r="E41" s="50"/>
      <c r="F41" s="10"/>
      <c r="G41" s="10"/>
      <c r="H41" s="10"/>
      <c r="I41" s="10"/>
    </row>
    <row r="42" spans="3:9" x14ac:dyDescent="0.35">
      <c r="C42" s="10"/>
      <c r="D42" s="10"/>
      <c r="E42" s="50"/>
      <c r="F42" s="10"/>
      <c r="G42" s="10"/>
      <c r="H42" s="10"/>
      <c r="I42" s="10"/>
    </row>
    <row r="44" spans="3:9" x14ac:dyDescent="0.35">
      <c r="C44" s="9"/>
      <c r="D44" s="9"/>
      <c r="E44" s="53"/>
      <c r="F44" s="9"/>
      <c r="G44" s="9"/>
      <c r="H44" s="9"/>
      <c r="I44" s="9"/>
    </row>
    <row r="59" spans="3:9" x14ac:dyDescent="0.35">
      <c r="C59" s="10"/>
      <c r="D59" s="10"/>
      <c r="E59" s="50"/>
      <c r="F59" s="10"/>
      <c r="G59" s="10"/>
      <c r="H59" s="10"/>
      <c r="I59" s="10"/>
    </row>
    <row r="60" spans="3:9" x14ac:dyDescent="0.35">
      <c r="C60" s="10"/>
      <c r="D60" s="10"/>
      <c r="E60" s="50"/>
      <c r="F60" s="10"/>
      <c r="G60" s="10"/>
      <c r="H60" s="10"/>
      <c r="I60" s="10"/>
    </row>
    <row r="61" spans="3:9" x14ac:dyDescent="0.35">
      <c r="C61" s="10"/>
      <c r="D61" s="10"/>
      <c r="E61" s="50"/>
      <c r="F61" s="10"/>
      <c r="G61" s="10"/>
      <c r="H61" s="10"/>
      <c r="I61" s="10"/>
    </row>
    <row r="62" spans="3:9" x14ac:dyDescent="0.35">
      <c r="C62" s="15"/>
      <c r="D62" s="10"/>
      <c r="E62" s="50"/>
      <c r="F62" s="10"/>
      <c r="G62" s="10"/>
      <c r="H62" s="10"/>
      <c r="I62" s="10"/>
    </row>
    <row r="63" spans="3:9" x14ac:dyDescent="0.35">
      <c r="C63" s="10"/>
      <c r="D63" s="10"/>
      <c r="E63" s="50"/>
      <c r="F63" s="10"/>
      <c r="G63" s="10"/>
      <c r="H63" s="10"/>
      <c r="I63" s="10"/>
    </row>
  </sheetData>
  <customSheetViews>
    <customSheetView guid="{AA8333F4-A272-457D-BE6D-1B569A227B28}" showPageBreaks="1" fitToPage="1" printArea="1">
      <selection activeCell="H17" sqref="H17"/>
      <pageMargins left="0.7" right="0.7" top="0.75" bottom="0.75" header="0.3" footer="0.3"/>
      <printOptions horizontalCentered="1"/>
      <pageSetup paperSize="9" scale="82" fitToHeight="0" orientation="landscape" r:id="rId1"/>
    </customSheetView>
    <customSheetView guid="{3FD70E66-B699-4089-A2E2-369960B2F041}" fitToPage="1">
      <selection activeCell="H17" sqref="H17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E61425CB-9FE7-4F79-BE47-5DC477A1BA8E}" fitToPage="1">
      <selection activeCell="H17" sqref="H17"/>
      <pageMargins left="0.7" right="0.7" top="0.75" bottom="0.75" header="0.3" footer="0.3"/>
      <printOptions horizontalCentered="1"/>
      <pageSetup paperSize="9" scale="84" fitToHeight="0" orientation="landscape" r:id="rId3"/>
    </customSheetView>
    <customSheetView guid="{C196B21B-5907-4E7A-90A7-4D3D9BC207B9}" showPageBreaks="1" fitToPage="1" printArea="1">
      <selection activeCell="H17" sqref="H17"/>
      <pageMargins left="0.7" right="0.7" top="0.75" bottom="0.75" header="0.3" footer="0.3"/>
      <printOptions horizontalCentered="1"/>
      <pageSetup paperSize="9" scale="82" fitToHeight="0" orientation="landscape" r:id="rId4"/>
    </customSheetView>
  </customSheetViews>
  <conditionalFormatting sqref="L7:L26">
    <cfRule type="containsText" dxfId="4" priority="1" operator="containsText" text="No Post">
      <formula>NOT(ISERROR(SEARCH("No Post",L7)))</formula>
    </cfRule>
  </conditionalFormatting>
  <printOptions horizontalCentered="1"/>
  <pageMargins left="0.7" right="0.7" top="0.75" bottom="0.75" header="0.3" footer="0.3"/>
  <pageSetup paperSize="9" scale="82" fitToHeight="0" orientation="landscape" r:id="rId5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1"/>
  <sheetViews>
    <sheetView zoomScaleNormal="100" zoomScaleSheetLayoutView="100" zoomScalePageLayoutView="90" workbookViewId="0">
      <selection activeCell="B7" sqref="B7"/>
    </sheetView>
  </sheetViews>
  <sheetFormatPr defaultColWidth="9.109375" defaultRowHeight="18" x14ac:dyDescent="0.35"/>
  <cols>
    <col min="1" max="1" width="4.109375" style="1" bestFit="1" customWidth="1"/>
    <col min="2" max="2" width="5.77734375" style="1" customWidth="1"/>
    <col min="3" max="3" width="13.44140625" style="1" customWidth="1"/>
    <col min="4" max="4" width="41.33203125" style="1" customWidth="1"/>
    <col min="5" max="5" width="14.88671875" style="42" customWidth="1"/>
    <col min="6" max="7" width="10.6640625" style="1" customWidth="1"/>
    <col min="8" max="8" width="8.6640625" style="1" bestFit="1" customWidth="1"/>
    <col min="9" max="9" width="10.33203125" style="1" customWidth="1"/>
    <col min="10" max="10" width="20.33203125" style="1" customWidth="1"/>
    <col min="11" max="11" width="20.6640625" style="1" customWidth="1"/>
    <col min="12" max="16384" width="9.109375" style="1"/>
  </cols>
  <sheetData>
    <row r="2" spans="1:12" x14ac:dyDescent="0.35">
      <c r="D2" s="2" t="s">
        <v>0</v>
      </c>
      <c r="E2" s="41"/>
      <c r="F2" s="3"/>
      <c r="G2" s="3"/>
      <c r="H2" s="3"/>
    </row>
    <row r="3" spans="1:12" x14ac:dyDescent="0.35">
      <c r="H3" s="4"/>
    </row>
    <row r="4" spans="1:12" s="5" customFormat="1" thickBot="1" x14ac:dyDescent="0.4">
      <c r="D4" s="6"/>
      <c r="E4" s="43"/>
    </row>
    <row r="5" spans="1:12" s="7" customFormat="1" ht="23.4" x14ac:dyDescent="0.45">
      <c r="A5" s="26" t="s">
        <v>22</v>
      </c>
      <c r="B5" s="81"/>
      <c r="C5" s="27"/>
      <c r="D5" s="27"/>
      <c r="E5" s="44"/>
      <c r="F5" s="27"/>
      <c r="G5" s="27"/>
      <c r="H5" s="27"/>
      <c r="I5" s="27"/>
      <c r="J5" s="28" t="s">
        <v>1</v>
      </c>
      <c r="K5" s="22" t="str">
        <f ca="1">CONCATENATE((MID(CELL("filename",K5),FIND("]",CELL("filename",K5))+1,255)),"/04/2026")</f>
        <v>23/04/2026</v>
      </c>
    </row>
    <row r="6" spans="1:12" ht="18.600000000000001" thickBot="1" x14ac:dyDescent="0.4">
      <c r="A6" s="29"/>
      <c r="B6" s="82"/>
      <c r="C6" s="30" t="s">
        <v>2</v>
      </c>
      <c r="D6" s="30" t="s">
        <v>3</v>
      </c>
      <c r="E6" s="45" t="s">
        <v>21</v>
      </c>
      <c r="F6" s="30" t="s">
        <v>19</v>
      </c>
      <c r="G6" s="30" t="s">
        <v>17</v>
      </c>
      <c r="H6" s="30" t="s">
        <v>4</v>
      </c>
      <c r="I6" s="31" t="s">
        <v>5</v>
      </c>
      <c r="J6" s="31" t="s">
        <v>20</v>
      </c>
      <c r="K6" s="32" t="s">
        <v>6</v>
      </c>
    </row>
    <row r="7" spans="1:12" x14ac:dyDescent="0.35">
      <c r="A7" s="34">
        <v>1</v>
      </c>
      <c r="B7" s="88"/>
      <c r="C7" s="35" t="s">
        <v>104</v>
      </c>
      <c r="D7" s="35" t="s">
        <v>96</v>
      </c>
      <c r="E7" s="58">
        <v>46137</v>
      </c>
      <c r="F7" s="35">
        <v>2</v>
      </c>
      <c r="G7" s="35"/>
      <c r="H7" s="35"/>
      <c r="I7" s="86"/>
      <c r="J7" s="35" t="s">
        <v>74</v>
      </c>
      <c r="K7" s="35" t="s">
        <v>70</v>
      </c>
      <c r="L7" s="56" t="str">
        <f>IF(OR(NOT(ISERROR(MATCH(RIGHT(C7,3)+0,#REF!,0))),NOT(ISERROR(MATCH(LEFT(C7,3)+0,#REF!,0)))),"No Post","")</f>
        <v/>
      </c>
    </row>
    <row r="8" spans="1:12" x14ac:dyDescent="0.35">
      <c r="A8" s="17">
        <v>2</v>
      </c>
      <c r="B8" s="88"/>
      <c r="C8" s="35">
        <v>679</v>
      </c>
      <c r="D8" s="35" t="s">
        <v>100</v>
      </c>
      <c r="E8" s="58">
        <v>46141</v>
      </c>
      <c r="F8" s="35">
        <v>2</v>
      </c>
      <c r="G8" s="35"/>
      <c r="H8" s="35"/>
      <c r="I8" s="35"/>
      <c r="J8" s="35"/>
      <c r="K8" s="35" t="s">
        <v>41</v>
      </c>
      <c r="L8" s="56" t="str">
        <f>IF(OR(NOT(ISERROR(MATCH(RIGHT(C8,3)+0,#REF!,0))),NOT(ISERROR(MATCH(LEFT(C8,3)+0,#REF!,0)))),"No Post","")</f>
        <v/>
      </c>
    </row>
    <row r="9" spans="1:12" x14ac:dyDescent="0.35">
      <c r="A9" s="17">
        <v>3</v>
      </c>
      <c r="B9" s="88"/>
      <c r="C9" s="35">
        <v>815</v>
      </c>
      <c r="D9" s="35" t="s">
        <v>103</v>
      </c>
      <c r="E9" s="58">
        <v>46136</v>
      </c>
      <c r="F9" s="35">
        <v>2</v>
      </c>
      <c r="G9" s="35"/>
      <c r="H9" s="35"/>
      <c r="I9" s="35"/>
      <c r="J9" s="35"/>
      <c r="K9" s="35" t="s">
        <v>41</v>
      </c>
      <c r="L9" s="56" t="str">
        <f>IF(OR(NOT(ISERROR(MATCH(RIGHT(C9,3)+0,#REF!,0))),NOT(ISERROR(MATCH(LEFT(C9,3)+0,#REF!,0)))),"No Post","")</f>
        <v/>
      </c>
    </row>
    <row r="10" spans="1:12" x14ac:dyDescent="0.35">
      <c r="A10" s="17">
        <v>4</v>
      </c>
      <c r="B10" s="88"/>
      <c r="C10" s="35">
        <v>871</v>
      </c>
      <c r="D10" s="35" t="s">
        <v>101</v>
      </c>
      <c r="E10" s="58">
        <v>46138</v>
      </c>
      <c r="F10" s="35">
        <v>2</v>
      </c>
      <c r="G10" s="35"/>
      <c r="H10" s="35"/>
      <c r="I10" s="35"/>
      <c r="J10" s="35"/>
      <c r="K10" s="35" t="s">
        <v>38</v>
      </c>
      <c r="L10" s="56" t="str">
        <f>IF(OR(NOT(ISERROR(MATCH(RIGHT(C10,3)+0,#REF!,0))),NOT(ISERROR(MATCH(LEFT(C10,3)+0,#REF!,0)))),"No Post","")</f>
        <v/>
      </c>
    </row>
    <row r="11" spans="1:12" x14ac:dyDescent="0.35">
      <c r="A11" s="17">
        <v>5</v>
      </c>
      <c r="B11" s="17"/>
      <c r="C11" s="35"/>
      <c r="D11" s="87" t="s">
        <v>102</v>
      </c>
      <c r="E11" s="58"/>
      <c r="F11" s="35"/>
      <c r="G11" s="35"/>
      <c r="H11" s="35"/>
      <c r="I11" s="35"/>
      <c r="J11" s="35"/>
      <c r="K11" s="35"/>
      <c r="L11" s="56" t="str">
        <f>IF(OR(NOT(ISERROR(MATCH(RIGHT(C11,3)+0,#REF!,0))),NOT(ISERROR(MATCH(LEFT(C11,3)+0,#REF!,0)))),"No Post","")</f>
        <v/>
      </c>
    </row>
    <row r="12" spans="1:12" x14ac:dyDescent="0.35">
      <c r="A12" s="34">
        <v>6</v>
      </c>
      <c r="B12" s="34"/>
      <c r="C12" s="24"/>
      <c r="D12" s="55"/>
      <c r="E12" s="47"/>
      <c r="F12" s="24"/>
      <c r="G12" s="24"/>
      <c r="H12" s="24"/>
      <c r="I12" s="24"/>
      <c r="J12" s="24"/>
      <c r="K12" s="24"/>
      <c r="L12" s="56" t="str">
        <f>IF(OR(NOT(ISERROR(MATCH(RIGHT(C12,3)+0,#REF!,0))),NOT(ISERROR(MATCH(LEFT(C12,3)+0,#REF!,0)))),"No Post","")</f>
        <v/>
      </c>
    </row>
    <row r="13" spans="1:12" x14ac:dyDescent="0.35">
      <c r="A13" s="17">
        <v>7</v>
      </c>
      <c r="B13" s="17"/>
      <c r="C13" s="24"/>
      <c r="D13" s="55"/>
      <c r="E13" s="47"/>
      <c r="F13" s="24"/>
      <c r="G13" s="24"/>
      <c r="H13" s="24"/>
      <c r="I13" s="24"/>
      <c r="J13" s="24"/>
      <c r="K13" s="24"/>
      <c r="L13" s="56" t="str">
        <f>IF(OR(NOT(ISERROR(MATCH(RIGHT(C13,3)+0,#REF!,0))),NOT(ISERROR(MATCH(LEFT(C13,3)+0,#REF!,0)))),"No Post","")</f>
        <v/>
      </c>
    </row>
    <row r="14" spans="1:12" x14ac:dyDescent="0.35">
      <c r="A14" s="17">
        <v>8</v>
      </c>
      <c r="B14" s="17"/>
      <c r="C14" s="24"/>
      <c r="D14" s="55"/>
      <c r="E14" s="47"/>
      <c r="F14" s="24"/>
      <c r="G14" s="24"/>
      <c r="H14" s="24"/>
      <c r="I14" s="24"/>
      <c r="J14" s="24"/>
      <c r="K14" s="24"/>
      <c r="L14" s="56" t="str">
        <f>IF(OR(NOT(ISERROR(MATCH(RIGHT(C14,3)+0,#REF!,0))),NOT(ISERROR(MATCH(LEFT(C14,3)+0,#REF!,0)))),"No Post","")</f>
        <v/>
      </c>
    </row>
    <row r="15" spans="1:12" s="9" customFormat="1" ht="23.25" customHeight="1" x14ac:dyDescent="0.35">
      <c r="A15" s="1"/>
      <c r="B15" s="1"/>
      <c r="C15" s="1"/>
      <c r="D15" s="1"/>
      <c r="E15" s="48" t="s">
        <v>18</v>
      </c>
      <c r="F15" s="16" t="e">
        <f>SUM(#REF!)</f>
        <v>#REF!</v>
      </c>
      <c r="G15" s="16" t="e">
        <f>SUM(#REF!)</f>
        <v>#REF!</v>
      </c>
      <c r="H15" s="1"/>
      <c r="I15" s="1"/>
    </row>
    <row r="16" spans="1:12" s="9" customFormat="1" ht="23.25" customHeight="1" x14ac:dyDescent="0.35">
      <c r="A16" s="1"/>
      <c r="B16" s="1"/>
      <c r="C16" s="1"/>
      <c r="D16" s="1"/>
      <c r="E16" s="42"/>
      <c r="F16" s="1"/>
      <c r="G16" s="1"/>
      <c r="H16" s="1"/>
      <c r="I16" s="1"/>
    </row>
    <row r="17" spans="3:9" ht="20.25" customHeight="1" x14ac:dyDescent="0.35">
      <c r="C17" t="s">
        <v>7</v>
      </c>
      <c r="D17"/>
      <c r="E17" s="49"/>
      <c r="F17"/>
      <c r="G17"/>
      <c r="H17"/>
      <c r="I17"/>
    </row>
    <row r="18" spans="3:9" ht="20.25" customHeight="1" x14ac:dyDescent="0.35">
      <c r="C18" s="10" t="s">
        <v>8</v>
      </c>
      <c r="D18" s="10"/>
      <c r="E18" s="50"/>
      <c r="F18" s="10"/>
      <c r="G18" s="10"/>
      <c r="H18" s="10"/>
      <c r="I18" s="10"/>
    </row>
    <row r="19" spans="3:9" ht="20.25" customHeight="1" x14ac:dyDescent="0.35">
      <c r="C19" s="10" t="s">
        <v>9</v>
      </c>
      <c r="D19" s="10"/>
      <c r="E19" s="50"/>
      <c r="F19" s="10"/>
      <c r="G19" s="10"/>
      <c r="H19" s="10"/>
      <c r="I19" s="10"/>
    </row>
    <row r="20" spans="3:9" ht="20.25" customHeight="1" x14ac:dyDescent="0.35">
      <c r="C20" s="10" t="s">
        <v>10</v>
      </c>
      <c r="D20" s="10"/>
      <c r="E20" s="50"/>
      <c r="F20" s="10"/>
      <c r="G20" s="10"/>
      <c r="H20" s="10"/>
      <c r="I20" s="10"/>
    </row>
    <row r="21" spans="3:9" x14ac:dyDescent="0.35">
      <c r="C21" s="10" t="s">
        <v>11</v>
      </c>
      <c r="D21" s="10"/>
      <c r="E21" s="50"/>
      <c r="F21" s="10"/>
      <c r="G21" s="10"/>
      <c r="H21" s="10"/>
      <c r="I21" s="10"/>
    </row>
    <row r="22" spans="3:9" x14ac:dyDescent="0.35">
      <c r="C22" s="10" t="s">
        <v>12</v>
      </c>
      <c r="D22" s="10"/>
      <c r="E22" s="50"/>
      <c r="F22" s="10"/>
      <c r="G22" s="10"/>
      <c r="H22" s="10"/>
      <c r="I22" s="10"/>
    </row>
    <row r="23" spans="3:9" x14ac:dyDescent="0.35">
      <c r="C23" s="10" t="s">
        <v>13</v>
      </c>
      <c r="D23" s="10"/>
      <c r="E23" s="50"/>
      <c r="F23" s="10"/>
      <c r="G23" s="10"/>
      <c r="H23" s="10"/>
      <c r="I23" s="10"/>
    </row>
    <row r="24" spans="3:9" s="12" customFormat="1" ht="15.6" x14ac:dyDescent="0.3">
      <c r="C24" s="11" t="s">
        <v>14</v>
      </c>
      <c r="D24" s="11"/>
      <c r="E24" s="51"/>
      <c r="F24" s="11"/>
      <c r="G24" s="11"/>
      <c r="H24" s="11"/>
    </row>
    <row r="25" spans="3:9" s="12" customFormat="1" ht="15.6" x14ac:dyDescent="0.3">
      <c r="C25" s="11" t="s">
        <v>15</v>
      </c>
      <c r="D25" s="11"/>
      <c r="E25" s="51"/>
      <c r="F25" s="11"/>
      <c r="G25" s="11"/>
      <c r="H25" s="11"/>
    </row>
    <row r="26" spans="3:9" s="14" customFormat="1" ht="20.25" customHeight="1" x14ac:dyDescent="0.35">
      <c r="C26" s="13" t="s">
        <v>16</v>
      </c>
      <c r="D26" s="13"/>
      <c r="E26" s="52"/>
    </row>
    <row r="27" spans="3:9" customFormat="1" ht="14.4" x14ac:dyDescent="0.3">
      <c r="C27" s="15"/>
      <c r="D27" s="10"/>
      <c r="E27" s="50"/>
      <c r="F27" s="10"/>
      <c r="G27" s="10"/>
      <c r="H27" s="10"/>
      <c r="I27" s="10"/>
    </row>
    <row r="28" spans="3:9" x14ac:dyDescent="0.35">
      <c r="C28" s="10"/>
      <c r="D28" s="10"/>
      <c r="E28" s="50"/>
      <c r="F28" s="10"/>
      <c r="G28" s="10"/>
      <c r="H28" s="10"/>
      <c r="I28" s="10"/>
    </row>
    <row r="29" spans="3:9" x14ac:dyDescent="0.35">
      <c r="C29" s="15"/>
      <c r="D29" s="10"/>
      <c r="E29" s="50"/>
      <c r="F29" s="10"/>
      <c r="G29" s="10"/>
      <c r="H29" s="10"/>
      <c r="I29" s="10"/>
    </row>
    <row r="30" spans="3:9" x14ac:dyDescent="0.35">
      <c r="C30" s="10"/>
      <c r="D30" s="10"/>
      <c r="E30" s="50"/>
      <c r="F30" s="10"/>
      <c r="G30" s="10"/>
      <c r="H30" s="10"/>
      <c r="I30" s="10"/>
    </row>
    <row r="32" spans="3:9" x14ac:dyDescent="0.35">
      <c r="C32" s="9"/>
      <c r="D32" s="9"/>
      <c r="E32" s="53"/>
      <c r="F32" s="9"/>
      <c r="G32" s="9"/>
      <c r="H32" s="9"/>
      <c r="I32" s="9"/>
    </row>
    <row r="47" spans="3:9" x14ac:dyDescent="0.35">
      <c r="C47" s="10"/>
      <c r="D47" s="10"/>
      <c r="E47" s="50"/>
      <c r="F47" s="10"/>
      <c r="G47" s="10"/>
      <c r="H47" s="10"/>
      <c r="I47" s="10"/>
    </row>
    <row r="48" spans="3:9" x14ac:dyDescent="0.35">
      <c r="C48" s="10"/>
      <c r="D48" s="10"/>
      <c r="E48" s="50"/>
      <c r="F48" s="10"/>
      <c r="G48" s="10"/>
      <c r="H48" s="10"/>
      <c r="I48" s="10"/>
    </row>
    <row r="49" spans="3:9" x14ac:dyDescent="0.35">
      <c r="C49" s="10"/>
      <c r="D49" s="10"/>
      <c r="E49" s="50"/>
      <c r="F49" s="10"/>
      <c r="G49" s="10"/>
      <c r="H49" s="10"/>
      <c r="I49" s="10"/>
    </row>
    <row r="50" spans="3:9" x14ac:dyDescent="0.35">
      <c r="C50" s="15"/>
      <c r="D50" s="10"/>
      <c r="E50" s="50"/>
      <c r="F50" s="10"/>
      <c r="G50" s="10"/>
      <c r="H50" s="10"/>
      <c r="I50" s="10"/>
    </row>
    <row r="51" spans="3:9" x14ac:dyDescent="0.35">
      <c r="C51" s="10"/>
      <c r="D51" s="10"/>
      <c r="E51" s="50"/>
      <c r="F51" s="10"/>
      <c r="G51" s="10"/>
      <c r="H51" s="10"/>
      <c r="I51" s="10"/>
    </row>
  </sheetData>
  <customSheetViews>
    <customSheetView guid="{AA8333F4-A272-457D-BE6D-1B569A227B28}" showPageBreaks="1" fitToPage="1" printArea="1">
      <selection activeCell="B7" sqref="B7"/>
      <pageMargins left="0.7" right="0.7" top="0.75" bottom="0.75" header="0.3" footer="0.3"/>
      <printOptions horizontalCentered="1"/>
      <pageSetup paperSize="9" scale="81" fitToHeight="0" orientation="landscape" r:id="rId1"/>
    </customSheetView>
    <customSheetView guid="{3FD70E66-B699-4089-A2E2-369960B2F041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E61425CB-9FE7-4F79-BE47-5DC477A1BA8E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r:id="rId3"/>
    </customSheetView>
    <customSheetView guid="{C196B21B-5907-4E7A-90A7-4D3D9BC207B9}" showPageBreaks="1" fitToPage="1" printArea="1">
      <selection activeCell="B7" sqref="B7"/>
      <pageMargins left="0.7" right="0.7" top="0.75" bottom="0.75" header="0.3" footer="0.3"/>
      <printOptions horizontalCentered="1"/>
      <pageSetup paperSize="9" scale="81" fitToHeight="0" orientation="landscape" r:id="rId4"/>
    </customSheetView>
  </customSheetViews>
  <conditionalFormatting sqref="L7:L14">
    <cfRule type="containsText" dxfId="3" priority="1" operator="containsText" text="No Post">
      <formula>NOT(ISERROR(SEARCH("No Post",L7)))</formula>
    </cfRule>
  </conditionalFormatting>
  <printOptions horizontalCentered="1"/>
  <pageMargins left="0.7" right="0.7" top="0.75" bottom="0.75" header="0.3" footer="0.3"/>
  <pageSetup paperSize="9" scale="81" fitToHeight="0" orientation="landscape" r:id="rId5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2"/>
  <sheetViews>
    <sheetView zoomScaleNormal="100" zoomScaleSheetLayoutView="100" zoomScalePageLayoutView="90" workbookViewId="0">
      <selection activeCell="A16" sqref="A16"/>
    </sheetView>
  </sheetViews>
  <sheetFormatPr defaultColWidth="9.109375" defaultRowHeight="18" x14ac:dyDescent="0.35"/>
  <cols>
    <col min="1" max="1" width="4.109375" style="1" bestFit="1" customWidth="1"/>
    <col min="2" max="2" width="4.109375" style="1" customWidth="1"/>
    <col min="3" max="3" width="13.44140625" style="1" customWidth="1"/>
    <col min="4" max="4" width="41.33203125" style="1" customWidth="1"/>
    <col min="5" max="5" width="14.88671875" style="42" customWidth="1"/>
    <col min="6" max="7" width="10.6640625" style="1" customWidth="1"/>
    <col min="8" max="8" width="8.6640625" style="1" bestFit="1" customWidth="1"/>
    <col min="9" max="9" width="10.33203125" style="1" customWidth="1"/>
    <col min="10" max="10" width="20.33203125" style="1" customWidth="1"/>
    <col min="11" max="11" width="20.6640625" style="1" customWidth="1"/>
    <col min="12" max="16384" width="9.109375" style="1"/>
  </cols>
  <sheetData>
    <row r="2" spans="1:12" x14ac:dyDescent="0.35">
      <c r="D2" s="2" t="s">
        <v>0</v>
      </c>
      <c r="E2" s="41"/>
      <c r="F2" s="3"/>
      <c r="G2" s="3"/>
      <c r="H2" s="3"/>
    </row>
    <row r="3" spans="1:12" x14ac:dyDescent="0.35">
      <c r="H3" s="4"/>
    </row>
    <row r="4" spans="1:12" s="5" customFormat="1" thickBot="1" x14ac:dyDescent="0.4">
      <c r="D4" s="6"/>
      <c r="E4" s="43"/>
    </row>
    <row r="5" spans="1:12" s="7" customFormat="1" ht="23.4" x14ac:dyDescent="0.45">
      <c r="A5" s="26" t="s">
        <v>22</v>
      </c>
      <c r="B5" s="81"/>
      <c r="C5" s="27"/>
      <c r="D5" s="27"/>
      <c r="E5" s="44"/>
      <c r="F5" s="27"/>
      <c r="G5" s="27"/>
      <c r="H5" s="27"/>
      <c r="I5" s="27"/>
      <c r="J5" s="28" t="s">
        <v>1</v>
      </c>
      <c r="K5" s="22" t="str">
        <f ca="1">CONCATENATE((MID(CELL("filename",K5),FIND("]",CELL("filename",K5))+1,255)),"/04/2026")</f>
        <v>25/04/2026</v>
      </c>
    </row>
    <row r="6" spans="1:12" ht="18.600000000000001" thickBot="1" x14ac:dyDescent="0.4">
      <c r="A6" s="29"/>
      <c r="B6" s="82"/>
      <c r="C6" s="30" t="s">
        <v>2</v>
      </c>
      <c r="D6" s="30" t="s">
        <v>3</v>
      </c>
      <c r="E6" s="45" t="s">
        <v>21</v>
      </c>
      <c r="F6" s="30" t="s">
        <v>19</v>
      </c>
      <c r="G6" s="30" t="s">
        <v>17</v>
      </c>
      <c r="H6" s="30" t="s">
        <v>4</v>
      </c>
      <c r="I6" s="31" t="s">
        <v>5</v>
      </c>
      <c r="J6" s="31" t="s">
        <v>20</v>
      </c>
      <c r="K6" s="32" t="s">
        <v>6</v>
      </c>
    </row>
    <row r="7" spans="1:12" x14ac:dyDescent="0.35">
      <c r="A7" s="34">
        <v>1</v>
      </c>
      <c r="B7" s="92"/>
      <c r="C7" s="35">
        <v>309</v>
      </c>
      <c r="D7" s="35" t="s">
        <v>109</v>
      </c>
      <c r="E7" s="58">
        <v>46138</v>
      </c>
      <c r="F7" s="35">
        <v>2</v>
      </c>
      <c r="G7" s="35"/>
      <c r="H7" s="35"/>
      <c r="I7" s="35"/>
      <c r="J7" s="35"/>
      <c r="K7" s="35" t="s">
        <v>108</v>
      </c>
      <c r="L7" s="56" t="str">
        <f>IF(OR(NOT(ISERROR(MATCH(RIGHT(C7,3)+0,#REF!,0))),NOT(ISERROR(MATCH(LEFT(C7,3)+0,#REF!,0)))),"No Post","")</f>
        <v/>
      </c>
    </row>
    <row r="8" spans="1:12" x14ac:dyDescent="0.35">
      <c r="A8" s="17">
        <v>2</v>
      </c>
      <c r="B8" s="92"/>
      <c r="C8" s="35">
        <v>343</v>
      </c>
      <c r="D8" s="35" t="s">
        <v>107</v>
      </c>
      <c r="E8" s="58">
        <v>46139</v>
      </c>
      <c r="F8" s="35">
        <v>2</v>
      </c>
      <c r="G8" s="35"/>
      <c r="H8" s="35"/>
      <c r="I8" s="35"/>
      <c r="J8" s="35"/>
      <c r="K8" s="35" t="s">
        <v>38</v>
      </c>
      <c r="L8" s="56" t="str">
        <f>IF(OR(NOT(ISERROR(MATCH(RIGHT(C8,3)+0,#REF!,0))),NOT(ISERROR(MATCH(LEFT(C8,3)+0,#REF!,0)))),"No Post","")</f>
        <v/>
      </c>
    </row>
    <row r="9" spans="1:12" x14ac:dyDescent="0.35">
      <c r="A9" s="17">
        <v>3</v>
      </c>
      <c r="B9" s="92"/>
      <c r="C9" s="35" t="s">
        <v>114</v>
      </c>
      <c r="D9" s="35" t="s">
        <v>106</v>
      </c>
      <c r="E9" s="58">
        <v>46136</v>
      </c>
      <c r="F9" s="35">
        <v>2</v>
      </c>
      <c r="G9" s="35"/>
      <c r="H9" s="35"/>
      <c r="I9" s="35"/>
      <c r="J9" s="35"/>
      <c r="K9" s="35" t="s">
        <v>105</v>
      </c>
      <c r="L9" s="56" t="str">
        <f>IF(OR(NOT(ISERROR(MATCH(RIGHT(C9,3)+0,#REF!,0))),NOT(ISERROR(MATCH(LEFT(C9,3)+0,#REF!,0)))),"No Post","")</f>
        <v/>
      </c>
    </row>
    <row r="10" spans="1:12" x14ac:dyDescent="0.35">
      <c r="A10" s="17">
        <v>4</v>
      </c>
      <c r="B10" s="92"/>
      <c r="C10" s="35">
        <v>307</v>
      </c>
      <c r="D10" s="35" t="s">
        <v>110</v>
      </c>
      <c r="E10" s="58">
        <v>46138</v>
      </c>
      <c r="F10" s="35">
        <v>2</v>
      </c>
      <c r="G10" s="35"/>
      <c r="H10" s="35"/>
      <c r="I10" s="35"/>
      <c r="J10" s="35"/>
      <c r="K10" s="35" t="s">
        <v>108</v>
      </c>
      <c r="L10" s="56"/>
    </row>
    <row r="11" spans="1:12" x14ac:dyDescent="0.35">
      <c r="A11" s="17">
        <v>5</v>
      </c>
      <c r="B11" s="17"/>
      <c r="C11" s="89">
        <v>305</v>
      </c>
      <c r="D11" s="35" t="s">
        <v>111</v>
      </c>
      <c r="E11" s="58">
        <v>46138</v>
      </c>
      <c r="F11" s="87" t="s">
        <v>98</v>
      </c>
      <c r="G11" s="24"/>
      <c r="H11" s="24"/>
      <c r="I11" s="24"/>
      <c r="J11" s="24"/>
      <c r="K11" s="35" t="s">
        <v>108</v>
      </c>
      <c r="L11" s="56"/>
    </row>
    <row r="12" spans="1:12" x14ac:dyDescent="0.35">
      <c r="A12" s="34">
        <v>6</v>
      </c>
      <c r="B12" s="34"/>
      <c r="C12" s="89">
        <v>303</v>
      </c>
      <c r="D12" s="35" t="s">
        <v>112</v>
      </c>
      <c r="E12" s="58">
        <v>46138</v>
      </c>
      <c r="F12" s="89" t="s">
        <v>113</v>
      </c>
      <c r="G12" s="24"/>
      <c r="H12" s="24"/>
      <c r="I12" s="24"/>
      <c r="J12" s="24"/>
      <c r="K12" s="35" t="s">
        <v>108</v>
      </c>
      <c r="L12" s="56" t="str">
        <f>IF(OR(NOT(ISERROR(MATCH(RIGHT(C12,3)+0,#REF!,0))),NOT(ISERROR(MATCH(LEFT(C12,3)+0,#REF!,0)))),"No Post","")</f>
        <v/>
      </c>
    </row>
    <row r="13" spans="1:12" x14ac:dyDescent="0.35">
      <c r="A13" s="17">
        <v>7</v>
      </c>
      <c r="B13" s="17"/>
      <c r="C13" s="87">
        <v>315</v>
      </c>
      <c r="D13" s="35" t="s">
        <v>28</v>
      </c>
      <c r="E13" s="58">
        <v>46141</v>
      </c>
      <c r="F13" s="87" t="s">
        <v>98</v>
      </c>
      <c r="G13" s="35"/>
      <c r="H13" s="35"/>
      <c r="I13" s="35" t="s">
        <v>32</v>
      </c>
      <c r="J13" s="35">
        <v>25881155</v>
      </c>
      <c r="K13" s="35" t="s">
        <v>29</v>
      </c>
      <c r="L13" s="56"/>
    </row>
    <row r="14" spans="1:12" x14ac:dyDescent="0.35">
      <c r="A14" s="34">
        <v>8</v>
      </c>
      <c r="B14" s="34"/>
      <c r="C14" s="73"/>
      <c r="D14" s="73"/>
      <c r="E14" s="90"/>
      <c r="F14" s="73"/>
      <c r="G14" s="73"/>
      <c r="H14" s="73"/>
      <c r="I14" s="73"/>
      <c r="J14" s="73"/>
      <c r="K14" s="73"/>
      <c r="L14" s="56"/>
    </row>
    <row r="15" spans="1:12" x14ac:dyDescent="0.35">
      <c r="A15" s="17">
        <v>9</v>
      </c>
      <c r="B15" s="17"/>
      <c r="C15" s="91"/>
      <c r="D15" s="73"/>
      <c r="E15" s="90"/>
      <c r="F15" s="91"/>
      <c r="G15" s="91"/>
      <c r="H15" s="91"/>
      <c r="I15" s="91"/>
      <c r="J15" s="91"/>
      <c r="K15" s="73"/>
      <c r="L15" s="56" t="str">
        <f>IF(OR(NOT(ISERROR(MATCH(RIGHT(C15,3)+0,#REF!,0))),NOT(ISERROR(MATCH(LEFT(C15,3)+0,#REF!,0)))),"No Post","")</f>
        <v/>
      </c>
    </row>
    <row r="16" spans="1:12" s="9" customFormat="1" ht="23.25" customHeight="1" x14ac:dyDescent="0.35">
      <c r="A16" s="1"/>
      <c r="B16" s="1"/>
      <c r="C16" s="1"/>
      <c r="D16" s="1"/>
      <c r="E16" s="48" t="s">
        <v>18</v>
      </c>
      <c r="F16" s="16">
        <f>SUM(F7:F15)</f>
        <v>8</v>
      </c>
      <c r="G16" s="16">
        <f>SUM(G7:G15)</f>
        <v>0</v>
      </c>
      <c r="H16" s="1"/>
      <c r="I16" s="1"/>
    </row>
    <row r="17" spans="1:9" s="9" customFormat="1" ht="23.25" customHeight="1" x14ac:dyDescent="0.35">
      <c r="A17" s="1"/>
      <c r="B17" s="1"/>
      <c r="C17" s="1"/>
      <c r="D17" s="1"/>
      <c r="E17" s="42"/>
      <c r="F17" s="1"/>
      <c r="G17" s="1"/>
      <c r="H17" s="1"/>
      <c r="I17" s="1"/>
    </row>
    <row r="18" spans="1:9" ht="20.25" customHeight="1" x14ac:dyDescent="0.35">
      <c r="C18" t="s">
        <v>7</v>
      </c>
      <c r="D18"/>
      <c r="E18" s="49"/>
      <c r="F18"/>
      <c r="G18"/>
      <c r="H18"/>
      <c r="I18"/>
    </row>
    <row r="19" spans="1:9" ht="20.25" customHeight="1" x14ac:dyDescent="0.35">
      <c r="C19" s="10" t="s">
        <v>8</v>
      </c>
      <c r="D19" s="10"/>
      <c r="E19" s="50"/>
      <c r="F19" s="10"/>
      <c r="G19" s="10"/>
      <c r="H19" s="10"/>
      <c r="I19" s="10"/>
    </row>
    <row r="20" spans="1:9" ht="20.25" customHeight="1" x14ac:dyDescent="0.35">
      <c r="C20" s="10" t="s">
        <v>9</v>
      </c>
      <c r="D20" s="10"/>
      <c r="E20" s="50"/>
      <c r="F20" s="10"/>
      <c r="G20" s="10"/>
      <c r="H20" s="10"/>
      <c r="I20" s="10"/>
    </row>
    <row r="21" spans="1:9" ht="20.25" customHeight="1" x14ac:dyDescent="0.35">
      <c r="C21" s="10" t="s">
        <v>10</v>
      </c>
      <c r="D21" s="10"/>
      <c r="E21" s="50"/>
      <c r="F21" s="10"/>
      <c r="G21" s="10"/>
      <c r="H21" s="10"/>
      <c r="I21" s="10"/>
    </row>
    <row r="22" spans="1:9" x14ac:dyDescent="0.35">
      <c r="C22" s="10" t="s">
        <v>11</v>
      </c>
      <c r="D22" s="10"/>
      <c r="E22" s="50"/>
      <c r="F22" s="10"/>
      <c r="G22" s="10"/>
      <c r="H22" s="10"/>
      <c r="I22" s="10"/>
    </row>
    <row r="23" spans="1:9" x14ac:dyDescent="0.35">
      <c r="C23" s="10" t="s">
        <v>12</v>
      </c>
      <c r="D23" s="10"/>
      <c r="E23" s="50"/>
      <c r="F23" s="10"/>
      <c r="G23" s="10"/>
      <c r="H23" s="10"/>
      <c r="I23" s="10"/>
    </row>
    <row r="24" spans="1:9" x14ac:dyDescent="0.35">
      <c r="C24" s="10" t="s">
        <v>13</v>
      </c>
      <c r="D24" s="10"/>
      <c r="E24" s="50"/>
      <c r="F24" s="10"/>
      <c r="G24" s="10"/>
      <c r="H24" s="10"/>
      <c r="I24" s="10"/>
    </row>
    <row r="25" spans="1:9" s="12" customFormat="1" ht="15.6" x14ac:dyDescent="0.3">
      <c r="C25" s="11" t="s">
        <v>14</v>
      </c>
      <c r="D25" s="11"/>
      <c r="E25" s="51"/>
      <c r="F25" s="11"/>
      <c r="G25" s="11"/>
      <c r="H25" s="11"/>
    </row>
    <row r="26" spans="1:9" s="12" customFormat="1" ht="15.6" x14ac:dyDescent="0.3">
      <c r="C26" s="11" t="s">
        <v>15</v>
      </c>
      <c r="D26" s="11"/>
      <c r="E26" s="51"/>
      <c r="F26" s="11"/>
      <c r="G26" s="11"/>
      <c r="H26" s="11"/>
    </row>
    <row r="27" spans="1:9" s="14" customFormat="1" ht="20.25" customHeight="1" x14ac:dyDescent="0.35">
      <c r="C27" s="13" t="s">
        <v>16</v>
      </c>
      <c r="D27" s="13"/>
      <c r="E27" s="52"/>
    </row>
    <row r="28" spans="1:9" customFormat="1" ht="14.4" x14ac:dyDescent="0.3">
      <c r="C28" s="15"/>
      <c r="D28" s="10"/>
      <c r="E28" s="50"/>
      <c r="F28" s="10"/>
      <c r="G28" s="10"/>
      <c r="H28" s="10"/>
      <c r="I28" s="10"/>
    </row>
    <row r="29" spans="1:9" x14ac:dyDescent="0.35">
      <c r="C29" s="10"/>
      <c r="D29" s="10"/>
      <c r="E29" s="50"/>
      <c r="F29" s="10"/>
      <c r="G29" s="10"/>
      <c r="H29" s="10"/>
      <c r="I29" s="10"/>
    </row>
    <row r="30" spans="1:9" x14ac:dyDescent="0.35">
      <c r="C30" s="15"/>
      <c r="D30" s="10"/>
      <c r="E30" s="50"/>
      <c r="F30" s="10"/>
      <c r="G30" s="10"/>
      <c r="H30" s="10"/>
      <c r="I30" s="10"/>
    </row>
    <row r="31" spans="1:9" x14ac:dyDescent="0.35">
      <c r="C31" s="10"/>
      <c r="D31" s="10"/>
      <c r="E31" s="50"/>
      <c r="F31" s="10"/>
      <c r="G31" s="10"/>
      <c r="H31" s="10"/>
      <c r="I31" s="10"/>
    </row>
    <row r="33" spans="3:9" x14ac:dyDescent="0.35">
      <c r="C33" s="9"/>
      <c r="D33" s="9"/>
      <c r="E33" s="53"/>
      <c r="F33" s="9"/>
      <c r="G33" s="9"/>
      <c r="H33" s="9"/>
      <c r="I33" s="9"/>
    </row>
    <row r="48" spans="3:9" x14ac:dyDescent="0.35">
      <c r="C48" s="10"/>
      <c r="D48" s="10"/>
      <c r="E48" s="50"/>
      <c r="F48" s="10"/>
      <c r="G48" s="10"/>
      <c r="H48" s="10"/>
      <c r="I48" s="10"/>
    </row>
    <row r="49" spans="3:9" x14ac:dyDescent="0.35">
      <c r="C49" s="10"/>
      <c r="D49" s="10"/>
      <c r="E49" s="50"/>
      <c r="F49" s="10"/>
      <c r="G49" s="10"/>
      <c r="H49" s="10"/>
      <c r="I49" s="10"/>
    </row>
    <row r="50" spans="3:9" x14ac:dyDescent="0.35">
      <c r="C50" s="10"/>
      <c r="D50" s="10"/>
      <c r="E50" s="50"/>
      <c r="F50" s="10"/>
      <c r="G50" s="10"/>
      <c r="H50" s="10"/>
      <c r="I50" s="10"/>
    </row>
    <row r="51" spans="3:9" x14ac:dyDescent="0.35">
      <c r="C51" s="15"/>
      <c r="D51" s="10"/>
      <c r="E51" s="50"/>
      <c r="F51" s="10"/>
      <c r="G51" s="10"/>
      <c r="H51" s="10"/>
      <c r="I51" s="10"/>
    </row>
    <row r="52" spans="3:9" x14ac:dyDescent="0.35">
      <c r="C52" s="10"/>
      <c r="D52" s="10"/>
      <c r="E52" s="50"/>
      <c r="F52" s="10"/>
      <c r="G52" s="10"/>
      <c r="H52" s="10"/>
      <c r="I52" s="10"/>
    </row>
  </sheetData>
  <sortState ref="C7:K9">
    <sortCondition ref="C7"/>
  </sortState>
  <customSheetViews>
    <customSheetView guid="{AA8333F4-A272-457D-BE6D-1B569A227B28}" showPageBreaks="1" fitToPage="1" printArea="1">
      <selection activeCell="A16" sqref="A16"/>
      <pageMargins left="0.7" right="0.7" top="0.75" bottom="0.75" header="0.3" footer="0.3"/>
      <printOptions horizontalCentered="1"/>
      <pageSetup paperSize="9" scale="82" fitToHeight="0" orientation="landscape" r:id="rId1"/>
    </customSheetView>
    <customSheetView guid="{3FD70E66-B699-4089-A2E2-369960B2F041}" fitToPage="1">
      <selection activeCell="K8" sqref="K8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E61425CB-9FE7-4F79-BE47-5DC477A1BA8E}" fitToPage="1">
      <selection activeCell="K8" sqref="K8"/>
      <pageMargins left="0.7" right="0.7" top="0.75" bottom="0.75" header="0.3" footer="0.3"/>
      <printOptions horizontalCentered="1"/>
      <pageSetup paperSize="9" scale="84" fitToHeight="0" orientation="landscape" r:id="rId3"/>
    </customSheetView>
    <customSheetView guid="{C196B21B-5907-4E7A-90A7-4D3D9BC207B9}" showPageBreaks="1" fitToPage="1" printArea="1">
      <selection activeCell="H10" sqref="H10"/>
      <pageMargins left="0.7" right="0.7" top="0.75" bottom="0.75" header="0.3" footer="0.3"/>
      <printOptions horizontalCentered="1"/>
      <pageSetup paperSize="9" scale="82" fitToHeight="0" orientation="landscape" r:id="rId4"/>
    </customSheetView>
  </customSheetViews>
  <conditionalFormatting sqref="L8:L15">
    <cfRule type="containsText" dxfId="2" priority="1" operator="containsText" text="No Post">
      <formula>NOT(ISERROR(SEARCH("No Post",L8)))</formula>
    </cfRule>
  </conditionalFormatting>
  <printOptions horizontalCentered="1"/>
  <pageMargins left="0.7" right="0.7" top="0.75" bottom="0.75" header="0.3" footer="0.3"/>
  <pageSetup paperSize="9" scale="82" fitToHeight="0" orientation="landscape" r:id="rId5"/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zoomScalePageLayoutView="90" workbookViewId="0">
      <selection activeCell="K10" sqref="K10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42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41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3"/>
    </row>
    <row r="5" spans="1:11" s="7" customFormat="1" ht="23.4" x14ac:dyDescent="0.45">
      <c r="A5" s="26" t="s">
        <v>22</v>
      </c>
      <c r="B5" s="27"/>
      <c r="C5" s="27"/>
      <c r="D5" s="44"/>
      <c r="E5" s="27"/>
      <c r="F5" s="27"/>
      <c r="G5" s="27"/>
      <c r="H5" s="27"/>
      <c r="I5" s="28" t="s">
        <v>1</v>
      </c>
      <c r="J5" s="22" t="str">
        <f ca="1">CONCATENATE((MID(CELL("filename",J5),FIND("]",CELL("filename",J5))+1,255)),"/04/2026")</f>
        <v>28/04/2026</v>
      </c>
    </row>
    <row r="6" spans="1:11" ht="18.600000000000001" thickBot="1" x14ac:dyDescent="0.4">
      <c r="A6" s="29"/>
      <c r="B6" s="93" t="s">
        <v>2</v>
      </c>
      <c r="C6" s="93" t="s">
        <v>3</v>
      </c>
      <c r="D6" s="94" t="s">
        <v>21</v>
      </c>
      <c r="E6" s="93" t="s">
        <v>19</v>
      </c>
      <c r="F6" s="93" t="s">
        <v>17</v>
      </c>
      <c r="G6" s="93" t="s">
        <v>4</v>
      </c>
      <c r="H6" s="95" t="s">
        <v>5</v>
      </c>
      <c r="I6" s="95" t="s">
        <v>20</v>
      </c>
      <c r="J6" s="96" t="s">
        <v>6</v>
      </c>
    </row>
    <row r="7" spans="1:11" x14ac:dyDescent="0.35">
      <c r="A7" s="34">
        <v>1</v>
      </c>
      <c r="B7" s="24">
        <v>609</v>
      </c>
      <c r="C7" s="97" t="s">
        <v>24</v>
      </c>
      <c r="D7" s="47">
        <v>46143</v>
      </c>
      <c r="E7" s="24">
        <v>2</v>
      </c>
      <c r="F7" s="24">
        <v>2</v>
      </c>
      <c r="G7" s="24"/>
      <c r="H7" s="24"/>
      <c r="I7" s="98" t="s">
        <v>115</v>
      </c>
      <c r="J7" s="24" t="s">
        <v>25</v>
      </c>
      <c r="K7" s="56" t="s">
        <v>32</v>
      </c>
    </row>
    <row r="8" spans="1:11" x14ac:dyDescent="0.35">
      <c r="A8" s="17">
        <v>2</v>
      </c>
      <c r="B8" s="24">
        <v>610</v>
      </c>
      <c r="C8" s="99" t="s">
        <v>26</v>
      </c>
      <c r="D8" s="47">
        <v>46143</v>
      </c>
      <c r="E8" s="24">
        <v>1</v>
      </c>
      <c r="F8" s="24"/>
      <c r="G8" s="24"/>
      <c r="H8" s="24"/>
      <c r="I8" s="98" t="s">
        <v>116</v>
      </c>
      <c r="J8" s="24" t="s">
        <v>25</v>
      </c>
      <c r="K8" s="56" t="s">
        <v>32</v>
      </c>
    </row>
    <row r="9" spans="1:11" x14ac:dyDescent="0.35">
      <c r="A9" s="17">
        <v>3</v>
      </c>
      <c r="B9" s="24">
        <v>611</v>
      </c>
      <c r="C9" s="97" t="s">
        <v>27</v>
      </c>
      <c r="D9" s="47">
        <v>46143</v>
      </c>
      <c r="E9" s="24" t="s">
        <v>113</v>
      </c>
      <c r="F9" s="24"/>
      <c r="G9" s="24"/>
      <c r="H9" s="24"/>
      <c r="I9" s="98" t="s">
        <v>117</v>
      </c>
      <c r="J9" s="24" t="s">
        <v>25</v>
      </c>
      <c r="K9" s="56" t="s">
        <v>32</v>
      </c>
    </row>
    <row r="10" spans="1:11" x14ac:dyDescent="0.35">
      <c r="A10" s="17">
        <v>4</v>
      </c>
      <c r="B10" s="24">
        <v>620</v>
      </c>
      <c r="C10" s="55" t="s">
        <v>119</v>
      </c>
      <c r="D10" s="47">
        <v>46141</v>
      </c>
      <c r="E10" s="24">
        <v>1</v>
      </c>
      <c r="F10" s="24"/>
      <c r="G10" s="24"/>
      <c r="H10" s="24"/>
      <c r="I10" s="24"/>
      <c r="J10" s="24" t="s">
        <v>41</v>
      </c>
      <c r="K10" s="56" t="str">
        <f>IF(OR(NOT(ISERROR(MATCH(RIGHT(B10,3)+0,#REF!,0))),NOT(ISERROR(MATCH(LEFT(B10,3)+0,#REF!,0)))),"No Post","")</f>
        <v/>
      </c>
    </row>
    <row r="11" spans="1:11" x14ac:dyDescent="0.35">
      <c r="A11" s="17">
        <v>5</v>
      </c>
      <c r="B11" s="24"/>
      <c r="C11" s="55"/>
      <c r="D11" s="47"/>
      <c r="E11" s="24"/>
      <c r="F11" s="24"/>
      <c r="G11" s="24"/>
      <c r="H11" s="24"/>
      <c r="I11" s="24"/>
      <c r="J11" s="24"/>
      <c r="K11" s="56" t="str">
        <f>IF(OR(NOT(ISERROR(MATCH(RIGHT(B11,3)+0,#REF!,0))),NOT(ISERROR(MATCH(LEFT(B11,3)+0,#REF!,0)))),"No Post","")</f>
        <v/>
      </c>
    </row>
    <row r="12" spans="1:11" x14ac:dyDescent="0.35">
      <c r="A12" s="34">
        <v>6</v>
      </c>
      <c r="B12" s="24"/>
      <c r="C12" s="55"/>
      <c r="D12" s="47"/>
      <c r="E12" s="24"/>
      <c r="F12" s="24"/>
      <c r="G12" s="24"/>
      <c r="H12" s="24"/>
      <c r="I12" s="24"/>
      <c r="J12" s="24"/>
      <c r="K12" s="56" t="str">
        <f>IF(OR(NOT(ISERROR(MATCH(RIGHT(B12,3)+0,#REF!,0))),NOT(ISERROR(MATCH(LEFT(B12,3)+0,#REF!,0)))),"No Post","")</f>
        <v/>
      </c>
    </row>
    <row r="13" spans="1:11" x14ac:dyDescent="0.35">
      <c r="A13" s="17">
        <v>7</v>
      </c>
      <c r="B13" s="24"/>
      <c r="C13" s="55"/>
      <c r="D13" s="47"/>
      <c r="E13" s="24"/>
      <c r="F13" s="24"/>
      <c r="G13" s="24"/>
      <c r="H13" s="24"/>
      <c r="I13" s="24"/>
      <c r="J13" s="24"/>
      <c r="K13" s="56" t="str">
        <f>IF(OR(NOT(ISERROR(MATCH(RIGHT(B13,3)+0,#REF!,0))),NOT(ISERROR(MATCH(LEFT(B13,3)+0,#REF!,0)))),"No Post","")</f>
        <v/>
      </c>
    </row>
    <row r="14" spans="1:11" x14ac:dyDescent="0.35">
      <c r="A14" s="17">
        <v>8</v>
      </c>
      <c r="B14" s="24"/>
      <c r="C14" s="55"/>
      <c r="D14" s="47"/>
      <c r="E14" s="24"/>
      <c r="F14" s="24"/>
      <c r="G14" s="24"/>
      <c r="H14" s="24"/>
      <c r="I14" s="24"/>
      <c r="J14" s="24"/>
      <c r="K14" s="56" t="str">
        <f>IF(OR(NOT(ISERROR(MATCH(RIGHT(B14,3)+0,#REF!,0))),NOT(ISERROR(MATCH(LEFT(B14,3)+0,#REF!,0)))),"No Post","")</f>
        <v/>
      </c>
    </row>
    <row r="15" spans="1:11" x14ac:dyDescent="0.35">
      <c r="A15" s="17">
        <v>9</v>
      </c>
      <c r="B15" s="24"/>
      <c r="C15" s="55"/>
      <c r="D15" s="47"/>
      <c r="E15" s="24"/>
      <c r="F15" s="24"/>
      <c r="G15" s="24"/>
      <c r="H15" s="24"/>
      <c r="I15" s="24"/>
      <c r="J15" s="24"/>
      <c r="K15" s="1" t="s">
        <v>118</v>
      </c>
    </row>
    <row r="16" spans="1:11" x14ac:dyDescent="0.35">
      <c r="A16" s="17">
        <v>10</v>
      </c>
      <c r="B16" s="24"/>
      <c r="C16" s="55"/>
      <c r="D16" s="47"/>
      <c r="E16" s="24"/>
      <c r="F16" s="24"/>
      <c r="G16" s="24"/>
      <c r="H16" s="24"/>
      <c r="I16" s="24"/>
      <c r="J16" s="24"/>
      <c r="K16" s="56" t="str">
        <f>IF(OR(NOT(ISERROR(MATCH(RIGHT(B16,3)+0,#REF!,0))),NOT(ISERROR(MATCH(LEFT(B16,3)+0,#REF!,0)))),"No Post","")</f>
        <v/>
      </c>
    </row>
    <row r="17" spans="1:11" x14ac:dyDescent="0.35">
      <c r="A17" s="34">
        <v>11</v>
      </c>
      <c r="B17" s="24"/>
      <c r="C17" s="55"/>
      <c r="D17" s="47"/>
      <c r="E17" s="24"/>
      <c r="F17" s="24"/>
      <c r="G17" s="24"/>
      <c r="H17" s="24"/>
      <c r="I17" s="24"/>
      <c r="J17" s="24"/>
      <c r="K17" s="56" t="str">
        <f>IF(OR(NOT(ISERROR(MATCH(RIGHT(B17,3)+0,#REF!,0))),NOT(ISERROR(MATCH(LEFT(B17,3)+0,#REF!,0)))),"No Post","")</f>
        <v/>
      </c>
    </row>
    <row r="18" spans="1:11" x14ac:dyDescent="0.35">
      <c r="A18" s="17">
        <v>12</v>
      </c>
      <c r="B18" s="24"/>
      <c r="C18" s="55"/>
      <c r="D18" s="47"/>
      <c r="E18" s="24"/>
      <c r="F18" s="24"/>
      <c r="G18" s="24"/>
      <c r="H18" s="24"/>
      <c r="I18" s="24"/>
      <c r="J18" s="24"/>
      <c r="K18" s="56" t="str">
        <f>IF(OR(NOT(ISERROR(MATCH(RIGHT(B18,3)+0,#REF!,0))),NOT(ISERROR(MATCH(LEFT(B18,3)+0,#REF!,0)))),"No Post","")</f>
        <v/>
      </c>
    </row>
    <row r="19" spans="1:11" x14ac:dyDescent="0.35">
      <c r="A19" s="17">
        <v>13</v>
      </c>
      <c r="B19" s="24"/>
      <c r="C19" s="55"/>
      <c r="D19" s="47"/>
      <c r="E19" s="24"/>
      <c r="F19" s="24"/>
      <c r="G19" s="24"/>
      <c r="H19" s="24"/>
      <c r="I19" s="24"/>
      <c r="J19" s="24"/>
      <c r="K19" s="56" t="str">
        <f>IF(OR(NOT(ISERROR(MATCH(RIGHT(B19,3)+0,#REF!,0))),NOT(ISERROR(MATCH(LEFT(B19,3)+0,#REF!,0)))),"No Post","")</f>
        <v/>
      </c>
    </row>
    <row r="20" spans="1:11" x14ac:dyDescent="0.35">
      <c r="A20" s="17">
        <v>14</v>
      </c>
      <c r="B20" s="24"/>
      <c r="C20" s="55"/>
      <c r="D20" s="47"/>
      <c r="E20" s="24"/>
      <c r="F20" s="24"/>
      <c r="G20" s="24"/>
      <c r="H20" s="24"/>
      <c r="I20" s="24"/>
      <c r="J20" s="24"/>
      <c r="K20" s="56" t="str">
        <f>IF(OR(NOT(ISERROR(MATCH(RIGHT(B20,3)+0,#REF!,0))),NOT(ISERROR(MATCH(LEFT(B20,3)+0,#REF!,0)))),"No Post","")</f>
        <v/>
      </c>
    </row>
    <row r="21" spans="1:11" x14ac:dyDescent="0.35">
      <c r="A21" s="17">
        <v>15</v>
      </c>
      <c r="B21" s="24"/>
      <c r="C21" s="55"/>
      <c r="D21" s="47"/>
      <c r="E21" s="24"/>
      <c r="F21" s="24"/>
      <c r="G21" s="24"/>
      <c r="H21" s="24"/>
      <c r="I21" s="24"/>
      <c r="J21" s="24"/>
      <c r="K21" s="56" t="str">
        <f>IF(OR(NOT(ISERROR(MATCH(RIGHT(B21,3)+0,#REF!,0))),NOT(ISERROR(MATCH(LEFT(B21,3)+0,#REF!,0)))),"No Post","")</f>
        <v/>
      </c>
    </row>
    <row r="22" spans="1:11" x14ac:dyDescent="0.35">
      <c r="A22" s="34">
        <v>16</v>
      </c>
      <c r="B22" s="35"/>
      <c r="C22" s="25"/>
      <c r="D22" s="37"/>
      <c r="E22" s="38"/>
      <c r="F22" s="38"/>
      <c r="G22" s="36"/>
      <c r="H22" s="24"/>
      <c r="I22" s="25"/>
      <c r="J22" s="25"/>
      <c r="K22" s="56" t="str">
        <f>IF(OR(NOT(ISERROR(MATCH(RIGHT(B22,3)+0,#REF!,0))),NOT(ISERROR(MATCH(LEFT(B22,3)+0,#REF!,0)))),"No Post","")</f>
        <v/>
      </c>
    </row>
    <row r="23" spans="1:11" x14ac:dyDescent="0.35">
      <c r="A23" s="17">
        <v>17</v>
      </c>
      <c r="B23" s="19"/>
      <c r="C23" s="33"/>
      <c r="D23" s="21"/>
      <c r="E23" s="39"/>
      <c r="F23" s="20"/>
      <c r="G23" s="18"/>
      <c r="H23" s="17"/>
      <c r="I23" s="33"/>
      <c r="J23" s="33"/>
      <c r="K23" s="56" t="str">
        <f>IF(OR(NOT(ISERROR(MATCH(RIGHT(B23,3)+0,#REF!,0))),NOT(ISERROR(MATCH(LEFT(B23,3)+0,#REF!,0)))),"No Post","")</f>
        <v/>
      </c>
    </row>
    <row r="24" spans="1:11" s="8" customFormat="1" ht="19.8" x14ac:dyDescent="0.4">
      <c r="A24" s="17">
        <v>18</v>
      </c>
      <c r="B24" s="19"/>
      <c r="C24" s="33"/>
      <c r="D24" s="21"/>
      <c r="E24" s="18"/>
      <c r="F24" s="18"/>
      <c r="G24" s="18"/>
      <c r="H24" s="17"/>
      <c r="I24" s="40"/>
      <c r="J24" s="40"/>
      <c r="K24" s="56" t="str">
        <f>IF(OR(NOT(ISERROR(MATCH(RIGHT(B24,3)+0,#REF!,0))),NOT(ISERROR(MATCH(LEFT(B24,3)+0,#REF!,0)))),"No Post","")</f>
        <v/>
      </c>
    </row>
    <row r="25" spans="1:11" x14ac:dyDescent="0.35">
      <c r="A25" s="17">
        <v>19</v>
      </c>
      <c r="B25" s="19"/>
      <c r="C25" s="33"/>
      <c r="D25" s="21"/>
      <c r="E25" s="18"/>
      <c r="F25" s="18"/>
      <c r="G25" s="18"/>
      <c r="H25" s="17"/>
      <c r="I25" s="33"/>
      <c r="J25" s="33"/>
      <c r="K25" s="56" t="str">
        <f>IF(OR(NOT(ISERROR(MATCH(RIGHT(B25,3)+0,#REF!,0))),NOT(ISERROR(MATCH(LEFT(B25,3)+0,#REF!,0)))),"No Post","")</f>
        <v/>
      </c>
    </row>
    <row r="26" spans="1:11" s="9" customFormat="1" x14ac:dyDescent="0.35">
      <c r="A26" s="17">
        <v>20</v>
      </c>
      <c r="B26" s="19"/>
      <c r="C26" s="33"/>
      <c r="D26" s="21"/>
      <c r="E26" s="18"/>
      <c r="F26" s="18"/>
      <c r="G26" s="18"/>
      <c r="H26" s="17"/>
      <c r="I26" s="33"/>
      <c r="J26" s="33"/>
      <c r="K26" s="56" t="str">
        <f>IF(OR(NOT(ISERROR(MATCH(RIGHT(B26,3)+0,#REF!,0))),NOT(ISERROR(MATCH(LEFT(B26,3)+0,#REF!,0)))),"No Post","")</f>
        <v/>
      </c>
    </row>
    <row r="27" spans="1:11" s="9" customFormat="1" ht="23.25" customHeight="1" x14ac:dyDescent="0.35">
      <c r="A27" s="1"/>
      <c r="B27" s="1"/>
      <c r="C27" s="1"/>
      <c r="D27" s="48" t="s">
        <v>18</v>
      </c>
      <c r="E27" s="16">
        <f>SUM(E22:E26)</f>
        <v>0</v>
      </c>
      <c r="F27" s="16">
        <f>SUM(F22:F26)</f>
        <v>0</v>
      </c>
      <c r="G27" s="1"/>
      <c r="H27" s="1"/>
    </row>
    <row r="28" spans="1:11" s="9" customFormat="1" ht="23.25" customHeight="1" x14ac:dyDescent="0.35">
      <c r="A28" s="1"/>
      <c r="B28" s="1"/>
      <c r="C28" s="1"/>
      <c r="D28" s="42"/>
      <c r="E28" s="1"/>
      <c r="F28" s="1"/>
      <c r="G28" s="1"/>
      <c r="H28" s="1"/>
    </row>
    <row r="29" spans="1:11" ht="20.25" customHeight="1" x14ac:dyDescent="0.35">
      <c r="B29" t="s">
        <v>7</v>
      </c>
      <c r="C29"/>
      <c r="D29" s="49"/>
      <c r="E29"/>
      <c r="F29"/>
      <c r="G29"/>
      <c r="H29"/>
    </row>
    <row r="30" spans="1:11" ht="20.25" customHeight="1" x14ac:dyDescent="0.35">
      <c r="B30" s="10" t="s">
        <v>8</v>
      </c>
      <c r="C30" s="10"/>
      <c r="D30" s="50"/>
      <c r="E30" s="10"/>
      <c r="F30" s="10"/>
      <c r="G30" s="10"/>
      <c r="H30" s="10"/>
    </row>
    <row r="31" spans="1:11" ht="20.25" customHeight="1" x14ac:dyDescent="0.35">
      <c r="B31" s="10" t="s">
        <v>9</v>
      </c>
      <c r="C31" s="10"/>
      <c r="D31" s="50"/>
      <c r="E31" s="10"/>
      <c r="F31" s="10"/>
      <c r="G31" s="10"/>
      <c r="H31" s="10"/>
    </row>
    <row r="32" spans="1:11" ht="20.25" customHeight="1" x14ac:dyDescent="0.35">
      <c r="B32" s="10" t="s">
        <v>10</v>
      </c>
      <c r="C32" s="10"/>
      <c r="D32" s="50"/>
      <c r="E32" s="10"/>
      <c r="F32" s="10"/>
      <c r="G32" s="10"/>
      <c r="H32" s="10"/>
    </row>
    <row r="33" spans="2:8" x14ac:dyDescent="0.35">
      <c r="B33" s="10" t="s">
        <v>11</v>
      </c>
      <c r="C33" s="10"/>
      <c r="D33" s="50"/>
      <c r="E33" s="10"/>
      <c r="F33" s="10"/>
      <c r="G33" s="10"/>
      <c r="H33" s="10"/>
    </row>
    <row r="34" spans="2:8" x14ac:dyDescent="0.35">
      <c r="B34" s="10" t="s">
        <v>12</v>
      </c>
      <c r="C34" s="10"/>
      <c r="D34" s="50"/>
      <c r="E34" s="10"/>
      <c r="F34" s="10"/>
      <c r="G34" s="10"/>
      <c r="H34" s="10"/>
    </row>
    <row r="35" spans="2:8" x14ac:dyDescent="0.35">
      <c r="B35" s="10" t="s">
        <v>13</v>
      </c>
      <c r="C35" s="10"/>
      <c r="D35" s="50"/>
      <c r="E35" s="10"/>
      <c r="F35" s="10"/>
      <c r="G35" s="10"/>
      <c r="H35" s="10"/>
    </row>
    <row r="36" spans="2:8" s="12" customFormat="1" ht="15.6" x14ac:dyDescent="0.3">
      <c r="B36" s="11" t="s">
        <v>14</v>
      </c>
      <c r="C36" s="11"/>
      <c r="D36" s="51"/>
      <c r="E36" s="11"/>
      <c r="F36" s="11"/>
      <c r="G36" s="11"/>
    </row>
    <row r="37" spans="2:8" s="12" customFormat="1" ht="15.6" x14ac:dyDescent="0.3">
      <c r="B37" s="11" t="s">
        <v>15</v>
      </c>
      <c r="C37" s="11"/>
      <c r="D37" s="51"/>
      <c r="E37" s="11"/>
      <c r="F37" s="11"/>
      <c r="G37" s="11"/>
    </row>
    <row r="38" spans="2:8" s="14" customFormat="1" ht="20.25" customHeight="1" x14ac:dyDescent="0.35">
      <c r="B38" s="13" t="s">
        <v>16</v>
      </c>
      <c r="C38" s="13"/>
      <c r="D38" s="52"/>
    </row>
    <row r="39" spans="2:8" customFormat="1" ht="14.4" x14ac:dyDescent="0.3">
      <c r="B39" s="15"/>
      <c r="C39" s="10"/>
      <c r="D39" s="50"/>
      <c r="E39" s="10"/>
      <c r="F39" s="10"/>
      <c r="G39" s="10"/>
      <c r="H39" s="10"/>
    </row>
    <row r="40" spans="2:8" x14ac:dyDescent="0.35">
      <c r="B40" s="10"/>
      <c r="C40" s="10"/>
      <c r="D40" s="50"/>
      <c r="E40" s="10"/>
      <c r="F40" s="10"/>
      <c r="G40" s="10"/>
      <c r="H40" s="10"/>
    </row>
    <row r="41" spans="2:8" x14ac:dyDescent="0.35">
      <c r="B41" s="15"/>
      <c r="C41" s="10"/>
      <c r="D41" s="50"/>
      <c r="E41" s="10"/>
      <c r="F41" s="10"/>
      <c r="G41" s="10"/>
      <c r="H41" s="10"/>
    </row>
    <row r="42" spans="2:8" x14ac:dyDescent="0.35">
      <c r="B42" s="10"/>
      <c r="C42" s="10"/>
      <c r="D42" s="50"/>
      <c r="E42" s="10"/>
      <c r="F42" s="10"/>
      <c r="G42" s="10"/>
      <c r="H42" s="10"/>
    </row>
    <row r="44" spans="2:8" x14ac:dyDescent="0.35">
      <c r="B44" s="9"/>
      <c r="C44" s="9"/>
      <c r="D44" s="53"/>
      <c r="E44" s="9"/>
      <c r="F44" s="9"/>
      <c r="G44" s="9"/>
      <c r="H44" s="9"/>
    </row>
    <row r="59" spans="2:8" x14ac:dyDescent="0.35">
      <c r="B59" s="10"/>
      <c r="C59" s="10"/>
      <c r="D59" s="50"/>
      <c r="E59" s="10"/>
      <c r="F59" s="10"/>
      <c r="G59" s="10"/>
      <c r="H59" s="10"/>
    </row>
    <row r="60" spans="2:8" x14ac:dyDescent="0.35">
      <c r="B60" s="10"/>
      <c r="C60" s="10"/>
      <c r="D60" s="50"/>
      <c r="E60" s="10"/>
      <c r="F60" s="10"/>
      <c r="G60" s="10"/>
      <c r="H60" s="10"/>
    </row>
    <row r="61" spans="2:8" x14ac:dyDescent="0.35">
      <c r="B61" s="10"/>
      <c r="C61" s="10"/>
      <c r="D61" s="50"/>
      <c r="E61" s="10"/>
      <c r="F61" s="10"/>
      <c r="G61" s="10"/>
      <c r="H61" s="10"/>
    </row>
    <row r="62" spans="2:8" x14ac:dyDescent="0.35">
      <c r="B62" s="15"/>
      <c r="C62" s="10"/>
      <c r="D62" s="50"/>
      <c r="E62" s="10"/>
      <c r="F62" s="10"/>
      <c r="G62" s="10"/>
      <c r="H62" s="10"/>
    </row>
    <row r="63" spans="2:8" x14ac:dyDescent="0.35">
      <c r="B63" s="10"/>
      <c r="C63" s="10"/>
      <c r="D63" s="50"/>
      <c r="E63" s="10"/>
      <c r="F63" s="10"/>
      <c r="G63" s="10"/>
      <c r="H63" s="10"/>
    </row>
  </sheetData>
  <customSheetViews>
    <customSheetView guid="{AA8333F4-A272-457D-BE6D-1B569A227B28}" showPageBreaks="1" fitToPage="1" printArea="1">
      <selection activeCell="K10" sqref="K10"/>
      <pageMargins left="0.7" right="0.7" top="0.75" bottom="0.75" header="0.3" footer="0.3"/>
      <printOptions horizontalCentered="1"/>
      <pageSetup paperSize="9" scale="84" fitToHeight="0" orientation="landscape" r:id="rId1"/>
    </customSheetView>
    <customSheetView guid="{3FD70E66-B699-4089-A2E2-369960B2F041}" fitToPage="1">
      <selection activeCell="K10" sqref="K10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E61425CB-9FE7-4F79-BE47-5DC477A1BA8E}" fitToPage="1">
      <selection activeCell="K10" sqref="K10"/>
      <pageMargins left="0.7" right="0.7" top="0.75" bottom="0.75" header="0.3" footer="0.3"/>
      <printOptions horizontalCentered="1"/>
      <pageSetup paperSize="9" scale="84" fitToHeight="0" orientation="landscape" r:id="rId3"/>
    </customSheetView>
    <customSheetView guid="{C196B21B-5907-4E7A-90A7-4D3D9BC207B9}" showPageBreaks="1" fitToPage="1" printArea="1">
      <selection activeCell="K10" sqref="K10"/>
      <pageMargins left="0.7" right="0.7" top="0.75" bottom="0.75" header="0.3" footer="0.3"/>
      <printOptions horizontalCentered="1"/>
      <pageSetup paperSize="9" scale="84" fitToHeight="0" orientation="landscape" r:id="rId4"/>
    </customSheetView>
  </customSheetViews>
  <conditionalFormatting sqref="K7:K26">
    <cfRule type="containsText" dxfId="1" priority="1" operator="containsText" text="No Post">
      <formula>NOT(ISERROR(SEARCH("No Post",K7)))</formula>
    </cfRule>
  </conditionalFormatting>
  <printOptions horizontalCentered="1"/>
  <pageMargins left="0.7" right="0.7" top="0.75" bottom="0.75" header="0.3" footer="0.3"/>
  <pageSetup paperSize="9" scale="84" fitToHeight="0" orientation="landscape" r:id="rId5"/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zoomScaleSheetLayoutView="100" zoomScalePageLayoutView="90" workbookViewId="0">
      <selection activeCell="E8" sqref="E8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42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41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3"/>
    </row>
    <row r="5" spans="1:11" s="7" customFormat="1" ht="23.4" x14ac:dyDescent="0.45">
      <c r="A5" s="26" t="s">
        <v>22</v>
      </c>
      <c r="B5" s="27"/>
      <c r="C5" s="27"/>
      <c r="D5" s="44"/>
      <c r="E5" s="27"/>
      <c r="F5" s="27"/>
      <c r="G5" s="27"/>
      <c r="H5" s="27"/>
      <c r="I5" s="28" t="s">
        <v>1</v>
      </c>
      <c r="J5" s="22" t="str">
        <f ca="1">CONCATENATE((MID(CELL("filename",J5),FIND("]",CELL("filename",J5))+1,255)),"/04/2026")</f>
        <v>30/04/2026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5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4">
        <v>1</v>
      </c>
      <c r="B7" s="23">
        <v>337</v>
      </c>
      <c r="C7" s="54" t="s">
        <v>121</v>
      </c>
      <c r="D7" s="46">
        <v>46145</v>
      </c>
      <c r="E7" s="23" t="s">
        <v>56</v>
      </c>
      <c r="F7" s="23"/>
      <c r="G7" s="23"/>
      <c r="H7" s="23"/>
      <c r="I7" s="23"/>
      <c r="J7" s="23" t="s">
        <v>120</v>
      </c>
      <c r="K7" s="56" t="str">
        <f>IF(OR(NOT(ISERROR(MATCH(RIGHT(B7,3)+0,#REF!,0))),NOT(ISERROR(MATCH(LEFT(B7,3)+0,#REF!,0)))),"No Post","")</f>
        <v/>
      </c>
    </row>
    <row r="8" spans="1:11" x14ac:dyDescent="0.35">
      <c r="A8" s="17">
        <v>2</v>
      </c>
      <c r="B8" s="24"/>
      <c r="C8" s="55"/>
      <c r="D8" s="47"/>
      <c r="E8" s="24"/>
      <c r="F8" s="24"/>
      <c r="G8" s="24"/>
      <c r="H8" s="24"/>
      <c r="I8" s="24"/>
      <c r="J8" s="24"/>
      <c r="K8" s="56" t="str">
        <f>IF(OR(NOT(ISERROR(MATCH(RIGHT(B8,3)+0,#REF!,0))),NOT(ISERROR(MATCH(LEFT(B8,3)+0,#REF!,0)))),"No Post","")</f>
        <v/>
      </c>
    </row>
    <row r="9" spans="1:11" x14ac:dyDescent="0.35">
      <c r="A9" s="17">
        <v>3</v>
      </c>
      <c r="B9" s="24"/>
      <c r="C9" s="55"/>
      <c r="D9" s="47"/>
      <c r="E9" s="24"/>
      <c r="F9" s="24"/>
      <c r="G9" s="24"/>
      <c r="H9" s="24"/>
      <c r="I9" s="24"/>
      <c r="J9" s="24"/>
      <c r="K9" s="56" t="str">
        <f>IF(OR(NOT(ISERROR(MATCH(RIGHT(B9,3)+0,#REF!,0))),NOT(ISERROR(MATCH(LEFT(B9,3)+0,#REF!,0)))),"No Post","")</f>
        <v/>
      </c>
    </row>
    <row r="10" spans="1:11" x14ac:dyDescent="0.35">
      <c r="A10" s="17">
        <v>4</v>
      </c>
      <c r="B10" s="24"/>
      <c r="C10" s="55"/>
      <c r="D10" s="47"/>
      <c r="E10" s="24"/>
      <c r="F10" s="24"/>
      <c r="G10" s="24"/>
      <c r="H10" s="24"/>
      <c r="I10" s="24"/>
      <c r="J10" s="24"/>
      <c r="K10" s="56" t="str">
        <f>IF(OR(NOT(ISERROR(MATCH(RIGHT(B10,3)+0,#REF!,0))),NOT(ISERROR(MATCH(LEFT(B10,3)+0,#REF!,0)))),"No Post","")</f>
        <v/>
      </c>
    </row>
    <row r="11" spans="1:11" x14ac:dyDescent="0.35">
      <c r="A11" s="17">
        <v>5</v>
      </c>
      <c r="B11" s="24"/>
      <c r="C11" s="55"/>
      <c r="D11" s="47"/>
      <c r="E11" s="24"/>
      <c r="F11" s="24"/>
      <c r="G11" s="24"/>
      <c r="H11" s="24"/>
      <c r="I11" s="24"/>
      <c r="J11" s="24"/>
      <c r="K11" s="56" t="str">
        <f>IF(OR(NOT(ISERROR(MATCH(RIGHT(B11,3)+0,#REF!,0))),NOT(ISERROR(MATCH(LEFT(B11,3)+0,#REF!,0)))),"No Post","")</f>
        <v/>
      </c>
    </row>
    <row r="12" spans="1:11" x14ac:dyDescent="0.35">
      <c r="A12" s="34">
        <v>6</v>
      </c>
      <c r="B12" s="24"/>
      <c r="C12" s="55"/>
      <c r="D12" s="47"/>
      <c r="E12" s="24"/>
      <c r="F12" s="24"/>
      <c r="G12" s="24"/>
      <c r="H12" s="24"/>
      <c r="I12" s="24"/>
      <c r="J12" s="24"/>
      <c r="K12" s="56" t="str">
        <f>IF(OR(NOT(ISERROR(MATCH(RIGHT(B12,3)+0,#REF!,0))),NOT(ISERROR(MATCH(LEFT(B12,3)+0,#REF!,0)))),"No Post","")</f>
        <v/>
      </c>
    </row>
    <row r="13" spans="1:11" x14ac:dyDescent="0.35">
      <c r="A13" s="17">
        <v>7</v>
      </c>
      <c r="B13" s="24"/>
      <c r="C13" s="55"/>
      <c r="D13" s="47"/>
      <c r="E13" s="24"/>
      <c r="F13" s="24"/>
      <c r="G13" s="24"/>
      <c r="H13" s="24"/>
      <c r="I13" s="24"/>
      <c r="J13" s="24"/>
      <c r="K13" s="56" t="str">
        <f>IF(OR(NOT(ISERROR(MATCH(RIGHT(B13,3)+0,#REF!,0))),NOT(ISERROR(MATCH(LEFT(B13,3)+0,#REF!,0)))),"No Post","")</f>
        <v/>
      </c>
    </row>
    <row r="14" spans="1:11" x14ac:dyDescent="0.35">
      <c r="A14" s="17">
        <v>8</v>
      </c>
      <c r="B14" s="24"/>
      <c r="C14" s="55"/>
      <c r="D14" s="47"/>
      <c r="E14" s="24"/>
      <c r="F14" s="24"/>
      <c r="G14" s="24"/>
      <c r="H14" s="24"/>
      <c r="I14" s="24"/>
      <c r="J14" s="24"/>
      <c r="K14" s="56" t="str">
        <f>IF(OR(NOT(ISERROR(MATCH(RIGHT(B14,3)+0,#REF!,0))),NOT(ISERROR(MATCH(LEFT(B14,3)+0,#REF!,0)))),"No Post","")</f>
        <v/>
      </c>
    </row>
    <row r="15" spans="1:11" x14ac:dyDescent="0.35">
      <c r="A15" s="17">
        <v>9</v>
      </c>
      <c r="B15" s="24"/>
      <c r="C15" s="55"/>
      <c r="D15" s="47"/>
      <c r="E15" s="24"/>
      <c r="F15" s="24"/>
      <c r="G15" s="24"/>
      <c r="H15" s="24"/>
      <c r="I15" s="24"/>
      <c r="J15" s="24"/>
      <c r="K15" s="56" t="str">
        <f>IF(OR(NOT(ISERROR(MATCH(RIGHT(B15,3)+0,#REF!,0))),NOT(ISERROR(MATCH(LEFT(B15,3)+0,#REF!,0)))),"No Post","")</f>
        <v/>
      </c>
    </row>
    <row r="16" spans="1:11" x14ac:dyDescent="0.35">
      <c r="A16" s="17">
        <v>10</v>
      </c>
      <c r="B16" s="24"/>
      <c r="C16" s="55"/>
      <c r="D16" s="47"/>
      <c r="E16" s="24"/>
      <c r="F16" s="24"/>
      <c r="G16" s="24"/>
      <c r="H16" s="24"/>
      <c r="I16" s="24"/>
      <c r="J16" s="24"/>
      <c r="K16" s="56" t="str">
        <f>IF(OR(NOT(ISERROR(MATCH(RIGHT(B16,3)+0,#REF!,0))),NOT(ISERROR(MATCH(LEFT(B16,3)+0,#REF!,0)))),"No Post","")</f>
        <v/>
      </c>
    </row>
    <row r="17" spans="1:11" x14ac:dyDescent="0.35">
      <c r="A17" s="34">
        <v>11</v>
      </c>
      <c r="B17" s="24"/>
      <c r="C17" s="55"/>
      <c r="D17" s="47"/>
      <c r="E17" s="24"/>
      <c r="F17" s="24"/>
      <c r="G17" s="24"/>
      <c r="H17" s="24"/>
      <c r="I17" s="24"/>
      <c r="J17" s="24"/>
      <c r="K17" s="56" t="str">
        <f>IF(OR(NOT(ISERROR(MATCH(RIGHT(B17,3)+0,#REF!,0))),NOT(ISERROR(MATCH(LEFT(B17,3)+0,#REF!,0)))),"No Post","")</f>
        <v/>
      </c>
    </row>
    <row r="18" spans="1:11" x14ac:dyDescent="0.35">
      <c r="A18" s="17">
        <v>12</v>
      </c>
      <c r="B18" s="24"/>
      <c r="C18" s="55"/>
      <c r="D18" s="47"/>
      <c r="E18" s="24"/>
      <c r="F18" s="24"/>
      <c r="G18" s="24"/>
      <c r="H18" s="24"/>
      <c r="I18" s="24"/>
      <c r="J18" s="24"/>
      <c r="K18" s="56" t="str">
        <f>IF(OR(NOT(ISERROR(MATCH(RIGHT(B18,3)+0,#REF!,0))),NOT(ISERROR(MATCH(LEFT(B18,3)+0,#REF!,0)))),"No Post","")</f>
        <v/>
      </c>
    </row>
    <row r="19" spans="1:11" x14ac:dyDescent="0.35">
      <c r="A19" s="17">
        <v>13</v>
      </c>
      <c r="B19" s="24"/>
      <c r="C19" s="55"/>
      <c r="D19" s="47"/>
      <c r="E19" s="24"/>
      <c r="F19" s="24"/>
      <c r="G19" s="24"/>
      <c r="H19" s="24"/>
      <c r="I19" s="24"/>
      <c r="J19" s="24"/>
      <c r="K19" s="56" t="str">
        <f>IF(OR(NOT(ISERROR(MATCH(RIGHT(B19,3)+0,#REF!,0))),NOT(ISERROR(MATCH(LEFT(B19,3)+0,#REF!,0)))),"No Post","")</f>
        <v/>
      </c>
    </row>
    <row r="20" spans="1:11" x14ac:dyDescent="0.35">
      <c r="A20" s="17">
        <v>14</v>
      </c>
      <c r="B20" s="24"/>
      <c r="C20" s="55"/>
      <c r="D20" s="47"/>
      <c r="E20" s="24"/>
      <c r="F20" s="24"/>
      <c r="G20" s="24"/>
      <c r="H20" s="24"/>
      <c r="I20" s="24"/>
      <c r="J20" s="24"/>
      <c r="K20" s="56" t="str">
        <f>IF(OR(NOT(ISERROR(MATCH(RIGHT(B20,3)+0,#REF!,0))),NOT(ISERROR(MATCH(LEFT(B20,3)+0,#REF!,0)))),"No Post","")</f>
        <v/>
      </c>
    </row>
    <row r="21" spans="1:11" x14ac:dyDescent="0.35">
      <c r="A21" s="17">
        <v>15</v>
      </c>
      <c r="B21" s="24"/>
      <c r="C21" s="55"/>
      <c r="D21" s="47"/>
      <c r="E21" s="24"/>
      <c r="F21" s="24"/>
      <c r="G21" s="24"/>
      <c r="H21" s="24"/>
      <c r="I21" s="24"/>
      <c r="J21" s="24"/>
      <c r="K21" s="56" t="str">
        <f>IF(OR(NOT(ISERROR(MATCH(RIGHT(B21,3)+0,#REF!,0))),NOT(ISERROR(MATCH(LEFT(B21,3)+0,#REF!,0)))),"No Post","")</f>
        <v/>
      </c>
    </row>
    <row r="22" spans="1:11" x14ac:dyDescent="0.35">
      <c r="A22" s="34">
        <v>16</v>
      </c>
      <c r="B22" s="35"/>
      <c r="C22" s="25"/>
      <c r="D22" s="37"/>
      <c r="E22" s="38"/>
      <c r="F22" s="38"/>
      <c r="G22" s="36"/>
      <c r="H22" s="24"/>
      <c r="I22" s="25"/>
      <c r="J22" s="25"/>
      <c r="K22" s="56" t="str">
        <f>IF(OR(NOT(ISERROR(MATCH(RIGHT(B22,3)+0,#REF!,0))),NOT(ISERROR(MATCH(LEFT(B22,3)+0,#REF!,0)))),"No Post","")</f>
        <v/>
      </c>
    </row>
    <row r="23" spans="1:11" x14ac:dyDescent="0.35">
      <c r="A23" s="17">
        <v>17</v>
      </c>
      <c r="B23" s="19"/>
      <c r="C23" s="33"/>
      <c r="D23" s="21"/>
      <c r="E23" s="39"/>
      <c r="F23" s="20"/>
      <c r="G23" s="18"/>
      <c r="H23" s="17"/>
      <c r="I23" s="33"/>
      <c r="J23" s="33"/>
      <c r="K23" s="56" t="str">
        <f>IF(OR(NOT(ISERROR(MATCH(RIGHT(B23,3)+0,#REF!,0))),NOT(ISERROR(MATCH(LEFT(B23,3)+0,#REF!,0)))),"No Post","")</f>
        <v/>
      </c>
    </row>
    <row r="24" spans="1:11" s="8" customFormat="1" ht="19.8" x14ac:dyDescent="0.4">
      <c r="A24" s="17">
        <v>18</v>
      </c>
      <c r="B24" s="19"/>
      <c r="C24" s="33"/>
      <c r="D24" s="21"/>
      <c r="E24" s="18"/>
      <c r="F24" s="18"/>
      <c r="G24" s="18"/>
      <c r="H24" s="17"/>
      <c r="I24" s="40"/>
      <c r="J24" s="40"/>
      <c r="K24" s="56" t="str">
        <f>IF(OR(NOT(ISERROR(MATCH(RIGHT(B24,3)+0,#REF!,0))),NOT(ISERROR(MATCH(LEFT(B24,3)+0,#REF!,0)))),"No Post","")</f>
        <v/>
      </c>
    </row>
    <row r="25" spans="1:11" x14ac:dyDescent="0.35">
      <c r="A25" s="17">
        <v>19</v>
      </c>
      <c r="B25" s="19"/>
      <c r="C25" s="33"/>
      <c r="D25" s="21"/>
      <c r="E25" s="18"/>
      <c r="F25" s="18"/>
      <c r="G25" s="18"/>
      <c r="H25" s="17"/>
      <c r="I25" s="33"/>
      <c r="J25" s="33"/>
      <c r="K25" s="56" t="str">
        <f>IF(OR(NOT(ISERROR(MATCH(RIGHT(B25,3)+0,#REF!,0))),NOT(ISERROR(MATCH(LEFT(B25,3)+0,#REF!,0)))),"No Post","")</f>
        <v/>
      </c>
    </row>
    <row r="26" spans="1:11" s="9" customFormat="1" x14ac:dyDescent="0.35">
      <c r="A26" s="17">
        <v>20</v>
      </c>
      <c r="B26" s="19"/>
      <c r="C26" s="33"/>
      <c r="D26" s="21"/>
      <c r="E26" s="18"/>
      <c r="F26" s="18"/>
      <c r="G26" s="18"/>
      <c r="H26" s="17"/>
      <c r="I26" s="33"/>
      <c r="J26" s="33"/>
      <c r="K26" s="56" t="str">
        <f>IF(OR(NOT(ISERROR(MATCH(RIGHT(B26,3)+0,#REF!,0))),NOT(ISERROR(MATCH(LEFT(B26,3)+0,#REF!,0)))),"No Post","")</f>
        <v/>
      </c>
    </row>
    <row r="27" spans="1:11" s="9" customFormat="1" ht="23.25" customHeight="1" x14ac:dyDescent="0.35">
      <c r="A27" s="1"/>
      <c r="B27" s="1"/>
      <c r="C27" s="1"/>
      <c r="D27" s="48" t="s">
        <v>18</v>
      </c>
      <c r="E27" s="16">
        <f>SUM(E22:E26)</f>
        <v>0</v>
      </c>
      <c r="F27" s="16">
        <f>SUM(F22:F26)</f>
        <v>0</v>
      </c>
      <c r="G27" s="1"/>
      <c r="H27" s="1"/>
    </row>
    <row r="28" spans="1:11" s="9" customFormat="1" ht="23.25" customHeight="1" x14ac:dyDescent="0.35">
      <c r="A28" s="1"/>
      <c r="B28" s="1"/>
      <c r="C28" s="1"/>
      <c r="D28" s="42"/>
      <c r="E28" s="1"/>
      <c r="F28" s="1"/>
      <c r="G28" s="1"/>
      <c r="H28" s="1"/>
    </row>
    <row r="29" spans="1:11" ht="20.25" customHeight="1" x14ac:dyDescent="0.35">
      <c r="B29" t="s">
        <v>7</v>
      </c>
      <c r="C29"/>
      <c r="D29" s="49"/>
      <c r="E29"/>
      <c r="F29"/>
      <c r="G29"/>
      <c r="H29"/>
    </row>
    <row r="30" spans="1:11" ht="20.25" customHeight="1" x14ac:dyDescent="0.35">
      <c r="B30" s="10" t="s">
        <v>8</v>
      </c>
      <c r="C30" s="10"/>
      <c r="D30" s="50"/>
      <c r="E30" s="10"/>
      <c r="F30" s="10"/>
      <c r="G30" s="10"/>
      <c r="H30" s="10"/>
    </row>
    <row r="31" spans="1:11" ht="20.25" customHeight="1" x14ac:dyDescent="0.35">
      <c r="B31" s="10" t="s">
        <v>9</v>
      </c>
      <c r="C31" s="10"/>
      <c r="D31" s="50"/>
      <c r="E31" s="10"/>
      <c r="F31" s="10"/>
      <c r="G31" s="10"/>
      <c r="H31" s="10"/>
    </row>
    <row r="32" spans="1:11" ht="20.25" customHeight="1" x14ac:dyDescent="0.35">
      <c r="B32" s="10" t="s">
        <v>10</v>
      </c>
      <c r="C32" s="10"/>
      <c r="D32" s="50"/>
      <c r="E32" s="10"/>
      <c r="F32" s="10"/>
      <c r="G32" s="10"/>
      <c r="H32" s="10"/>
    </row>
    <row r="33" spans="2:8" x14ac:dyDescent="0.35">
      <c r="B33" s="10" t="s">
        <v>11</v>
      </c>
      <c r="C33" s="10"/>
      <c r="D33" s="50"/>
      <c r="E33" s="10"/>
      <c r="F33" s="10"/>
      <c r="G33" s="10"/>
      <c r="H33" s="10"/>
    </row>
    <row r="34" spans="2:8" x14ac:dyDescent="0.35">
      <c r="B34" s="10" t="s">
        <v>12</v>
      </c>
      <c r="C34" s="10"/>
      <c r="D34" s="50"/>
      <c r="E34" s="10"/>
      <c r="F34" s="10"/>
      <c r="G34" s="10"/>
      <c r="H34" s="10"/>
    </row>
    <row r="35" spans="2:8" x14ac:dyDescent="0.35">
      <c r="B35" s="10" t="s">
        <v>13</v>
      </c>
      <c r="C35" s="10"/>
      <c r="D35" s="50"/>
      <c r="E35" s="10"/>
      <c r="F35" s="10"/>
      <c r="G35" s="10"/>
      <c r="H35" s="10"/>
    </row>
    <row r="36" spans="2:8" s="12" customFormat="1" ht="15.6" x14ac:dyDescent="0.3">
      <c r="B36" s="11" t="s">
        <v>14</v>
      </c>
      <c r="C36" s="11"/>
      <c r="D36" s="51"/>
      <c r="E36" s="11"/>
      <c r="F36" s="11"/>
      <c r="G36" s="11"/>
    </row>
    <row r="37" spans="2:8" s="12" customFormat="1" ht="15.6" x14ac:dyDescent="0.3">
      <c r="B37" s="11" t="s">
        <v>15</v>
      </c>
      <c r="C37" s="11"/>
      <c r="D37" s="51"/>
      <c r="E37" s="11"/>
      <c r="F37" s="11"/>
      <c r="G37" s="11"/>
    </row>
    <row r="38" spans="2:8" s="14" customFormat="1" ht="20.25" customHeight="1" x14ac:dyDescent="0.35">
      <c r="B38" s="13" t="s">
        <v>16</v>
      </c>
      <c r="C38" s="13"/>
      <c r="D38" s="52"/>
    </row>
    <row r="39" spans="2:8" customFormat="1" ht="14.4" x14ac:dyDescent="0.3">
      <c r="B39" s="15"/>
      <c r="C39" s="10"/>
      <c r="D39" s="50"/>
      <c r="E39" s="10"/>
      <c r="F39" s="10"/>
      <c r="G39" s="10"/>
      <c r="H39" s="10"/>
    </row>
    <row r="40" spans="2:8" x14ac:dyDescent="0.35">
      <c r="B40" s="10"/>
      <c r="C40" s="10"/>
      <c r="D40" s="50"/>
      <c r="E40" s="10"/>
      <c r="F40" s="10"/>
      <c r="G40" s="10"/>
      <c r="H40" s="10"/>
    </row>
    <row r="41" spans="2:8" x14ac:dyDescent="0.35">
      <c r="B41" s="15"/>
      <c r="C41" s="10"/>
      <c r="D41" s="50"/>
      <c r="E41" s="10"/>
      <c r="F41" s="10"/>
      <c r="G41" s="10"/>
      <c r="H41" s="10"/>
    </row>
    <row r="42" spans="2:8" x14ac:dyDescent="0.35">
      <c r="B42" s="10"/>
      <c r="C42" s="10"/>
      <c r="D42" s="50"/>
      <c r="E42" s="10"/>
      <c r="F42" s="10"/>
      <c r="G42" s="10"/>
      <c r="H42" s="10"/>
    </row>
    <row r="44" spans="2:8" x14ac:dyDescent="0.35">
      <c r="B44" s="9"/>
      <c r="C44" s="9"/>
      <c r="D44" s="53"/>
      <c r="E44" s="9"/>
      <c r="F44" s="9"/>
      <c r="G44" s="9"/>
      <c r="H44" s="9"/>
    </row>
    <row r="59" spans="2:8" x14ac:dyDescent="0.35">
      <c r="B59" s="10"/>
      <c r="C59" s="10"/>
      <c r="D59" s="50"/>
      <c r="E59" s="10"/>
      <c r="F59" s="10"/>
      <c r="G59" s="10"/>
      <c r="H59" s="10"/>
    </row>
    <row r="60" spans="2:8" x14ac:dyDescent="0.35">
      <c r="B60" s="10"/>
      <c r="C60" s="10"/>
      <c r="D60" s="50"/>
      <c r="E60" s="10"/>
      <c r="F60" s="10"/>
      <c r="G60" s="10"/>
      <c r="H60" s="10"/>
    </row>
    <row r="61" spans="2:8" x14ac:dyDescent="0.35">
      <c r="B61" s="10"/>
      <c r="C61" s="10"/>
      <c r="D61" s="50"/>
      <c r="E61" s="10"/>
      <c r="F61" s="10"/>
      <c r="G61" s="10"/>
      <c r="H61" s="10"/>
    </row>
    <row r="62" spans="2:8" x14ac:dyDescent="0.35">
      <c r="B62" s="15"/>
      <c r="C62" s="10"/>
      <c r="D62" s="50"/>
      <c r="E62" s="10"/>
      <c r="F62" s="10"/>
      <c r="G62" s="10"/>
      <c r="H62" s="10"/>
    </row>
    <row r="63" spans="2:8" x14ac:dyDescent="0.35">
      <c r="B63" s="10"/>
      <c r="C63" s="10"/>
      <c r="D63" s="50"/>
      <c r="E63" s="10"/>
      <c r="F63" s="10"/>
      <c r="G63" s="10"/>
      <c r="H63" s="10"/>
    </row>
  </sheetData>
  <customSheetViews>
    <customSheetView guid="{AA8333F4-A272-457D-BE6D-1B569A227B28}" showPageBreaks="1" fitToPage="1" printArea="1">
      <selection activeCell="E8" sqref="E8"/>
      <pageMargins left="0.7" right="0.7" top="0.75" bottom="0.75" header="0.3" footer="0.3"/>
      <printOptions horizontalCentered="1"/>
      <pageSetup paperSize="9" scale="84" fitToHeight="0" orientation="landscape" r:id="rId1"/>
    </customSheetView>
    <customSheetView guid="{3FD70E66-B699-4089-A2E2-369960B2F041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E61425CB-9FE7-4F79-BE47-5DC477A1BA8E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r:id="rId3"/>
    </customSheetView>
    <customSheetView guid="{C196B21B-5907-4E7A-90A7-4D3D9BC207B9}" showPageBreaks="1" fitToPage="1" printArea="1">
      <selection activeCell="B7" sqref="B7"/>
      <pageMargins left="0.7" right="0.7" top="0.75" bottom="0.75" header="0.3" footer="0.3"/>
      <printOptions horizontalCentered="1"/>
      <pageSetup paperSize="9" scale="84" fitToHeight="0" orientation="landscape" r:id="rId4"/>
    </customSheetView>
  </customSheetViews>
  <conditionalFormatting sqref="K7:K26">
    <cfRule type="containsText" dxfId="0" priority="1" operator="containsText" text="No Post">
      <formula>NOT(ISERROR(SEARCH("No Post",K7)))</formula>
    </cfRule>
  </conditionalFormatting>
  <printOptions horizontalCentered="1"/>
  <pageMargins left="0.7" right="0.7" top="0.75" bottom="0.75" header="0.3" footer="0.3"/>
  <pageSetup paperSize="9" scale="84" fitToHeight="0" orientation="landscape" r:id="rId5"/>
  <drawing r:id="rId6"/>
</worksheet>
</file>

<file path=xl/worksheets/wsSortMap1.xml><?xml version="1.0" encoding="utf-8"?>
<worksheetSortMap xmlns="http://schemas.microsoft.com/office/excel/2006/main">
  <rowSortMap ref="A7:XFD9" count="2">
    <row newVal="6" oldVal="8"/>
    <row newVal="8" oldVal="6"/>
  </rowSortMap>
</worksheetSortMap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2</vt:lpstr>
      <vt:lpstr>4</vt:lpstr>
      <vt:lpstr>7</vt:lpstr>
      <vt:lpstr>9</vt:lpstr>
      <vt:lpstr>11</vt:lpstr>
      <vt:lpstr>14</vt:lpstr>
      <vt:lpstr>16</vt:lpstr>
      <vt:lpstr>18</vt:lpstr>
      <vt:lpstr>21</vt:lpstr>
      <vt:lpstr>23</vt:lpstr>
      <vt:lpstr>25</vt:lpstr>
      <vt:lpstr>28</vt:lpstr>
      <vt:lpstr>30</vt:lpstr>
      <vt:lpstr>'11'!Print_Area</vt:lpstr>
      <vt:lpstr>'14'!Print_Area</vt:lpstr>
      <vt:lpstr>'16'!Print_Area</vt:lpstr>
      <vt:lpstr>'18'!Print_Area</vt:lpstr>
      <vt:lpstr>'2'!Print_Area</vt:lpstr>
      <vt:lpstr>'21'!Print_Area</vt:lpstr>
      <vt:lpstr>'23'!Print_Area</vt:lpstr>
      <vt:lpstr>'25'!Print_Area</vt:lpstr>
      <vt:lpstr>'28'!Print_Area</vt:lpstr>
      <vt:lpstr>'30'!Print_Area</vt:lpstr>
      <vt:lpstr>'4'!Print_Area</vt:lpstr>
      <vt:lpstr>'7'!Print_Area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AVasques</dc:creator>
  <cp:lastModifiedBy>Dive Centre Office</cp:lastModifiedBy>
  <cp:lastPrinted>2026-04-23T08:32:22Z</cp:lastPrinted>
  <dcterms:created xsi:type="dcterms:W3CDTF">2019-01-14T09:07:47Z</dcterms:created>
  <dcterms:modified xsi:type="dcterms:W3CDTF">2026-05-01T08:15:17Z</dcterms:modified>
</cp:coreProperties>
</file>