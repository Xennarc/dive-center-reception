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8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8.xml" ContentType="application/vnd.openxmlformats-officedocument.spreadsheetml.revisionLog+xml"/>
  <Override PartName="/xl/revisions/revisionLog2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21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25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29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2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23.xml" ContentType="application/vnd.openxmlformats-officedocument.spreadsheetml.revisionLog+xml"/>
  <Override PartName="/xl/revisions/revisionLog28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22.xml" ContentType="application/vnd.openxmlformats-officedocument.spreadsheetml.revisionLog+xml"/>
  <Override PartName="/xl/revisions/revisionLog27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OOKINGS\2026\04- April\"/>
    </mc:Choice>
  </mc:AlternateContent>
  <xr:revisionPtr revIDLastSave="0" documentId="13_ncr:81_{51202E45-821B-4FF4-9304-A82ED2CBFD68}" xr6:coauthVersionLast="47" xr6:coauthVersionMax="47" xr10:uidLastSave="{00000000-0000-0000-0000-000000000000}"/>
  <bookViews>
    <workbookView xWindow="-108" yWindow="-108" windowWidth="23256" windowHeight="12456" tabRatio="853" activeTab="8" xr2:uid="{00000000-000D-0000-FFFF-FFFF00000000}"/>
  </bookViews>
  <sheets>
    <sheet name="2" sheetId="1" r:id="rId1"/>
    <sheet name="6" sheetId="2" r:id="rId2"/>
    <sheet name="9" sheetId="3" r:id="rId3"/>
    <sheet name="13" sheetId="4" r:id="rId4"/>
    <sheet name="16" sheetId="5" r:id="rId5"/>
    <sheet name="20" sheetId="6" r:id="rId6"/>
    <sheet name="23" sheetId="7" r:id="rId7"/>
    <sheet name="27" sheetId="8" r:id="rId8"/>
    <sheet name="30" sheetId="9" r:id="rId9"/>
  </sheets>
  <definedNames>
    <definedName name="_xlnm.Print_Area" localSheetId="0">'2'!$A$1:$J$29</definedName>
    <definedName name="Z_1DF7E7CF_1466_457D_8611_9CCA69D96ADA_.wvu.PrintArea" localSheetId="0" hidden="1">'2'!$A$1:$J$29</definedName>
    <definedName name="Z_B6C88C95_1BEF_4090_A8A9_7ABB415D0D96_.wvu.PrintArea" localSheetId="0" hidden="1">'2'!$A$1:$J$29</definedName>
    <definedName name="Z_B8EA161F_7E60_4D3B_827A_A298931FF3D5_.wvu.PrintArea" localSheetId="0" hidden="1">'2'!$A$1:$J$29</definedName>
    <definedName name="Z_EB671E99_C5BE_4B03_864B_AB6F22D6AC5B_.wvu.PrintArea" localSheetId="0" hidden="1">'2'!$A$1:$J$29</definedName>
  </definedNames>
  <calcPr calcId="181029" calcOnSave="0"/>
  <customWorkbookViews>
    <customWorkbookView name="Dive Centre Office - Personal View" guid="{B8EA161F-7E60-4D3B-827A-A298931FF3D5}" mergeInterval="0" personalView="1" maximized="1" xWindow="-9" yWindow="-9" windowWidth="1938" windowHeight="1038" tabRatio="853" activeSheetId="9"/>
    <customWorkbookView name="Assistant DiveCenter Manager - Personal View" guid="{EB671E99-C5BE-4B03-864B-AB6F22D6AC5B}" mergeInterval="0" personalView="1" maximized="1" xWindow="-9" yWindow="-9" windowWidth="1938" windowHeight="1038" tabRatio="853" activeSheetId="6"/>
    <customWorkbookView name="Dive Center - Personal View" guid="{B6C88C95-1BEF-4090-A8A9-7ABB415D0D96}" mergeInterval="0" personalView="1" maximized="1" xWindow="-8" yWindow="-8" windowWidth="1382" windowHeight="744" activeSheetId="1"/>
    <customWorkbookView name="Dhigurah Water Sports - Personal View" guid="{1DF7E7CF-1466-457D-8611-9CCA69D96ADA}" mergeInterval="0" personalView="1" maximized="1" xWindow="-8" yWindow="-8" windowWidth="1382" windowHeight="736" tabRatio="8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6" i="9" l="1"/>
  <c r="K15" i="9"/>
  <c r="K14" i="9"/>
  <c r="K13" i="9"/>
  <c r="K12" i="9"/>
  <c r="K11" i="9"/>
  <c r="K16" i="8"/>
  <c r="K15" i="8"/>
  <c r="K14" i="8"/>
  <c r="K13" i="8"/>
  <c r="K12" i="8"/>
  <c r="K11" i="8"/>
  <c r="K10" i="8"/>
  <c r="K9" i="8"/>
  <c r="K8" i="8"/>
  <c r="K7" i="8"/>
  <c r="K16" i="7"/>
  <c r="K15" i="7"/>
  <c r="K14" i="7"/>
  <c r="K13" i="7"/>
  <c r="K12" i="7"/>
  <c r="K11" i="7"/>
  <c r="K10" i="7"/>
  <c r="K9" i="7"/>
  <c r="K8" i="7"/>
  <c r="K7" i="7"/>
  <c r="L16" i="6"/>
  <c r="L15" i="6"/>
  <c r="L14" i="6"/>
  <c r="L13" i="6"/>
  <c r="L12" i="6"/>
  <c r="L11" i="6"/>
  <c r="L10" i="6"/>
  <c r="L9" i="6"/>
  <c r="L8" i="6"/>
  <c r="L7" i="6"/>
  <c r="K16" i="5"/>
  <c r="K15" i="5"/>
  <c r="K14" i="5"/>
  <c r="K13" i="5"/>
  <c r="K12" i="5"/>
  <c r="K11" i="5"/>
  <c r="K10" i="5"/>
  <c r="K7" i="5"/>
  <c r="K7" i="4"/>
  <c r="K16" i="4"/>
  <c r="K15" i="4"/>
  <c r="K14" i="4"/>
  <c r="K13" i="4"/>
  <c r="K12" i="4"/>
  <c r="K11" i="4"/>
  <c r="K10" i="4"/>
  <c r="K9" i="4"/>
  <c r="K16" i="3"/>
  <c r="K15" i="3"/>
  <c r="K14" i="3"/>
  <c r="K13" i="3"/>
  <c r="K12" i="3"/>
  <c r="K11" i="3"/>
  <c r="K10" i="3"/>
  <c r="K9" i="3"/>
  <c r="K8" i="3"/>
  <c r="K7" i="3"/>
  <c r="K16" i="2"/>
  <c r="K15" i="2"/>
  <c r="K14" i="2"/>
  <c r="K13" i="2"/>
  <c r="K12" i="2"/>
  <c r="K11" i="2"/>
  <c r="K10" i="2"/>
  <c r="K9" i="2"/>
  <c r="K8" i="2"/>
  <c r="K7" i="2"/>
  <c r="K16" i="1"/>
  <c r="K15" i="1"/>
  <c r="K14" i="1"/>
  <c r="K13" i="1"/>
  <c r="K12" i="1"/>
  <c r="K11" i="1"/>
  <c r="K10" i="1"/>
  <c r="K9" i="1"/>
  <c r="K8" i="1"/>
  <c r="K7" i="1"/>
  <c r="J5" i="9"/>
  <c r="J5" i="8"/>
  <c r="J5" i="7"/>
  <c r="K5" i="6"/>
  <c r="J5" i="5"/>
  <c r="J5" i="4"/>
  <c r="J5" i="3"/>
  <c r="J5" i="2"/>
  <c r="J5" i="1"/>
  <c r="F17" i="9" l="1"/>
  <c r="E17" i="9"/>
  <c r="F17" i="8"/>
  <c r="E17" i="8"/>
  <c r="F17" i="7"/>
  <c r="E17" i="7"/>
  <c r="G17" i="6"/>
  <c r="F17" i="6"/>
  <c r="G17" i="5"/>
  <c r="F17" i="5"/>
  <c r="G17" i="4"/>
  <c r="F17" i="4"/>
  <c r="F17" i="3"/>
  <c r="E17" i="3"/>
  <c r="F17" i="2"/>
  <c r="E17" i="2"/>
  <c r="F17" i="1" l="1"/>
  <c r="E17" i="1"/>
</calcChain>
</file>

<file path=xl/sharedStrings.xml><?xml version="1.0" encoding="utf-8"?>
<sst xmlns="http://schemas.openxmlformats.org/spreadsheetml/2006/main" count="248" uniqueCount="56">
  <si>
    <t xml:space="preserve">Note :  we require a booking  of 4 guests minimum 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</si>
  <si>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</si>
  <si>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</si>
  <si>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</si>
  <si>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Liability</t>
  </si>
  <si>
    <t>Bill No:</t>
  </si>
  <si>
    <t>Staff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</si>
  <si>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</si>
  <si>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</si>
  <si>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</si>
  <si>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</si>
  <si>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</si>
  <si>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</si>
  <si>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</si>
  <si>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</si>
  <si>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</si>
  <si>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</si>
  <si>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Child</t>
  </si>
  <si>
    <t>TOTAL</t>
  </si>
  <si>
    <t>Adults</t>
  </si>
  <si>
    <t>Remarks</t>
  </si>
  <si>
    <t>Departure</t>
  </si>
  <si>
    <t>DESERT ISLAND ADVENTURE  (MAX 08 PAX)  USD$65 PP  09:30 TO 11:30</t>
  </si>
  <si>
    <t>Prebooking</t>
  </si>
  <si>
    <t>Mr. Emmanuelle Vetu Coste</t>
  </si>
  <si>
    <t>2774700 (TRMD)</t>
  </si>
  <si>
    <t>Monica/Tarush</t>
  </si>
  <si>
    <t>Mrs. Mireille Vetu</t>
  </si>
  <si>
    <t>3012693 (TRMD)</t>
  </si>
  <si>
    <t>Mr. Sylviane Coste</t>
  </si>
  <si>
    <t>3012695 (TRMD)</t>
  </si>
  <si>
    <t>PreBooking</t>
  </si>
  <si>
    <t xml:space="preserve">Mr. Paul Warren </t>
  </si>
  <si>
    <t>Faiha/Shamrath</t>
  </si>
  <si>
    <t>OLD</t>
  </si>
  <si>
    <t>Mr. Julien Desbureaux</t>
  </si>
  <si>
    <t>Vifau/Shamrath</t>
  </si>
  <si>
    <t>Mrs Karen Messer</t>
  </si>
  <si>
    <t>Yashfau</t>
  </si>
  <si>
    <t>Florent Arcangeli</t>
  </si>
  <si>
    <t xml:space="preserve">NO POST </t>
  </si>
  <si>
    <t>Faiha</t>
  </si>
  <si>
    <t>Anthony Meunier</t>
  </si>
  <si>
    <t>Aurelien Goillot</t>
  </si>
  <si>
    <t>Edwige Touzart</t>
  </si>
  <si>
    <t>MR ZAIKIN ANDREI</t>
  </si>
  <si>
    <t>2947700 (TRMD)</t>
  </si>
  <si>
    <t>Monica/Maaji</t>
  </si>
  <si>
    <t>NO POST</t>
  </si>
  <si>
    <t>Mr Gavin David Hogg</t>
  </si>
  <si>
    <t>8461SG079401, 8461SF074419 (TRMD)</t>
  </si>
  <si>
    <t>Shamrath/Faiha</t>
  </si>
  <si>
    <t>CXL2</t>
  </si>
  <si>
    <t>Gavin Hogg</t>
  </si>
  <si>
    <t>Cristina Ugarriza</t>
  </si>
  <si>
    <t>CXL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</si>
</sst>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sz val="14"/>
      <name val="Calibri"/>
      <family val="2"/>
      <scheme val="minor"/>
    </font>
    <font>
      <sz val="11"/>
      <color rgb="FF321704"/>
      <name val="Arial"/>
      <family val="2"/>
    </font>
    <font>
      <b/>
      <sz val="11"/>
      <color rgb="FF3217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left" indent="14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2" borderId="0" xfId="0" applyFont="1" applyFill="1"/>
    <xf numFmtId="0" fontId="8" fillId="0" borderId="0" xfId="0" applyFont="1"/>
    <xf numFmtId="0" fontId="9" fillId="2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/>
    <xf numFmtId="0" fontId="2" fillId="3" borderId="8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5" fillId="0" borderId="3" xfId="0" applyFont="1" applyBorder="1"/>
    <xf numFmtId="0" fontId="2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/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4" fontId="2" fillId="2" borderId="0" xfId="0" applyNumberFormat="1" applyFont="1" applyFill="1"/>
    <xf numFmtId="14" fontId="2" fillId="0" borderId="0" xfId="0" applyNumberFormat="1" applyFont="1"/>
    <xf numFmtId="14" fontId="3" fillId="0" borderId="0" xfId="0" applyNumberFormat="1" applyFont="1"/>
    <xf numFmtId="14" fontId="4" fillId="0" borderId="3" xfId="0" applyNumberFormat="1" applyFont="1" applyBorder="1"/>
    <xf numFmtId="14" fontId="3" fillId="3" borderId="6" xfId="0" applyNumberFormat="1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4" fontId="0" fillId="0" borderId="0" xfId="0" applyNumberFormat="1"/>
    <xf numFmtId="14" fontId="7" fillId="0" borderId="0" xfId="0" applyNumberFormat="1" applyFont="1"/>
    <xf numFmtId="14" fontId="8" fillId="2" borderId="0" xfId="0" applyNumberFormat="1" applyFont="1" applyFill="1"/>
    <xf numFmtId="14" fontId="9" fillId="0" borderId="0" xfId="0" applyNumberFormat="1" applyFont="1"/>
    <xf numFmtId="14" fontId="3" fillId="0" borderId="0" xfId="0" applyNumberFormat="1" applyFont="1" applyAlignment="1">
      <alignment horizontal="center"/>
    </xf>
    <xf numFmtId="0" fontId="13" fillId="0" borderId="0" xfId="0" applyFont="1"/>
    <xf numFmtId="0" fontId="14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2" fillId="3" borderId="10" xfId="0" applyFont="1" applyFill="1" applyBorder="1" applyAlignment="1">
      <alignment horizontal="center"/>
    </xf>
    <xf numFmtId="0" fontId="2" fillId="4" borderId="1" xfId="0" applyFont="1" applyFill="1" applyBorder="1"/>
    <xf numFmtId="0" fontId="15" fillId="0" borderId="0" xfId="0" applyFont="1" applyAlignment="1">
      <alignment vertical="center"/>
    </xf>
    <xf numFmtId="0" fontId="16" fillId="0" borderId="0" xfId="0" applyFont="1"/>
    <xf numFmtId="14" fontId="2" fillId="3" borderId="8" xfId="0" applyNumberFormat="1" applyFont="1" applyFill="1" applyBorder="1" applyAlignment="1">
      <alignment horizontal="center" vertical="center"/>
    </xf>
    <xf numFmtId="0" fontId="2" fillId="5" borderId="8" xfId="0" applyFont="1" applyFill="1" applyBorder="1"/>
  </cellXfs>
  <cellStyles count="1">
    <cellStyle name="Normal" xfId="0" builtinId="0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26" Type="http://schemas.openxmlformats.org/officeDocument/2006/relationships/usernames" Target="revisions/userNames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revisionHeaders" Target="revisions/revisionHeader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851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30481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8</xdr:col>
      <xdr:colOff>792808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30481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8</xdr:col>
      <xdr:colOff>792808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3</xdr:col>
      <xdr:colOff>30481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7</xdr:col>
      <xdr:colOff>1200151</xdr:colOff>
      <xdr:row>0</xdr:row>
      <xdr:rowOff>152401</xdr:rowOff>
    </xdr:from>
    <xdr:to>
      <xdr:col>9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312421</xdr:colOff>
      <xdr:row>3</xdr:row>
      <xdr:rowOff>129540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26820" cy="64389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84148</xdr:colOff>
      <xdr:row>4</xdr:row>
      <xdr:rowOff>114301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81377" cy="7391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342901</xdr:colOff>
      <xdr:row>4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1" y="80010"/>
          <a:ext cx="1257300" cy="73533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99388</xdr:colOff>
      <xdr:row>5</xdr:row>
      <xdr:rowOff>68581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3271" y="152401"/>
          <a:ext cx="796617" cy="87630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13" Type="http://schemas.openxmlformats.org/officeDocument/2006/relationships/revisionLog" Target="revisionLog13.xml"/><Relationship Id="rId18" Type="http://schemas.openxmlformats.org/officeDocument/2006/relationships/revisionLog" Target="revisionLog18.xml"/><Relationship Id="rId26" Type="http://schemas.openxmlformats.org/officeDocument/2006/relationships/revisionLog" Target="revisionLog26.xml"/><Relationship Id="rId3" Type="http://schemas.openxmlformats.org/officeDocument/2006/relationships/revisionLog" Target="revisionLog3.xml"/><Relationship Id="rId21" Type="http://schemas.openxmlformats.org/officeDocument/2006/relationships/revisionLog" Target="revisionLog21.xml"/><Relationship Id="rId7" Type="http://schemas.openxmlformats.org/officeDocument/2006/relationships/revisionLog" Target="revisionLog7.xml"/><Relationship Id="rId12" Type="http://schemas.openxmlformats.org/officeDocument/2006/relationships/revisionLog" Target="revisionLog12.xml"/><Relationship Id="rId17" Type="http://schemas.openxmlformats.org/officeDocument/2006/relationships/revisionLog" Target="revisionLog17.xml"/><Relationship Id="rId25" Type="http://schemas.openxmlformats.org/officeDocument/2006/relationships/revisionLog" Target="revisionLog25.xml"/><Relationship Id="rId2" Type="http://schemas.openxmlformats.org/officeDocument/2006/relationships/revisionLog" Target="revisionLog2.xml"/><Relationship Id="rId16" Type="http://schemas.openxmlformats.org/officeDocument/2006/relationships/revisionLog" Target="revisionLog16.xml"/><Relationship Id="rId20" Type="http://schemas.openxmlformats.org/officeDocument/2006/relationships/revisionLog" Target="revisionLog20.xml"/><Relationship Id="rId29" Type="http://schemas.openxmlformats.org/officeDocument/2006/relationships/revisionLog" Target="revisionLog29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24" Type="http://schemas.openxmlformats.org/officeDocument/2006/relationships/revisionLog" Target="revisionLog24.xml"/><Relationship Id="rId5" Type="http://schemas.openxmlformats.org/officeDocument/2006/relationships/revisionLog" Target="revisionLog5.xml"/><Relationship Id="rId15" Type="http://schemas.openxmlformats.org/officeDocument/2006/relationships/revisionLog" Target="revisionLog15.xml"/><Relationship Id="rId23" Type="http://schemas.openxmlformats.org/officeDocument/2006/relationships/revisionLog" Target="revisionLog23.xml"/><Relationship Id="rId28" Type="http://schemas.openxmlformats.org/officeDocument/2006/relationships/revisionLog" Target="revisionLog28.xml"/><Relationship Id="rId10" Type="http://schemas.openxmlformats.org/officeDocument/2006/relationships/revisionLog" Target="revisionLog10.xml"/><Relationship Id="rId19" Type="http://schemas.openxmlformats.org/officeDocument/2006/relationships/revisionLog" Target="revisionLog19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Relationship Id="rId14" Type="http://schemas.openxmlformats.org/officeDocument/2006/relationships/revisionLog" Target="revisionLog14.xml"/><Relationship Id="rId22" Type="http://schemas.openxmlformats.org/officeDocument/2006/relationships/revisionLog" Target="revisionLog22.xml"/><Relationship Id="rId27" Type="http://schemas.openxmlformats.org/officeDocument/2006/relationships/revisionLog" Target="revisionLog27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E8FF5910-C303-4998-9411-CA962D3B937E}" diskRevisions="1" revisionId="236" version="29">
  <header guid="{3595EEF1-1C13-4D08-BC9D-64759778CCAC}" dateTime="2026-04-01T14:53:07" maxSheetId="10" userName="Dive Centre Office" r:id="rId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2FA31F3D-0E8A-46BD-95D9-AC369A9100A2}" dateTime="2026-04-01T18:05:16" maxSheetId="10" userName="Dive Center" r:id="rId2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A7E5251-0ED2-456C-9C8E-5977633CAEE0}" dateTime="2026-04-05T15:23:32" maxSheetId="10" userName="Dhigurah Water Sports" r:id="rId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B897C8B-CEF3-4A30-A15D-AA053A4509CB}" dateTime="2026-04-11T14:11:26" maxSheetId="10" userName="Dive Centre Office" r:id="rId4" minRId="3" maxRId="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253EFD5-8EB8-44F4-864A-7CD2C9004BFE}" dateTime="2026-04-11T14:11:38" maxSheetId="10" userName="Dive Centre Office" r:id="rId5" minRId="8" maxRId="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9975074D-48BB-4EDB-A739-43967CD4A4AF}" dateTime="2026-04-12T15:55:53" maxSheetId="10" userName="Dive Centre Office" r:id="rId6" minRId="1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BFDB937-6B7A-481B-A77D-1D65A42BC869}" dateTime="2026-04-12T15:56:04" maxSheetId="10" userName="Dive Centre Office" r:id="rId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E4D2D91-5EBD-4870-BA14-8E3488FE420C}" dateTime="2026-04-13T08:24:58" maxSheetId="10" userName="Dive Centre Office" r:id="rId8" minRId="11" maxRId="9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6E3F4145-79DA-40E1-9670-326DCED950BE}" dateTime="2026-04-13T08:26:41" maxSheetId="10" userName="Dive Centre Office" r:id="rId9" minRId="9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2A2E5FAE-42A5-437D-8715-FA1580D2BB9C}" dateTime="2026-04-13T08:26:54" maxSheetId="10" userName="Dive Centre Office" r:id="rId1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1CACF9F9-82ED-4BDC-AAB7-85E88BE03946}" dateTime="2026-04-13T08:59:14" maxSheetId="10" userName="Dive Centre Office" r:id="rId11" minRId="9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DC77CA7-E70A-4391-8AF0-09241D604294}" dateTime="2026-04-13T09:30:57" maxSheetId="10" userName="Dive Centre Office" r:id="rId12" minRId="99" maxRId="10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D99D56D-AC18-43E6-BCEF-EEB96A6626CD}" dateTime="2026-04-13T09:32:19" maxSheetId="10" userName="Dive Centre Office" r:id="rId13" minRId="102" maxRId="10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B39A512-22DA-43B9-AF45-8E9AFF98EE62}" dateTime="2026-04-13T10:28:16" maxSheetId="10" userName="Dive Centre Office" r:id="rId14" minRId="104" maxRId="10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C287D0AA-26FC-4F43-9916-EA32822A5602}" dateTime="2026-04-13T10:33:14" maxSheetId="10" userName="Dive Centre Office" r:id="rId15" minRId="110" maxRId="113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F85C39C-03C7-49AE-95C5-8EDCD6F15167}" dateTime="2026-04-15T09:39:26" maxSheetId="10" userName="Assistant DiveCenter Manager" r:id="rId16" minRId="114" maxRId="12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482ADD79-A609-43BD-A428-F43713427C5B}" dateTime="2026-04-15T09:54:58" maxSheetId="10" userName="Dive Centre Office" r:id="rId17" minRId="122" maxRId="20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30E46633-0BC7-4CBC-9888-24A858FE2E7D}" dateTime="2026-04-16T08:52:05" maxSheetId="10" userName="Dive Centre Office" r:id="rId18" minRId="207" maxRId="20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F765E91-C16D-4FA8-B0C2-4A2354CF557B}" dateTime="2026-04-16T09:21:40" maxSheetId="10" userName="Dive Centre Office" r:id="rId19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8D5FA658-A8AE-4F5B-9DC5-57DC431A83FC}" dateTime="2026-04-16T09:23:12" maxSheetId="10" userName="Dive Centre Office" r:id="rId2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05336B72-9904-4654-97DE-5870E4D70A5E}" dateTime="2026-04-16T09:26:48" maxSheetId="10" userName="Dive Centre Office" r:id="rId2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393185EA-AC7B-447F-BA14-283DA2427436}" dateTime="2026-04-16T11:44:20" maxSheetId="10" userName="Dive Centre Office" r:id="rId22" minRId="211" maxRId="21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206BF73D-388B-44D4-A6B6-255A1D06DE3A}" dateTime="2026-04-19T09:03:37" maxSheetId="10" userName="Dive Centre Office" r:id="rId23" minRId="218" maxRId="220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3B1F35AE-F505-456E-A67A-9195230DC42D}" dateTime="2026-04-19T09:12:53" maxSheetId="10" userName="Dive Centre Office" r:id="rId24" minRId="22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BC932C9F-A8A1-46F1-91E8-294D38396F59}" dateTime="2026-04-23T09:22:47" maxSheetId="10" userName="Dive Centre Office" r:id="rId25" minRId="222" maxRId="224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F908BB68-9A60-4077-A56D-F7FF6A05BC08}" dateTime="2026-04-24T10:41:14" maxSheetId="10" userName="Dive Centre Office" r:id="rId26" minRId="225" maxRId="227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D2A53844-1542-4022-9815-6BD378A1D620}" dateTime="2026-04-24T10:41:53" maxSheetId="10" userName="Dive Centre Office" r:id="rId27" minRId="228" maxRId="231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AF5E5C41-4E81-4B61-9414-5255790C1F6A}" dateTime="2026-04-28T09:54:43" maxSheetId="10" userName="Dive Centre Office" r:id="rId28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  <header guid="{E8FF5910-C303-4998-9411-CA962D3B937E}" dateTime="2026-04-29T16:47:13" maxSheetId="10" userName="Assistant DiveCenter Manager" r:id="rId29" minRId="233" maxRId="236">
    <sheetIdMap count="9">
      <sheetId val="1"/>
      <sheetId val="2"/>
      <sheetId val="3"/>
      <sheetId val="4"/>
      <sheetId val="5"/>
      <sheetId val="6"/>
      <sheetId val="7"/>
      <sheetId val="8"/>
      <sheetId val="9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B6C88C95_1BEF_4090_A8A9_7ABB415D0D96_.wvu.PrintArea" hidden="1" oldHidden="1">
    <formula>'2'!$A$1:$J$29</formula>
  </rdn>
  <rcv guid="{B6C88C95-1BEF-4090-A8A9-7ABB415D0D96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1DF7E7CF_1466_457D_8611_9CCA69D96ADA_.wvu.PrintArea" hidden="1" oldHidden="1">
    <formula>'2'!$A$1:$J$29</formula>
  </rdn>
  <rcv guid="{1DF7E7CF-1466-457D-8611-9CCA69D96ADA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" sId="4">
    <nc r="J8" t="inlineStr">
      <is>
        <t>Yashfau</t>
      </is>
    </nc>
  </rcc>
  <rcc rId="4" sId="4">
    <nc r="B8">
      <v>322</v>
    </nc>
  </rcc>
  <rcc rId="5" sId="4" odxf="1" dxf="1">
    <nc r="C8" t="inlineStr">
      <is>
        <t>Florent Arcangeli</t>
      </is>
    </nc>
    <odxf>
      <alignment horizontal="left" readingOrder="0"/>
    </odxf>
    <ndxf>
      <alignment horizontal="center" readingOrder="0"/>
    </ndxf>
  </rcc>
  <rcc rId="6" sId="4" numFmtId="19">
    <nc r="D8">
      <v>46128</v>
    </nc>
  </rcc>
  <rcc rId="7" sId="4">
    <nc r="E8">
      <v>2</v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" sId="4" ref="H1:H1048576" action="deleteCol">
    <rfmt sheetId="4" xfDxf="1" sqref="H1:H1048576" start="0" length="0">
      <dxf>
        <font>
          <sz val="14"/>
        </font>
      </dxf>
    </rfmt>
    <rfmt sheetId="4" sqref="H4" start="0" length="0">
      <dxf>
        <font>
          <sz val="13"/>
        </font>
      </dxf>
    </rfmt>
    <rfmt sheetId="4" sqref="H5" start="0" length="0">
      <dxf>
        <font>
          <b/>
          <sz val="18"/>
        </font>
        <border outline="0">
          <left style="thin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4" dxf="1">
      <nc r="H6" t="inlineStr">
        <is>
          <t>Bill No:</t>
        </is>
      </nc>
      <n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fmt sheetId="4" sqref="H7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4" sqref="H8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9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0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1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2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4" sqref="H17" start="0" length="0">
      <dxf/>
    </rfmt>
    <rfmt sheetId="4" sqref="H18" start="0" length="0">
      <dxf/>
    </rfmt>
    <rfmt sheetId="4" sqref="H19" start="0" length="0">
      <dxf>
        <font>
          <sz val="11"/>
          <color theme="1"/>
          <name val="Calibri"/>
          <scheme val="minor"/>
        </font>
      </dxf>
    </rfmt>
    <rfmt sheetId="4" sqref="H20" start="0" length="0">
      <dxf>
        <font>
          <sz val="10"/>
        </font>
      </dxf>
    </rfmt>
    <rfmt sheetId="4" sqref="H21" start="0" length="0">
      <dxf>
        <font>
          <sz val="10"/>
        </font>
      </dxf>
    </rfmt>
    <rfmt sheetId="4" sqref="H22" start="0" length="0">
      <dxf>
        <font>
          <sz val="10"/>
        </font>
      </dxf>
    </rfmt>
    <rfmt sheetId="4" sqref="H23" start="0" length="0">
      <dxf>
        <font>
          <sz val="10"/>
        </font>
      </dxf>
    </rfmt>
    <rfmt sheetId="4" sqref="H24" start="0" length="0">
      <dxf>
        <font>
          <sz val="10"/>
        </font>
      </dxf>
    </rfmt>
    <rfmt sheetId="4" sqref="H25" start="0" length="0">
      <dxf>
        <font>
          <sz val="10"/>
        </font>
      </dxf>
    </rfmt>
    <rfmt sheetId="4" sqref="H26" start="0" length="0">
      <dxf>
        <font>
          <b/>
          <sz val="12"/>
        </font>
      </dxf>
    </rfmt>
    <rfmt sheetId="4" sqref="H27" start="0" length="0">
      <dxf>
        <font>
          <b/>
          <sz val="12"/>
        </font>
      </dxf>
    </rfmt>
    <rfmt sheetId="4" sqref="H28" start="0" length="0">
      <dxf>
        <font>
          <b/>
          <sz val="14"/>
        </font>
      </dxf>
    </rfmt>
    <rfmt sheetId="4" sqref="H29" start="0" length="0">
      <dxf>
        <font>
          <sz val="10"/>
        </font>
      </dxf>
    </rfmt>
    <rfmt sheetId="4" sqref="H30" start="0" length="0">
      <dxf>
        <font>
          <sz val="10"/>
        </font>
      </dxf>
    </rfmt>
    <rfmt sheetId="4" sqref="H31" start="0" length="0">
      <dxf>
        <font>
          <sz val="10"/>
        </font>
      </dxf>
    </rfmt>
    <rfmt sheetId="4" sqref="H32" start="0" length="0">
      <dxf>
        <font>
          <sz val="10"/>
        </font>
      </dxf>
    </rfmt>
    <rfmt sheetId="4" sqref="H33" start="0" length="0">
      <dxf/>
    </rfmt>
    <rfmt sheetId="4" sqref="H34" start="0" length="0">
      <dxf>
        <font>
          <sz val="13"/>
        </font>
        <alignment horizontal="center" vertical="top" readingOrder="0"/>
      </dxf>
    </rfmt>
    <rfmt sheetId="4" sqref="H35" start="0" length="0">
      <dxf/>
    </rfmt>
    <rfmt sheetId="4" sqref="H36" start="0" length="0">
      <dxf/>
    </rfmt>
    <rfmt sheetId="4" sqref="H37" start="0" length="0">
      <dxf/>
    </rfmt>
    <rfmt sheetId="4" sqref="H38" start="0" length="0">
      <dxf/>
    </rfmt>
    <rfmt sheetId="4" sqref="H39" start="0" length="0">
      <dxf/>
    </rfmt>
    <rfmt sheetId="4" sqref="H40" start="0" length="0">
      <dxf/>
    </rfmt>
    <rfmt sheetId="4" sqref="H41" start="0" length="0">
      <dxf/>
    </rfmt>
    <rfmt sheetId="4" sqref="H42" start="0" length="0">
      <dxf/>
    </rfmt>
    <rfmt sheetId="4" sqref="H43" start="0" length="0">
      <dxf/>
    </rfmt>
    <rfmt sheetId="4" sqref="H44" start="0" length="0">
      <dxf/>
    </rfmt>
    <rfmt sheetId="4" sqref="H45" start="0" length="0">
      <dxf/>
    </rfmt>
    <rfmt sheetId="4" sqref="H46" start="0" length="0">
      <dxf/>
    </rfmt>
    <rfmt sheetId="4" sqref="H47" start="0" length="0">
      <dxf/>
    </rfmt>
    <rfmt sheetId="4" sqref="H48" start="0" length="0">
      <dxf/>
    </rfmt>
    <rfmt sheetId="4" sqref="H49" start="0" length="0">
      <dxf>
        <font>
          <sz val="10"/>
        </font>
      </dxf>
    </rfmt>
    <rfmt sheetId="4" sqref="H50" start="0" length="0">
      <dxf>
        <font>
          <sz val="10"/>
        </font>
      </dxf>
    </rfmt>
    <rfmt sheetId="4" sqref="H51" start="0" length="0">
      <dxf>
        <font>
          <sz val="10"/>
        </font>
      </dxf>
    </rfmt>
    <rfmt sheetId="4" sqref="H52" start="0" length="0">
      <dxf>
        <font>
          <sz val="10"/>
        </font>
      </dxf>
    </rfmt>
    <rfmt sheetId="4" sqref="H53" start="0" length="0">
      <dxf>
        <font>
          <sz val="10"/>
        </font>
      </dxf>
    </rfmt>
  </rrc>
  <rrc rId="9" sId="5" ref="H1:H1048576" action="deleteCol">
    <rfmt sheetId="5" xfDxf="1" sqref="H1:H1048576" start="0" length="0">
      <dxf>
        <font>
          <sz val="14"/>
        </font>
      </dxf>
    </rfmt>
    <rfmt sheetId="5" sqref="H4" start="0" length="0">
      <dxf>
        <font>
          <sz val="13"/>
        </font>
      </dxf>
    </rfmt>
    <rfmt sheetId="5" sqref="H5" start="0" length="0">
      <dxf>
        <font>
          <b/>
          <sz val="18"/>
        </font>
        <border outline="0">
          <left style="thin">
            <color indexed="64"/>
          </left>
          <right style="thin">
            <color indexed="64"/>
          </right>
          <top style="medium">
            <color indexed="64"/>
          </top>
          <bottom style="thin">
            <color indexed="64"/>
          </bottom>
        </border>
      </dxf>
    </rfmt>
    <rcc rId="0" sId="5" dxf="1">
      <nc r="H6" t="inlineStr">
        <is>
          <t>Bill No:</t>
        </is>
      </nc>
      <n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medium">
            <color indexed="64"/>
          </bottom>
        </border>
      </ndxf>
    </rcc>
    <rfmt sheetId="5" sqref="H7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bottom style="thin">
            <color indexed="64"/>
          </bottom>
        </border>
      </dxf>
    </rfmt>
    <rfmt sheetId="5" sqref="H8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9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0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1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2" start="0" length="0">
      <dxf>
        <fill>
          <patternFill patternType="solid">
            <bgColor theme="0"/>
          </patternFill>
        </fill>
        <alignment horizontal="center" vertical="top" readingOrder="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3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4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5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6" start="0" length="0">
      <dxf>
        <fill>
          <patternFill patternType="solid">
            <bgColor theme="0"/>
          </patternFill>
        </fill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5" sqref="H17" start="0" length="0">
      <dxf/>
    </rfmt>
    <rfmt sheetId="5" sqref="H18" start="0" length="0">
      <dxf/>
    </rfmt>
    <rfmt sheetId="5" sqref="H19" start="0" length="0">
      <dxf>
        <font>
          <sz val="11"/>
          <color theme="1"/>
          <name val="Calibri"/>
          <scheme val="minor"/>
        </font>
      </dxf>
    </rfmt>
    <rfmt sheetId="5" sqref="H20" start="0" length="0">
      <dxf>
        <font>
          <sz val="10"/>
        </font>
      </dxf>
    </rfmt>
    <rfmt sheetId="5" sqref="H21" start="0" length="0">
      <dxf>
        <font>
          <sz val="10"/>
        </font>
      </dxf>
    </rfmt>
    <rfmt sheetId="5" sqref="H22" start="0" length="0">
      <dxf>
        <font>
          <sz val="10"/>
        </font>
      </dxf>
    </rfmt>
    <rfmt sheetId="5" sqref="H23" start="0" length="0">
      <dxf>
        <font>
          <sz val="10"/>
        </font>
      </dxf>
    </rfmt>
    <rfmt sheetId="5" sqref="H24" start="0" length="0">
      <dxf>
        <font>
          <sz val="10"/>
        </font>
      </dxf>
    </rfmt>
    <rfmt sheetId="5" sqref="H25" start="0" length="0">
      <dxf>
        <font>
          <sz val="10"/>
        </font>
      </dxf>
    </rfmt>
    <rfmt sheetId="5" sqref="H26" start="0" length="0">
      <dxf>
        <font>
          <b/>
          <sz val="12"/>
        </font>
      </dxf>
    </rfmt>
    <rfmt sheetId="5" sqref="H27" start="0" length="0">
      <dxf>
        <font>
          <b/>
          <sz val="12"/>
        </font>
      </dxf>
    </rfmt>
    <rfmt sheetId="5" sqref="H28" start="0" length="0">
      <dxf>
        <font>
          <b/>
          <sz val="14"/>
        </font>
      </dxf>
    </rfmt>
    <rfmt sheetId="5" sqref="H29" start="0" length="0">
      <dxf>
        <font>
          <sz val="10"/>
        </font>
      </dxf>
    </rfmt>
    <rfmt sheetId="5" sqref="H30" start="0" length="0">
      <dxf>
        <font>
          <sz val="10"/>
        </font>
      </dxf>
    </rfmt>
    <rfmt sheetId="5" sqref="H31" start="0" length="0">
      <dxf>
        <font>
          <sz val="10"/>
        </font>
      </dxf>
    </rfmt>
    <rfmt sheetId="5" sqref="H32" start="0" length="0">
      <dxf>
        <font>
          <sz val="10"/>
        </font>
      </dxf>
    </rfmt>
    <rfmt sheetId="5" sqref="H33" start="0" length="0">
      <dxf/>
    </rfmt>
    <rfmt sheetId="5" sqref="H34" start="0" length="0">
      <dxf>
        <font>
          <sz val="13"/>
        </font>
        <alignment horizontal="center" vertical="top" readingOrder="0"/>
      </dxf>
    </rfmt>
    <rfmt sheetId="5" sqref="H35" start="0" length="0">
      <dxf/>
    </rfmt>
    <rfmt sheetId="5" sqref="H36" start="0" length="0">
      <dxf/>
    </rfmt>
    <rfmt sheetId="5" sqref="H37" start="0" length="0">
      <dxf/>
    </rfmt>
    <rfmt sheetId="5" sqref="H38" start="0" length="0">
      <dxf/>
    </rfmt>
    <rfmt sheetId="5" sqref="H39" start="0" length="0">
      <dxf/>
    </rfmt>
    <rfmt sheetId="5" sqref="H40" start="0" length="0">
      <dxf/>
    </rfmt>
    <rfmt sheetId="5" sqref="H41" start="0" length="0">
      <dxf/>
    </rfmt>
    <rfmt sheetId="5" sqref="H42" start="0" length="0">
      <dxf/>
    </rfmt>
    <rfmt sheetId="5" sqref="H43" start="0" length="0">
      <dxf/>
    </rfmt>
    <rfmt sheetId="5" sqref="H44" start="0" length="0">
      <dxf/>
    </rfmt>
    <rfmt sheetId="5" sqref="H45" start="0" length="0">
      <dxf/>
    </rfmt>
    <rfmt sheetId="5" sqref="H46" start="0" length="0">
      <dxf/>
    </rfmt>
    <rfmt sheetId="5" sqref="H47" start="0" length="0">
      <dxf/>
    </rfmt>
    <rfmt sheetId="5" sqref="H48" start="0" length="0">
      <dxf/>
    </rfmt>
    <rfmt sheetId="5" sqref="H49" start="0" length="0">
      <dxf>
        <font>
          <sz val="10"/>
        </font>
      </dxf>
    </rfmt>
    <rfmt sheetId="5" sqref="H50" start="0" length="0">
      <dxf>
        <font>
          <sz val="10"/>
        </font>
      </dxf>
    </rfmt>
    <rfmt sheetId="5" sqref="H51" start="0" length="0">
      <dxf>
        <font>
          <sz val="10"/>
        </font>
      </dxf>
    </rfmt>
    <rfmt sheetId="5" sqref="H52" start="0" length="0">
      <dxf>
        <font>
          <sz val="10"/>
        </font>
      </dxf>
    </rfmt>
    <rfmt sheetId="5" sqref="H53" start="0" length="0">
      <dxf>
        <font>
          <sz val="10"/>
        </font>
      </dxf>
    </rfmt>
  </rr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" sId="4">
    <oc r="B7" t="inlineStr">
      <is>
        <t>Prebooking</t>
      </is>
    </oc>
    <nc r="B7">
      <v>653</v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C7:C8">
    <dxf>
      <alignment horizontal="center" readingOrder="0"/>
    </dxf>
  </rfmt>
  <rfmt sheetId="4" sqref="C7:C8">
    <dxf>
      <alignment horizontal="left" readingOrder="0"/>
    </dxf>
  </rfmt>
  <rfmt sheetId="4" sqref="C7:C8">
    <dxf>
      <alignment horizontal="center" readingOrder="0"/>
    </dxf>
  </rfmt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" sId="1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2" sId="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3" sId="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4" sId="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5" sId="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6" sId="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7" sId="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8" sId="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9" sId="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0" sId="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1" sId="2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22" sId="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23" sId="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24" sId="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25" sId="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6" sId="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7" sId="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8" sId="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9" sId="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30" sId="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31" sId="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32" sId="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33" sId="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34" sId="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35" sId="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36" sId="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37" sId="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38" sId="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39" sId="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40" sId="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41" sId="4">
    <oc r="J7">
      <f>IF(OR(NOT(ISERROR(MATCH(RIGHT(B7,3)+0,#REF!,0))),NOT(ISERROR(MATCH(LEFT(B7,3)+0,#REF!,0)))),"No Post","")</f>
    </oc>
    <nc r="J7">
      <f>IF(OR(NOT(ISERROR(MATCH(RIGHT(B7,3)+0,#REF!,0))),NOT(ISERROR(MATCH(LEFT(B7,3)+0,#REF!,0)))),"No Post","")</f>
    </nc>
  </rcc>
  <rcc rId="42" sId="4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cc rId="43" sId="4">
    <oc r="J9">
      <f>IF(OR(NOT(ISERROR(MATCH(RIGHT(B9,3)+0,#REF!,0))),NOT(ISERROR(MATCH(LEFT(B9,3)+0,#REF!,0)))),"No Post","")</f>
    </oc>
    <nc r="J9">
      <f>IF(OR(NOT(ISERROR(MATCH(RIGHT(B9,3)+0,#REF!,0))),NOT(ISERROR(MATCH(LEFT(B9,3)+0,#REF!,0)))),"No Post","")</f>
    </nc>
  </rcc>
  <rcc rId="44" sId="4">
    <oc r="J10">
      <f>IF(OR(NOT(ISERROR(MATCH(RIGHT(B10,3)+0,#REF!,0))),NOT(ISERROR(MATCH(LEFT(B10,3)+0,#REF!,0)))),"No Post","")</f>
    </oc>
    <nc r="J10">
      <f>IF(OR(NOT(ISERROR(MATCH(RIGHT(B10,3)+0,#REF!,0))),NOT(ISERROR(MATCH(LEFT(B10,3)+0,#REF!,0)))),"No Post","")</f>
    </nc>
  </rcc>
  <rcc rId="45" sId="4">
    <oc r="J11">
      <f>IF(OR(NOT(ISERROR(MATCH(RIGHT(B11,3)+0,#REF!,0))),NOT(ISERROR(MATCH(LEFT(B11,3)+0,#REF!,0)))),"No Post","")</f>
    </oc>
    <nc r="J11">
      <f>IF(OR(NOT(ISERROR(MATCH(RIGHT(B11,3)+0,#REF!,0))),NOT(ISERROR(MATCH(LEFT(B11,3)+0,#REF!,0)))),"No Post","")</f>
    </nc>
  </rcc>
  <rcc rId="46" sId="4">
    <oc r="J12">
      <f>IF(OR(NOT(ISERROR(MATCH(RIGHT(B12,3)+0,#REF!,0))),NOT(ISERROR(MATCH(LEFT(B12,3)+0,#REF!,0)))),"No Post","")</f>
    </oc>
    <nc r="J12">
      <f>IF(OR(NOT(ISERROR(MATCH(RIGHT(B12,3)+0,#REF!,0))),NOT(ISERROR(MATCH(LEFT(B12,3)+0,#REF!,0)))),"No Post","")</f>
    </nc>
  </rcc>
  <rcc rId="47" sId="4">
    <oc r="J13">
      <f>IF(OR(NOT(ISERROR(MATCH(RIGHT(B13,3)+0,#REF!,0))),NOT(ISERROR(MATCH(LEFT(B13,3)+0,#REF!,0)))),"No Post","")</f>
    </oc>
    <nc r="J13">
      <f>IF(OR(NOT(ISERROR(MATCH(RIGHT(B13,3)+0,#REF!,0))),NOT(ISERROR(MATCH(LEFT(B13,3)+0,#REF!,0)))),"No Post","")</f>
    </nc>
  </rcc>
  <rcc rId="48" sId="4">
    <oc r="J14">
      <f>IF(OR(NOT(ISERROR(MATCH(RIGHT(B14,3)+0,#REF!,0))),NOT(ISERROR(MATCH(LEFT(B14,3)+0,#REF!,0)))),"No Post","")</f>
    </oc>
    <nc r="J14">
      <f>IF(OR(NOT(ISERROR(MATCH(RIGHT(B14,3)+0,#REF!,0))),NOT(ISERROR(MATCH(LEFT(B14,3)+0,#REF!,0)))),"No Post","")</f>
    </nc>
  </rcc>
  <rcc rId="49" sId="4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50" sId="4">
    <oc r="J16">
      <f>IF(OR(NOT(ISERROR(MATCH(RIGHT(B16,3)+0,#REF!,0))),NOT(ISERROR(MATCH(LEFT(B16,3)+0,#REF!,0)))),"No Post","")</f>
    </oc>
    <nc r="J16">
      <f>IF(OR(NOT(ISERROR(MATCH(RIGHT(B16,3)+0,#REF!,0))),NOT(ISERROR(MATCH(LEFT(B16,3)+0,#REF!,0)))),"No Post","")</f>
    </nc>
  </rcc>
  <rcc rId="51" sId="5">
    <oc r="J7">
      <f>IF(OR(NOT(ISERROR(MATCH(RIGHT(B7,3)+0,#REF!,0))),NOT(ISERROR(MATCH(LEFT(B7,3)+0,#REF!,0)))),"No Post","")</f>
    </oc>
    <nc r="J7">
      <f>IF(OR(NOT(ISERROR(MATCH(RIGHT(B7,3)+0,#REF!,0))),NOT(ISERROR(MATCH(LEFT(B7,3)+0,#REF!,0)))),"No Post","")</f>
    </nc>
  </rcc>
  <rcc rId="52" sId="5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cc rId="53" sId="5">
    <oc r="J9">
      <f>IF(OR(NOT(ISERROR(MATCH(RIGHT(B9,3)+0,#REF!,0))),NOT(ISERROR(MATCH(LEFT(B9,3)+0,#REF!,0)))),"No Post","")</f>
    </oc>
    <nc r="J9">
      <f>IF(OR(NOT(ISERROR(MATCH(RIGHT(B9,3)+0,#REF!,0))),NOT(ISERROR(MATCH(LEFT(B9,3)+0,#REF!,0)))),"No Post","")</f>
    </nc>
  </rcc>
  <rcc rId="54" sId="5">
    <oc r="J10">
      <f>IF(OR(NOT(ISERROR(MATCH(RIGHT(B10,3)+0,#REF!,0))),NOT(ISERROR(MATCH(LEFT(B10,3)+0,#REF!,0)))),"No Post","")</f>
    </oc>
    <nc r="J10">
      <f>IF(OR(NOT(ISERROR(MATCH(RIGHT(B10,3)+0,#REF!,0))),NOT(ISERROR(MATCH(LEFT(B10,3)+0,#REF!,0)))),"No Post","")</f>
    </nc>
  </rcc>
  <rcc rId="55" sId="5">
    <oc r="J11">
      <f>IF(OR(NOT(ISERROR(MATCH(RIGHT(B11,3)+0,#REF!,0))),NOT(ISERROR(MATCH(LEFT(B11,3)+0,#REF!,0)))),"No Post","")</f>
    </oc>
    <nc r="J11">
      <f>IF(OR(NOT(ISERROR(MATCH(RIGHT(B11,3)+0,#REF!,0))),NOT(ISERROR(MATCH(LEFT(B11,3)+0,#REF!,0)))),"No Post","")</f>
    </nc>
  </rcc>
  <rcc rId="56" sId="5">
    <oc r="J12">
      <f>IF(OR(NOT(ISERROR(MATCH(RIGHT(B12,3)+0,#REF!,0))),NOT(ISERROR(MATCH(LEFT(B12,3)+0,#REF!,0)))),"No Post","")</f>
    </oc>
    <nc r="J12">
      <f>IF(OR(NOT(ISERROR(MATCH(RIGHT(B12,3)+0,#REF!,0))),NOT(ISERROR(MATCH(LEFT(B12,3)+0,#REF!,0)))),"No Post","")</f>
    </nc>
  </rcc>
  <rcc rId="57" sId="5">
    <oc r="J13">
      <f>IF(OR(NOT(ISERROR(MATCH(RIGHT(B13,3)+0,#REF!,0))),NOT(ISERROR(MATCH(LEFT(B13,3)+0,#REF!,0)))),"No Post","")</f>
    </oc>
    <nc r="J13">
      <f>IF(OR(NOT(ISERROR(MATCH(RIGHT(B13,3)+0,#REF!,0))),NOT(ISERROR(MATCH(LEFT(B13,3)+0,#REF!,0)))),"No Post","")</f>
    </nc>
  </rcc>
  <rcc rId="58" sId="5">
    <oc r="J14">
      <f>IF(OR(NOT(ISERROR(MATCH(RIGHT(B14,3)+0,#REF!,0))),NOT(ISERROR(MATCH(LEFT(B14,3)+0,#REF!,0)))),"No Post","")</f>
    </oc>
    <nc r="J14">
      <f>IF(OR(NOT(ISERROR(MATCH(RIGHT(B14,3)+0,#REF!,0))),NOT(ISERROR(MATCH(LEFT(B14,3)+0,#REF!,0)))),"No Post","")</f>
    </nc>
  </rcc>
  <rcc rId="59" sId="5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60" sId="5">
    <oc r="J16">
      <f>IF(OR(NOT(ISERROR(MATCH(RIGHT(B16,3)+0,#REF!,0))),NOT(ISERROR(MATCH(LEFT(B16,3)+0,#REF!,0)))),"No Post","")</f>
    </oc>
    <nc r="J16">
      <f>IF(OR(NOT(ISERROR(MATCH(RIGHT(B16,3)+0,#REF!,0))),NOT(ISERROR(MATCH(LEFT(B16,3)+0,#REF!,0)))),"No Post","")</f>
    </nc>
  </rcc>
  <rcc rId="61" sId="6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62" sId="6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63" sId="6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64" sId="6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65" sId="6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66" sId="6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67" sId="6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68" sId="6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69" sId="6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70" sId="6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71" sId="7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72" sId="7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73" sId="7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74" sId="7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75" sId="7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76" sId="7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77" sId="7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78" sId="7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79" sId="7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80" sId="7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81" sId="8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82" sId="8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83" sId="8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84" sId="8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85" sId="8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86" sId="8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87" sId="8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88" sId="8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89" sId="8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90" sId="8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91" sId="9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92" sId="9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93" sId="9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94" sId="9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95" sId="9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96" sId="9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7" sId="4">
    <oc r="J8">
      <f>IF(OR(NOT(ISERROR(MATCH(RIGHT(B8,3)+0,#REF!,0))),NOT(ISERROR(MATCH(LEFT(B8,3)+0,#REF!,0)))),"No Post","")</f>
    </oc>
    <nc r="J8" t="inlineStr">
      <is>
        <t xml:space="preserve">NO POST 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4" sqref="B7:I8">
    <dxf>
      <alignment vertical="center" readingOrder="0"/>
    </dxf>
  </rfmt>
  <rfmt sheetId="4" sqref="B7:I8">
    <dxf>
      <alignment horizontal="general" readingOrder="0"/>
    </dxf>
  </rfmt>
  <rfmt sheetId="4" sqref="B7:I8">
    <dxf>
      <alignment horizontal="center" readingOrder="0"/>
    </dxf>
  </rfmt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98" sId="4" ref="B1:B1048576" action="insertCol"/>
  <rfmt sheetId="4" sqref="B8">
    <dxf>
      <fill>
        <patternFill>
          <bgColor theme="5" tint="-0.249977111117893"/>
        </patternFill>
      </fill>
    </dxf>
  </rfmt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99" sId="5">
    <nc r="B7">
      <v>603</v>
    </nc>
  </rcc>
  <rcc rId="100" sId="5">
    <nc r="E7">
      <v>2</v>
    </nc>
  </rcc>
  <rcc rId="101" sId="5">
    <nc r="I7" t="inlineStr">
      <is>
        <t>Faiha</t>
      </is>
    </nc>
  </rcc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2" sId="5">
    <nc r="C7" t="inlineStr">
      <is>
        <t>Anthony Meunier</t>
      </is>
    </nc>
  </rcc>
  <rcc rId="103" sId="5" numFmtId="19">
    <nc r="D7">
      <v>46132</v>
    </nc>
  </rcc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04" sId="5">
    <nc r="B8">
      <v>865</v>
    </nc>
  </rcc>
  <rcc rId="105" sId="5">
    <nc r="B9">
      <v>863</v>
    </nc>
  </rcc>
  <rcc rId="106" sId="5">
    <nc r="E8">
      <v>2</v>
    </nc>
  </rcc>
  <rcc rId="107" sId="5">
    <nc r="E9">
      <v>2</v>
    </nc>
  </rcc>
  <rcc rId="108" sId="5" odxf="1" dxf="1">
    <nc r="I8" t="inlineStr">
      <is>
        <t>Faiha</t>
      </is>
    </nc>
    <ndxf>
      <border outline="0">
        <top/>
      </border>
    </ndxf>
  </rcc>
  <rcc rId="109" sId="5" odxf="1" dxf="1">
    <nc r="I9" t="inlineStr">
      <is>
        <t>Faiha</t>
      </is>
    </nc>
    <odxf>
      <border outline="0">
        <top style="thin">
          <color indexed="64"/>
        </top>
      </border>
    </odxf>
    <ndxf>
      <border outline="0">
        <top/>
      </border>
    </ndxf>
  </rcc>
  <rfmt sheetId="5" sqref="I10" start="0" length="0">
    <dxf>
      <border outline="0">
        <top/>
      </border>
    </dxf>
  </rfmt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0" sId="5">
    <nc r="C8" t="inlineStr">
      <is>
        <t>Aurelien Goillot</t>
      </is>
    </nc>
  </rcc>
  <rcc rId="111" sId="5" numFmtId="19">
    <nc r="D8">
      <v>46132</v>
    </nc>
  </rcc>
  <rcc rId="112" sId="5">
    <nc r="C9" t="inlineStr">
      <is>
        <t>Edwige Touzart</t>
      </is>
    </nc>
  </rcc>
  <rcc rId="113" sId="5" numFmtId="19">
    <nc r="D9">
      <v>46132</v>
    </nc>
  </rcc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14" sId="6" odxf="1" dxf="1">
    <nc r="B8" t="inlineStr">
      <is>
        <t>Prebooking</t>
      </is>
    </nc>
    <odxf>
      <font>
        <sz val="14"/>
      </font>
      <alignment vertical="top"/>
    </odxf>
    <ndxf>
      <font>
        <sz val="14"/>
        <color auto="1"/>
      </font>
      <alignment vertical="center"/>
    </ndxf>
  </rcc>
  <rcc rId="115" sId="6" odxf="1" dxf="1">
    <nc r="C8" t="inlineStr">
      <is>
        <t>MR ZAIKIN ANDREI</t>
      </is>
    </nc>
    <odxf>
      <font>
        <sz val="14"/>
      </font>
      <fill>
        <patternFill patternType="solid">
          <bgColor theme="0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general" vertical="center"/>
      <border outline="0">
        <left/>
        <right/>
        <top/>
        <bottom/>
      </border>
    </ndxf>
  </rcc>
  <rcc rId="116" sId="6" numFmtId="19">
    <nc r="D8">
      <v>46134</v>
    </nc>
  </rcc>
  <rcc rId="117" sId="6">
    <nc r="E8">
      <v>2</v>
    </nc>
  </rcc>
  <rcc rId="118" sId="6" odxf="1" dxf="1">
    <nc r="H8" t="inlineStr">
      <is>
        <t>2947700 (TRMD)</t>
      </is>
    </nc>
    <odxf>
      <font>
        <b val="0"/>
        <sz val="14"/>
      </font>
      <fill>
        <patternFill patternType="solid">
          <bgColor theme="0"/>
        </patternFill>
      </fill>
      <alignment horizontal="center" vertical="top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b/>
        <sz val="14"/>
        <color rgb="FF321704"/>
        <name val="Arial"/>
        <scheme val="none"/>
      </font>
      <fill>
        <patternFill patternType="none">
          <bgColor indexed="65"/>
        </patternFill>
      </fill>
      <alignment horizontal="general" vertical="bottom"/>
      <border outline="0">
        <left/>
        <right/>
        <top/>
        <bottom/>
      </border>
    </ndxf>
  </rcc>
  <rcc rId="119" sId="6">
    <nc r="I8" t="inlineStr">
      <is>
        <t>Monica/Maaji</t>
      </is>
    </nc>
  </rcc>
  <rm rId="120" sheetId="6" source="H8:I8" destination="I8:J8" sourceSheetId="6">
    <rfmt sheetId="6" sqref="J8" start="0" length="0">
      <dxf>
        <font>
          <sz val="14"/>
          <color theme="1"/>
          <name val="Calibri"/>
          <family val="2"/>
          <scheme val="minor"/>
        </font>
        <fill>
          <patternFill patternType="solid">
            <bgColor theme="0"/>
          </patternFill>
        </fill>
        <alignment horizontal="center" vertical="top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m>
  <rdn rId="0" localSheetId="1" customView="1" name="Z_EB671E99_C5BE_4B03_864B_AB6F22D6AC5B_.wvu.PrintArea" hidden="1" oldHidden="1">
    <formula>'2'!$A$1:$J$29</formula>
  </rdn>
  <rcv guid="{EB671E99-C5BE-4B03-864B-AB6F22D6AC5B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2" sId="1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23" sId="1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24" sId="1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25" sId="1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26" sId="1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27" sId="1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28" sId="1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29" sId="1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30" sId="1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31" sId="1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32" sId="2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33" sId="2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34" sId="2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35" sId="2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36" sId="2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37" sId="2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38" sId="2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39" sId="2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40" sId="2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41" sId="2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42" sId="3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43" sId="3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44" sId="3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45" sId="3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46" sId="3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47" sId="3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48" sId="3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49" sId="3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50" sId="3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51" sId="3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52" sId="4">
    <oc r="K9">
      <f>IF(OR(NOT(ISERROR(MATCH(RIGHT(C9,3)+0,#REF!,0))),NOT(ISERROR(MATCH(LEFT(C9,3)+0,#REF!,0)))),"No Post","")</f>
    </oc>
    <nc r="K9">
      <f>IF(OR(NOT(ISERROR(MATCH(RIGHT(C9,3)+0,#REF!,0))),NOT(ISERROR(MATCH(LEFT(C9,3)+0,#REF!,0)))),"No Post","")</f>
    </nc>
  </rcc>
  <rcc rId="153" sId="4">
    <oc r="K10">
      <f>IF(OR(NOT(ISERROR(MATCH(RIGHT(C10,3)+0,#REF!,0))),NOT(ISERROR(MATCH(LEFT(C10,3)+0,#REF!,0)))),"No Post","")</f>
    </oc>
    <nc r="K10">
      <f>IF(OR(NOT(ISERROR(MATCH(RIGHT(C10,3)+0,#REF!,0))),NOT(ISERROR(MATCH(LEFT(C10,3)+0,#REF!,0)))),"No Post","")</f>
    </nc>
  </rcc>
  <rcc rId="154" sId="4">
    <oc r="K11">
      <f>IF(OR(NOT(ISERROR(MATCH(RIGHT(C11,3)+0,#REF!,0))),NOT(ISERROR(MATCH(LEFT(C11,3)+0,#REF!,0)))),"No Post","")</f>
    </oc>
    <nc r="K11">
      <f>IF(OR(NOT(ISERROR(MATCH(RIGHT(C11,3)+0,#REF!,0))),NOT(ISERROR(MATCH(LEFT(C11,3)+0,#REF!,0)))),"No Post","")</f>
    </nc>
  </rcc>
  <rcc rId="155" sId="4">
    <oc r="K12">
      <f>IF(OR(NOT(ISERROR(MATCH(RIGHT(C12,3)+0,#REF!,0))),NOT(ISERROR(MATCH(LEFT(C12,3)+0,#REF!,0)))),"No Post","")</f>
    </oc>
    <nc r="K12">
      <f>IF(OR(NOT(ISERROR(MATCH(RIGHT(C12,3)+0,#REF!,0))),NOT(ISERROR(MATCH(LEFT(C12,3)+0,#REF!,0)))),"No Post","")</f>
    </nc>
  </rcc>
  <rcc rId="156" sId="4">
    <oc r="K13">
      <f>IF(OR(NOT(ISERROR(MATCH(RIGHT(C13,3)+0,#REF!,0))),NOT(ISERROR(MATCH(LEFT(C13,3)+0,#REF!,0)))),"No Post","")</f>
    </oc>
    <nc r="K13">
      <f>IF(OR(NOT(ISERROR(MATCH(RIGHT(C13,3)+0,#REF!,0))),NOT(ISERROR(MATCH(LEFT(C13,3)+0,#REF!,0)))),"No Post","")</f>
    </nc>
  </rcc>
  <rcc rId="157" sId="4">
    <oc r="K14">
      <f>IF(OR(NOT(ISERROR(MATCH(RIGHT(C14,3)+0,#REF!,0))),NOT(ISERROR(MATCH(LEFT(C14,3)+0,#REF!,0)))),"No Post","")</f>
    </oc>
    <nc r="K14">
      <f>IF(OR(NOT(ISERROR(MATCH(RIGHT(C14,3)+0,#REF!,0))),NOT(ISERROR(MATCH(LEFT(C14,3)+0,#REF!,0)))),"No Post","")</f>
    </nc>
  </rcc>
  <rcc rId="158" sId="4">
    <oc r="K15">
      <f>IF(OR(NOT(ISERROR(MATCH(RIGHT(C15,3)+0,#REF!,0))),NOT(ISERROR(MATCH(LEFT(C15,3)+0,#REF!,0)))),"No Post","")</f>
    </oc>
    <nc r="K15">
      <f>IF(OR(NOT(ISERROR(MATCH(RIGHT(C15,3)+0,#REF!,0))),NOT(ISERROR(MATCH(LEFT(C15,3)+0,#REF!,0)))),"No Post","")</f>
    </nc>
  </rcc>
  <rcc rId="159" sId="4">
    <oc r="K16">
      <f>IF(OR(NOT(ISERROR(MATCH(RIGHT(C16,3)+0,#REF!,0))),NOT(ISERROR(MATCH(LEFT(C16,3)+0,#REF!,0)))),"No Post","")</f>
    </oc>
    <nc r="K16">
      <f>IF(OR(NOT(ISERROR(MATCH(RIGHT(C16,3)+0,#REF!,0))),NOT(ISERROR(MATCH(LEFT(C16,3)+0,#REF!,0)))),"No Post","")</f>
    </nc>
  </rcc>
  <rcc rId="160" sId="4">
    <oc r="K7">
      <f>IF(OR(NOT(ISERROR(MATCH(RIGHT(C7,3)+0,#REF!,0))),NOT(ISERROR(MATCH(LEFT(C7,3)+0,#REF!,0)))),"No Post","")</f>
    </oc>
    <nc r="K7">
      <f>IF(OR(NOT(ISERROR(MATCH(RIGHT(C7,3)+0,#REF!,0))),NOT(ISERROR(MATCH(LEFT(C7,3)+0,#REF!,0)))),"No Post","")</f>
    </nc>
  </rcc>
  <rcc rId="161" sId="5">
    <oc r="J7">
      <f>IF(OR(NOT(ISERROR(MATCH(RIGHT(B7,3)+0,#REF!,0))),NOT(ISERROR(MATCH(LEFT(B7,3)+0,#REF!,0)))),"No Post","")</f>
    </oc>
    <nc r="J7">
      <f>IF(OR(NOT(ISERROR(MATCH(RIGHT(B7,3)+0,#REF!,0))),NOT(ISERROR(MATCH(LEFT(B7,3)+0,#REF!,0)))),"No Post","")</f>
    </nc>
  </rcc>
  <rcc rId="162" sId="5">
    <oc r="J8">
      <f>IF(OR(NOT(ISERROR(MATCH(RIGHT(B8,3)+0,#REF!,0))),NOT(ISERROR(MATCH(LEFT(B8,3)+0,#REF!,0)))),"No Post","")</f>
    </oc>
    <nc r="J8">
      <f>IF(OR(NOT(ISERROR(MATCH(RIGHT(B8,3)+0,#REF!,0))),NOT(ISERROR(MATCH(LEFT(B8,3)+0,#REF!,0)))),"No Post","")</f>
    </nc>
  </rcc>
  <rcc rId="163" sId="5">
    <oc r="J9">
      <f>IF(OR(NOT(ISERROR(MATCH(RIGHT(B9,3)+0,#REF!,0))),NOT(ISERROR(MATCH(LEFT(B9,3)+0,#REF!,0)))),"No Post","")</f>
    </oc>
    <nc r="J9">
      <f>IF(OR(NOT(ISERROR(MATCH(RIGHT(B9,3)+0,#REF!,0))),NOT(ISERROR(MATCH(LEFT(B9,3)+0,#REF!,0)))),"No Post","")</f>
    </nc>
  </rcc>
  <rcc rId="164" sId="5">
    <oc r="J10">
      <f>IF(OR(NOT(ISERROR(MATCH(RIGHT(B10,3)+0,#REF!,0))),NOT(ISERROR(MATCH(LEFT(B10,3)+0,#REF!,0)))),"No Post","")</f>
    </oc>
    <nc r="J10">
      <f>IF(OR(NOT(ISERROR(MATCH(RIGHT(B10,3)+0,#REF!,0))),NOT(ISERROR(MATCH(LEFT(B10,3)+0,#REF!,0)))),"No Post","")</f>
    </nc>
  </rcc>
  <rcc rId="165" sId="5">
    <oc r="J11">
      <f>IF(OR(NOT(ISERROR(MATCH(RIGHT(B11,3)+0,#REF!,0))),NOT(ISERROR(MATCH(LEFT(B11,3)+0,#REF!,0)))),"No Post","")</f>
    </oc>
    <nc r="J11">
      <f>IF(OR(NOT(ISERROR(MATCH(RIGHT(B11,3)+0,#REF!,0))),NOT(ISERROR(MATCH(LEFT(B11,3)+0,#REF!,0)))),"No Post","")</f>
    </nc>
  </rcc>
  <rcc rId="166" sId="5">
    <oc r="J12">
      <f>IF(OR(NOT(ISERROR(MATCH(RIGHT(B12,3)+0,#REF!,0))),NOT(ISERROR(MATCH(LEFT(B12,3)+0,#REF!,0)))),"No Post","")</f>
    </oc>
    <nc r="J12">
      <f>IF(OR(NOT(ISERROR(MATCH(RIGHT(B12,3)+0,#REF!,0))),NOT(ISERROR(MATCH(LEFT(B12,3)+0,#REF!,0)))),"No Post","")</f>
    </nc>
  </rcc>
  <rcc rId="167" sId="5">
    <oc r="J13">
      <f>IF(OR(NOT(ISERROR(MATCH(RIGHT(B13,3)+0,#REF!,0))),NOT(ISERROR(MATCH(LEFT(B13,3)+0,#REF!,0)))),"No Post","")</f>
    </oc>
    <nc r="J13">
      <f>IF(OR(NOT(ISERROR(MATCH(RIGHT(B13,3)+0,#REF!,0))),NOT(ISERROR(MATCH(LEFT(B13,3)+0,#REF!,0)))),"No Post","")</f>
    </nc>
  </rcc>
  <rcc rId="168" sId="5">
    <oc r="J14">
      <f>IF(OR(NOT(ISERROR(MATCH(RIGHT(B14,3)+0,#REF!,0))),NOT(ISERROR(MATCH(LEFT(B14,3)+0,#REF!,0)))),"No Post","")</f>
    </oc>
    <nc r="J14">
      <f>IF(OR(NOT(ISERROR(MATCH(RIGHT(B14,3)+0,#REF!,0))),NOT(ISERROR(MATCH(LEFT(B14,3)+0,#REF!,0)))),"No Post","")</f>
    </nc>
  </rcc>
  <rcc rId="169" sId="5">
    <oc r="J15">
      <f>IF(OR(NOT(ISERROR(MATCH(RIGHT(B15,3)+0,#REF!,0))),NOT(ISERROR(MATCH(LEFT(B15,3)+0,#REF!,0)))),"No Post","")</f>
    </oc>
    <nc r="J15">
      <f>IF(OR(NOT(ISERROR(MATCH(RIGHT(B15,3)+0,#REF!,0))),NOT(ISERROR(MATCH(LEFT(B15,3)+0,#REF!,0)))),"No Post","")</f>
    </nc>
  </rcc>
  <rcc rId="170" sId="5">
    <oc r="J16">
      <f>IF(OR(NOT(ISERROR(MATCH(RIGHT(B16,3)+0,#REF!,0))),NOT(ISERROR(MATCH(LEFT(B16,3)+0,#REF!,0)))),"No Post","")</f>
    </oc>
    <nc r="J16">
      <f>IF(OR(NOT(ISERROR(MATCH(RIGHT(B16,3)+0,#REF!,0))),NOT(ISERROR(MATCH(LEFT(B16,3)+0,#REF!,0)))),"No Post","")</f>
    </nc>
  </rcc>
  <rcc rId="171" sId="6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72" sId="6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73" sId="6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74" sId="6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75" sId="6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76" sId="6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77" sId="6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78" sId="6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79" sId="6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80" sId="6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81" sId="7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82" sId="7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83" sId="7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84" sId="7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85" sId="7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86" sId="7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87" sId="7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88" sId="7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89" sId="7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190" sId="7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191" sId="8">
    <oc r="K7">
      <f>IF(OR(NOT(ISERROR(MATCH(RIGHT(B7,3)+0,#REF!,0))),NOT(ISERROR(MATCH(LEFT(B7,3)+0,#REF!,0)))),"No Post","")</f>
    </oc>
    <nc r="K7">
      <f>IF(OR(NOT(ISERROR(MATCH(RIGHT(B7,3)+0,#REF!,0))),NOT(ISERROR(MATCH(LEFT(B7,3)+0,#REF!,0)))),"No Post","")</f>
    </nc>
  </rcc>
  <rcc rId="192" sId="8">
    <oc r="K8">
      <f>IF(OR(NOT(ISERROR(MATCH(RIGHT(B8,3)+0,#REF!,0))),NOT(ISERROR(MATCH(LEFT(B8,3)+0,#REF!,0)))),"No Post","")</f>
    </oc>
    <nc r="K8">
      <f>IF(OR(NOT(ISERROR(MATCH(RIGHT(B8,3)+0,#REF!,0))),NOT(ISERROR(MATCH(LEFT(B8,3)+0,#REF!,0)))),"No Post","")</f>
    </nc>
  </rcc>
  <rcc rId="193" sId="8">
    <oc r="K9">
      <f>IF(OR(NOT(ISERROR(MATCH(RIGHT(B9,3)+0,#REF!,0))),NOT(ISERROR(MATCH(LEFT(B9,3)+0,#REF!,0)))),"No Post","")</f>
    </oc>
    <nc r="K9">
      <f>IF(OR(NOT(ISERROR(MATCH(RIGHT(B9,3)+0,#REF!,0))),NOT(ISERROR(MATCH(LEFT(B9,3)+0,#REF!,0)))),"No Post","")</f>
    </nc>
  </rcc>
  <rcc rId="194" sId="8">
    <oc r="K10">
      <f>IF(OR(NOT(ISERROR(MATCH(RIGHT(B10,3)+0,#REF!,0))),NOT(ISERROR(MATCH(LEFT(B10,3)+0,#REF!,0)))),"No Post","")</f>
    </oc>
    <nc r="K10">
      <f>IF(OR(NOT(ISERROR(MATCH(RIGHT(B10,3)+0,#REF!,0))),NOT(ISERROR(MATCH(LEFT(B10,3)+0,#REF!,0)))),"No Post","")</f>
    </nc>
  </rcc>
  <rcc rId="195" sId="8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196" sId="8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197" sId="8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198" sId="8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199" sId="8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00" sId="8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  <rcc rId="201" sId="9">
    <oc r="K11">
      <f>IF(OR(NOT(ISERROR(MATCH(RIGHT(B11,3)+0,#REF!,0))),NOT(ISERROR(MATCH(LEFT(B11,3)+0,#REF!,0)))),"No Post","")</f>
    </oc>
    <nc r="K11">
      <f>IF(OR(NOT(ISERROR(MATCH(RIGHT(B11,3)+0,#REF!,0))),NOT(ISERROR(MATCH(LEFT(B11,3)+0,#REF!,0)))),"No Post","")</f>
    </nc>
  </rcc>
  <rcc rId="202" sId="9">
    <oc r="K12">
      <f>IF(OR(NOT(ISERROR(MATCH(RIGHT(B12,3)+0,#REF!,0))),NOT(ISERROR(MATCH(LEFT(B12,3)+0,#REF!,0)))),"No Post","")</f>
    </oc>
    <nc r="K12">
      <f>IF(OR(NOT(ISERROR(MATCH(RIGHT(B12,3)+0,#REF!,0))),NOT(ISERROR(MATCH(LEFT(B12,3)+0,#REF!,0)))),"No Post","")</f>
    </nc>
  </rcc>
  <rcc rId="203" sId="9">
    <oc r="K13">
      <f>IF(OR(NOT(ISERROR(MATCH(RIGHT(B13,3)+0,#REF!,0))),NOT(ISERROR(MATCH(LEFT(B13,3)+0,#REF!,0)))),"No Post","")</f>
    </oc>
    <nc r="K13">
      <f>IF(OR(NOT(ISERROR(MATCH(RIGHT(B13,3)+0,#REF!,0))),NOT(ISERROR(MATCH(LEFT(B13,3)+0,#REF!,0)))),"No Post","")</f>
    </nc>
  </rcc>
  <rcc rId="204" sId="9">
    <oc r="K14">
      <f>IF(OR(NOT(ISERROR(MATCH(RIGHT(B14,3)+0,#REF!,0))),NOT(ISERROR(MATCH(LEFT(B14,3)+0,#REF!,0)))),"No Post","")</f>
    </oc>
    <nc r="K14">
      <f>IF(OR(NOT(ISERROR(MATCH(RIGHT(B14,3)+0,#REF!,0))),NOT(ISERROR(MATCH(LEFT(B14,3)+0,#REF!,0)))),"No Post","")</f>
    </nc>
  </rcc>
  <rcc rId="205" sId="9">
    <oc r="K15">
      <f>IF(OR(NOT(ISERROR(MATCH(RIGHT(B15,3)+0,#REF!,0))),NOT(ISERROR(MATCH(LEFT(B15,3)+0,#REF!,0)))),"No Post","")</f>
    </oc>
    <nc r="K15">
      <f>IF(OR(NOT(ISERROR(MATCH(RIGHT(B15,3)+0,#REF!,0))),NOT(ISERROR(MATCH(LEFT(B15,3)+0,#REF!,0)))),"No Post","")</f>
    </nc>
  </rcc>
  <rcc rId="206" sId="9">
    <oc r="K16">
      <f>IF(OR(NOT(ISERROR(MATCH(RIGHT(B16,3)+0,#REF!,0))),NOT(ISERROR(MATCH(LEFT(B16,3)+0,#REF!,0)))),"No Post","")</f>
    </oc>
    <nc r="K16">
      <f>IF(OR(NOT(ISERROR(MATCH(RIGHT(B16,3)+0,#REF!,0))),NOT(ISERROR(MATCH(LEFT(B16,3)+0,#REF!,0)))),"No Post","")</f>
    </nc>
  </rcc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207" sId="5" ref="B1:B1048576" action="insertCol"/>
  <rcc rId="208" sId="5">
    <oc r="K8">
      <f>IF(OR(NOT(ISERROR(MATCH(RIGHT(C8,3)+0,#REF!,0))),NOT(ISERROR(MATCH(LEFT(C8,3)+0,#REF!,0)))),"No Post","")</f>
    </oc>
    <nc r="K8" t="inlineStr">
      <is>
        <t>NO POST</t>
      </is>
    </nc>
  </rcc>
  <rcc rId="209" sId="5">
    <oc r="K9">
      <f>IF(OR(NOT(ISERROR(MATCH(RIGHT(C9,3)+0,#REF!,0))),NOT(ISERROR(MATCH(LEFT(C9,3)+0,#REF!,0)))),"No Post","")</f>
    </oc>
    <nc r="K9" t="inlineStr">
      <is>
        <t>NO POST</t>
      </is>
    </nc>
  </rcc>
  <rcv guid="{B8EA161F-7E60-4D3B-827A-A298931FF3D5}" action="delete"/>
  <rdn rId="0" localSheetId="1" customView="1" name="Z_B8EA161F_7E60_4D3B_827A_A298931FF3D5_.wvu.PrintArea" hidden="1" oldHidden="1">
    <formula>'2'!$A$1:$J$29</formula>
    <oldFormula>'2'!$A$1:$J$29</oldFormula>
  </rdn>
  <rcv guid="{B8EA161F-7E60-4D3B-827A-A298931FF3D5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C7:J9">
    <dxf>
      <alignment vertical="center" readingOrder="0"/>
    </dxf>
  </rfmt>
  <rfmt sheetId="5" sqref="C7:J9">
    <dxf>
      <alignment horizontal="general" readingOrder="0"/>
    </dxf>
  </rfmt>
  <rfmt sheetId="5" sqref="C7:J9">
    <dxf>
      <alignment horizontal="center" readingOrder="0"/>
    </dxf>
  </rfmt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7">
    <dxf>
      <fill>
        <patternFill>
          <bgColor rgb="FFFFC000"/>
        </patternFill>
      </fill>
    </dxf>
  </rfmt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5" sqref="B8" start="0" length="0">
    <dxf>
      <fill>
        <patternFill>
          <bgColor rgb="FFFFC000"/>
        </patternFill>
      </fill>
      <border outline="0">
        <top/>
      </border>
    </dxf>
  </rfmt>
  <rfmt sheetId="5" sqref="B9" start="0" length="0">
    <dxf>
      <fill>
        <patternFill>
          <bgColor rgb="FFFFC000"/>
        </patternFill>
      </fill>
      <border outline="0">
        <top/>
      </border>
    </dxf>
  </rfmt>
</revisions>
</file>

<file path=xl/revisions/revisionLog2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1" sId="7" xfDxf="1" dxf="1">
    <nc r="C7" t="inlineStr">
      <is>
        <t>Mr Gavin David Hogg</t>
      </is>
    </nc>
    <ndxf>
      <font>
        <sz val="14"/>
      </font>
      <fill>
        <patternFill patternType="solid">
          <bgColor theme="0"/>
        </patternFill>
      </fill>
      <alignment horizontal="left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212" sId="7">
    <nc r="B7" t="inlineStr">
      <is>
        <t>Prebooking</t>
      </is>
    </nc>
  </rcc>
  <rcc rId="213" sId="7" numFmtId="19">
    <nc r="D7">
      <v>46145</v>
    </nc>
  </rcc>
  <rcc rId="214" sId="7">
    <nc r="E7">
      <v>2</v>
    </nc>
  </rcc>
  <rcc rId="215" sId="7" xfDxf="1" dxf="1">
    <nc r="I7" t="inlineStr">
      <is>
        <t>8461SG079401, 8461SF074419 (TRMD)</t>
      </is>
    </nc>
    <ndxf>
      <font>
        <sz val="14"/>
      </font>
      <fill>
        <patternFill patternType="solid">
          <bgColor theme="0"/>
        </patternFill>
      </fill>
      <alignment horizontal="center" readingOrder="0"/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ndxf>
  </rcc>
  <rcc rId="216" sId="7">
    <nc r="J7" t="inlineStr">
      <is>
        <t>Shamrath/Faiha</t>
      </is>
    </nc>
  </rcc>
  <rcv guid="{B8EA161F-7E60-4D3B-827A-A298931FF3D5}" action="delete"/>
  <rdn rId="0" localSheetId="1" customView="1" name="Z_B8EA161F_7E60_4D3B_827A_A298931FF3D5_.wvu.PrintArea" hidden="1" oldHidden="1">
    <formula>'2'!$A$1:$J$29</formula>
    <oldFormula>'2'!$A$1:$J$29</oldFormula>
  </rdn>
  <rcv guid="{B8EA161F-7E60-4D3B-827A-A298931FF3D5}" action="add"/>
</revisions>
</file>

<file path=xl/revisions/revisionLog2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18" sId="6">
    <oc r="B7" t="inlineStr">
      <is>
        <t>Prebooking</t>
      </is>
    </oc>
    <nc r="B7">
      <v>306</v>
    </nc>
  </rcc>
  <rcc rId="219" sId="6">
    <oc r="B8" t="inlineStr">
      <is>
        <t>Prebooking</t>
      </is>
    </oc>
    <nc r="B8">
      <v>650</v>
    </nc>
  </rcc>
  <rrc rId="220" sId="6" ref="B1:B1048576" action="insertCol"/>
</revisions>
</file>

<file path=xl/revisions/revisionLog2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1" sId="6">
    <oc r="F7">
      <v>2</v>
    </oc>
    <nc r="F7" t="inlineStr">
      <is>
        <t>CXL2</t>
      </is>
    </nc>
  </rcc>
</revisions>
</file>

<file path=xl/revisions/revisionLog2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2" sId="8">
    <nc r="B7">
      <v>848</v>
    </nc>
  </rcc>
  <rcc rId="223" sId="8">
    <nc r="E7">
      <v>2</v>
    </nc>
  </rcc>
  <rcc rId="224" sId="8">
    <nc r="J7" t="inlineStr">
      <is>
        <t>Faiha</t>
      </is>
    </nc>
  </rcc>
</revisions>
</file>

<file path=xl/revisions/revisionLog2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5" sId="8">
    <nc r="B8">
      <v>310</v>
    </nc>
  </rcc>
  <rcc rId="226" sId="8">
    <nc r="E8">
      <v>2</v>
    </nc>
  </rcc>
  <rcc rId="227" sId="8">
    <nc r="J8" t="inlineStr">
      <is>
        <t>Faiha</t>
      </is>
    </nc>
  </rcc>
</revisions>
</file>

<file path=xl/revisions/revisionLog2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8" sId="8">
    <nc r="C7" t="inlineStr">
      <is>
        <t>Gavin Hogg</t>
      </is>
    </nc>
  </rcc>
  <rcc rId="229" sId="8" numFmtId="19">
    <nc r="D7">
      <v>46136</v>
    </nc>
  </rcc>
  <rcc rId="230" sId="8">
    <nc r="C8" t="inlineStr">
      <is>
        <t>Cristina Ugarriza</t>
      </is>
    </nc>
  </rcc>
  <rcc rId="231" sId="8" numFmtId="19">
    <nc r="D8">
      <v>46140</v>
    </nc>
  </rcc>
</revisions>
</file>

<file path=xl/revisions/revisionLog2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B8EA161F-7E60-4D3B-827A-A298931FF3D5}" action="delete"/>
  <rdn rId="0" localSheetId="1" customView="1" name="Z_B8EA161F_7E60_4D3B_827A_A298931FF3D5_.wvu.PrintArea" hidden="1" oldHidden="1">
    <formula>'2'!$A$1:$J$29</formula>
    <oldFormula>'2'!$A$1:$J$29</oldFormula>
  </rdn>
  <rcv guid="{B8EA161F-7E60-4D3B-827A-A298931FF3D5}" action="add"/>
</revisions>
</file>

<file path=xl/revisions/revisionLog2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3" sId="9">
    <oc r="B7" t="inlineStr">
      <is>
        <t>Prebooking</t>
      </is>
    </oc>
    <nc r="B7">
      <v>609</v>
    </nc>
  </rcc>
  <rcc rId="234" sId="9">
    <oc r="B8" t="inlineStr">
      <is>
        <t>Prebooking</t>
      </is>
    </oc>
    <nc r="B8">
      <v>610</v>
    </nc>
  </rcc>
  <rcc rId="235" sId="9">
    <oc r="B9" t="inlineStr">
      <is>
        <t>Prebooking</t>
      </is>
    </oc>
    <nc r="B9">
      <v>611</v>
    </nc>
  </rcc>
  <rcc rId="236" sId="9">
    <oc r="E10">
      <v>4</v>
    </oc>
    <nc r="E10" t="inlineStr">
      <is>
        <t>CXL 4</t>
      </is>
    </nc>
  </rcc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6">
  <userInfo guid="{3595EEF1-1C13-4D08-BC9D-64759778CCAC}" name="Dive Centre Office" id="-387591784" dateTime="2026-04-01T14:53:07"/>
  <userInfo guid="{482ADD79-A609-43BD-A428-F43713427C5B}" name="Dive Centre Office" id="-387587649" dateTime="2026-04-12T14:09:59"/>
  <userInfo guid="{3B1F35AE-F505-456E-A67A-9195230DC42D}" name="Dive Centre Office" id="-387610346" dateTime="2026-04-18T16:37:10"/>
  <userInfo guid="{BC932C9F-A8A1-46F1-91E8-294D38396F59}" name="Dive Centre Office" id="-387595093" dateTime="2026-04-22T09:09:40"/>
  <userInfo guid="{D2A53844-1542-4022-9815-6BD378A1D620}" name="Dive Centre Office" id="-387599980" dateTime="2026-04-24T10:06:03"/>
  <userInfo guid="{D2A53844-1542-4022-9815-6BD378A1D620}" name="Dive Centre Office" id="-387592821" dateTime="2026-04-26T12:49:24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53"/>
  <sheetViews>
    <sheetView zoomScaleNormal="100" zoomScaleSheetLayoutView="100" zoomScalePageLayoutView="90" workbookViewId="0">
      <selection activeCell="E9" sqref="E9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2/04/2026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/>
    </row>
    <row r="7" spans="1:11" x14ac:dyDescent="0.35">
      <c r="A7" s="33">
        <v>1</v>
      </c>
      <c r="B7" s="25">
        <v>204</v>
      </c>
      <c r="C7" s="36"/>
      <c r="D7" s="43"/>
      <c r="E7" s="25">
        <v>2</v>
      </c>
      <c r="F7" s="25"/>
      <c r="G7" s="25"/>
      <c r="H7" s="25"/>
      <c r="I7" s="25"/>
      <c r="J7" s="25"/>
      <c r="K7" s="51" t="str">
        <f>IF(OR(NOT(ISERROR(MATCH(RIGHT(B7,3)+0,#REF!,0))),NOT(ISERROR(MATCH(LEFT(B7,3)+0,#REF!,0)))),"No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IF(OR(NOT(ISERROR(MATCH(RIGHT(B8,3)+0,#REF!,0))),NOT(ISERROR(MATCH(LEFT(B8,3)+0,#REF!,0)))),"No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IF(OR(NOT(ISERROR(MATCH(RIGHT(B9,3)+0,#REF!,0))),NOT(ISERROR(MATCH(LEFT(B9,3)+0,#REF!,0)))),"No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IF(OR(NOT(ISERROR(MATCH(RIGHT(B10,3)+0,#REF!,0))),NOT(ISERROR(MATCH(LEFT(B10,3)+0,#REF!,0)))),"No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IF(OR(NOT(ISERROR(MATCH(RIGHT(B11,3)+0,#REF!,0))),NOT(ISERROR(MATCH(LEFT(B11,3)+0,#REF!,0)))),"No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IF(OR(NOT(ISERROR(MATCH(RIGHT(B12,3)+0,#REF!,0))),NOT(ISERROR(MATCH(LEFT(B12,3)+0,#REF!,0)))),"No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2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B8EA161F-7E60-4D3B-827A-A298931FF3D5}" showPageBreaks="1" fitToPage="1" printArea="1">
      <selection activeCell="E9" sqref="E9"/>
      <pageMargins left="0.7" right="0.7" top="0.75" bottom="0.75" header="0.3" footer="0.3"/>
      <printOptions horizontalCentered="1"/>
      <pageSetup paperSize="9" scale="84" fitToHeight="0" orientation="landscape" r:id="rId1"/>
    </customSheetView>
    <customSheetView guid="{EB671E99-C5BE-4B03-864B-AB6F22D6AC5B}" fitToPage="1">
      <selection activeCell="E9" sqref="E9"/>
      <pageMargins left="0.7" right="0.7" top="0.75" bottom="0.75" header="0.3" footer="0.3"/>
      <printOptions horizontalCentered="1"/>
      <pageSetup paperSize="9" scale="84" fitToHeight="0" orientation="landscape" r:id="rId2"/>
    </customSheetView>
    <customSheetView guid="{B6C88C95-1BEF-4090-A8A9-7ABB415D0D96}" fitToPage="1">
      <selection activeCell="E9" sqref="E9"/>
      <pageMargins left="0.7" right="0.7" top="0.75" bottom="0.75" header="0.3" footer="0.3"/>
      <printOptions horizontalCentered="1"/>
      <pageSetup paperSize="9" scale="58" fitToHeight="0" orientation="landscape" r:id="rId3"/>
    </customSheetView>
    <customSheetView guid="{1DF7E7CF-1466-457D-8611-9CCA69D96ADA}" fitToPage="1">
      <selection activeCell="C14" sqref="C14"/>
      <pageMargins left="0.7" right="0.7" top="0.75" bottom="0.75" header="0.3" footer="0.3"/>
      <printOptions horizontalCentered="1"/>
      <pageSetup paperSize="9" scale="84" fitToHeight="0" orientation="landscape" r:id="rId4"/>
    </customSheetView>
  </customSheetViews>
  <conditionalFormatting sqref="K7:K16">
    <cfRule type="containsText" dxfId="8" priority="1" operator="containsText" text="No Post">
      <formula>NOT(ISERROR(SEARCH("No Post",K7)))</formula>
    </cfRule>
  </conditionalFormatting>
  <printOptions horizontalCentered="1"/>
  <pageMargins left="0.7" right="0.7" top="0.75" bottom="0.75" header="0.3" footer="0.3"/>
  <pageSetup paperSize="9" scale="84" fitToHeight="0" orientation="landscape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6/04/2026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IF(OR(NOT(ISERROR(MATCH(RIGHT(B7,3)+0,#REF!,0))),NOT(ISERROR(MATCH(LEFT(B7,3)+0,#REF!,0)))),"No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IF(OR(NOT(ISERROR(MATCH(RIGHT(B8,3)+0,#REF!,0))),NOT(ISERROR(MATCH(LEFT(B8,3)+0,#REF!,0)))),"No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IF(OR(NOT(ISERROR(MATCH(RIGHT(B9,3)+0,#REF!,0))),NOT(ISERROR(MATCH(LEFT(B9,3)+0,#REF!,0)))),"No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IF(OR(NOT(ISERROR(MATCH(RIGHT(B10,3)+0,#REF!,0))),NOT(ISERROR(MATCH(LEFT(B10,3)+0,#REF!,0)))),"No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IF(OR(NOT(ISERROR(MATCH(RIGHT(B11,3)+0,#REF!,0))),NOT(ISERROR(MATCH(LEFT(B11,3)+0,#REF!,0)))),"No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IF(OR(NOT(ISERROR(MATCH(RIGHT(B12,3)+0,#REF!,0))),NOT(ISERROR(MATCH(LEFT(B12,3)+0,#REF!,0)))),"No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B8EA161F-7E60-4D3B-827A-A298931FF3D5}">
      <selection activeCell="C14" sqref="C14"/>
      <pageMargins left="0.7" right="0.7" top="0.75" bottom="0.75" header="0.3" footer="0.3"/>
    </customSheetView>
    <customSheetView guid="{EB671E99-C5BE-4B03-864B-AB6F22D6AC5B}">
      <selection activeCell="C14" sqref="C14"/>
      <pageMargins left="0.7" right="0.7" top="0.75" bottom="0.75" header="0.3" footer="0.3"/>
    </customSheetView>
    <customSheetView guid="{B6C88C95-1BEF-4090-A8A9-7ABB415D0D96}">
      <selection activeCell="C14" sqref="C14"/>
      <pageMargins left="0.7" right="0.7" top="0.75" bottom="0.75" header="0.3" footer="0.3"/>
    </customSheetView>
    <customSheetView guid="{1DF7E7CF-1466-457D-8611-9CCA69D96ADA}">
      <selection activeCell="C14" sqref="C14"/>
      <pageMargins left="0.7" right="0.7" top="0.75" bottom="0.75" header="0.3" footer="0.3"/>
    </customSheetView>
  </customSheetViews>
  <conditionalFormatting sqref="K7:K16">
    <cfRule type="containsText" dxfId="7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3"/>
  <sheetViews>
    <sheetView workbookViewId="0">
      <selection activeCell="C13" sqref="C13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1" spans="1:11" x14ac:dyDescent="0.35">
      <c r="A1" s="1">
        <v>9</v>
      </c>
    </row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9/04/2026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/>
      <c r="C7" s="36"/>
      <c r="D7" s="43"/>
      <c r="E7" s="25"/>
      <c r="F7" s="25"/>
      <c r="G7" s="25"/>
      <c r="H7" s="25"/>
      <c r="I7" s="25"/>
      <c r="J7" s="25"/>
      <c r="K7" s="51" t="str">
        <f>IF(OR(NOT(ISERROR(MATCH(RIGHT(B7,3)+0,#REF!,0))),NOT(ISERROR(MATCH(LEFT(B7,3)+0,#REF!,0)))),"No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IF(OR(NOT(ISERROR(MATCH(RIGHT(B8,3)+0,#REF!,0))),NOT(ISERROR(MATCH(LEFT(B8,3)+0,#REF!,0)))),"No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IF(OR(NOT(ISERROR(MATCH(RIGHT(B9,3)+0,#REF!,0))),NOT(ISERROR(MATCH(LEFT(B9,3)+0,#REF!,0)))),"No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IF(OR(NOT(ISERROR(MATCH(RIGHT(B10,3)+0,#REF!,0))),NOT(ISERROR(MATCH(LEFT(B10,3)+0,#REF!,0)))),"No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IF(OR(NOT(ISERROR(MATCH(RIGHT(B11,3)+0,#REF!,0))),NOT(ISERROR(MATCH(LEFT(B11,3)+0,#REF!,0)))),"No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IF(OR(NOT(ISERROR(MATCH(RIGHT(B12,3)+0,#REF!,0))),NOT(ISERROR(MATCH(LEFT(B12,3)+0,#REF!,0)))),"No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0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B8EA161F-7E60-4D3B-827A-A298931FF3D5}">
      <selection activeCell="C13" sqref="C13"/>
      <pageMargins left="0.7" right="0.7" top="0.75" bottom="0.75" header="0.3" footer="0.3"/>
    </customSheetView>
    <customSheetView guid="{EB671E99-C5BE-4B03-864B-AB6F22D6AC5B}">
      <selection activeCell="C13" sqref="C13"/>
      <pageMargins left="0.7" right="0.7" top="0.75" bottom="0.75" header="0.3" footer="0.3"/>
    </customSheetView>
    <customSheetView guid="{B6C88C95-1BEF-4090-A8A9-7ABB415D0D96}">
      <selection activeCell="C13" sqref="C13"/>
      <pageMargins left="0.7" right="0.7" top="0.75" bottom="0.75" header="0.3" footer="0.3"/>
    </customSheetView>
    <customSheetView guid="{1DF7E7CF-1466-457D-8611-9CCA69D96ADA}">
      <selection activeCell="C13" sqref="C13"/>
      <pageMargins left="0.7" right="0.7" top="0.75" bottom="0.75" header="0.3" footer="0.3"/>
    </customSheetView>
  </customSheetViews>
  <conditionalFormatting sqref="K7:K16">
    <cfRule type="containsText" dxfId="6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53"/>
  <sheetViews>
    <sheetView topLeftCell="A4" workbookViewId="0">
      <selection activeCell="C7" sqref="C7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39" customWidth="1"/>
    <col min="6" max="7" width="10.6640625" style="1" customWidth="1"/>
    <col min="8" max="8" width="8.6640625" style="1" bestFit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D2" s="2" t="s">
        <v>0</v>
      </c>
      <c r="E2" s="38"/>
      <c r="F2" s="3"/>
      <c r="G2" s="3"/>
      <c r="H2" s="3"/>
    </row>
    <row r="3" spans="1:11" x14ac:dyDescent="0.35">
      <c r="H3" s="4"/>
    </row>
    <row r="4" spans="1:11" s="5" customFormat="1" thickBot="1" x14ac:dyDescent="0.4">
      <c r="D4" s="6"/>
      <c r="E4" s="40"/>
    </row>
    <row r="5" spans="1:11" s="7" customFormat="1" ht="23.4" x14ac:dyDescent="0.45">
      <c r="A5" s="26" t="s">
        <v>22</v>
      </c>
      <c r="B5" s="54"/>
      <c r="C5" s="27"/>
      <c r="D5" s="27"/>
      <c r="E5" s="41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13/04/2026</v>
      </c>
    </row>
    <row r="6" spans="1:11" ht="18.600000000000001" thickBot="1" x14ac:dyDescent="0.4">
      <c r="A6" s="29"/>
      <c r="B6" s="55"/>
      <c r="C6" s="30" t="s">
        <v>2</v>
      </c>
      <c r="D6" s="30" t="s">
        <v>3</v>
      </c>
      <c r="E6" s="42" t="s">
        <v>21</v>
      </c>
      <c r="F6" s="30" t="s">
        <v>19</v>
      </c>
      <c r="G6" s="30" t="s">
        <v>17</v>
      </c>
      <c r="H6" s="30" t="s">
        <v>4</v>
      </c>
      <c r="I6" s="31" t="s">
        <v>20</v>
      </c>
      <c r="J6" s="32" t="s">
        <v>6</v>
      </c>
    </row>
    <row r="7" spans="1:11" x14ac:dyDescent="0.35">
      <c r="A7" s="33">
        <v>1</v>
      </c>
      <c r="B7" s="33"/>
      <c r="C7" s="21">
        <v>653</v>
      </c>
      <c r="D7" s="21" t="s">
        <v>37</v>
      </c>
      <c r="E7" s="20">
        <v>46132</v>
      </c>
      <c r="F7" s="21">
        <v>2</v>
      </c>
      <c r="G7" s="21">
        <v>2</v>
      </c>
      <c r="H7" s="53"/>
      <c r="I7" s="21">
        <v>2927678</v>
      </c>
      <c r="J7" s="21" t="s">
        <v>36</v>
      </c>
      <c r="K7" s="51" t="str">
        <f>IF(OR(NOT(ISERROR(MATCH(RIGHT(C7,3)+0,#REF!,0))),NOT(ISERROR(MATCH(LEFT(C7,3)+0,#REF!,0)))),"No Post","")</f>
        <v/>
      </c>
    </row>
    <row r="8" spans="1:11" x14ac:dyDescent="0.35">
      <c r="A8" s="24">
        <v>2</v>
      </c>
      <c r="B8" s="56"/>
      <c r="C8" s="21">
        <v>322</v>
      </c>
      <c r="D8" s="21" t="s">
        <v>39</v>
      </c>
      <c r="E8" s="20">
        <v>46128</v>
      </c>
      <c r="F8" s="21">
        <v>2</v>
      </c>
      <c r="G8" s="21"/>
      <c r="H8" s="21"/>
      <c r="I8" s="21"/>
      <c r="J8" s="21" t="s">
        <v>38</v>
      </c>
      <c r="K8" s="51" t="s">
        <v>40</v>
      </c>
    </row>
    <row r="9" spans="1:11" x14ac:dyDescent="0.35">
      <c r="A9" s="24">
        <v>3</v>
      </c>
      <c r="B9" s="24"/>
      <c r="C9" s="18"/>
      <c r="D9" s="37"/>
      <c r="E9" s="44"/>
      <c r="F9" s="18"/>
      <c r="G9" s="18"/>
      <c r="H9" s="18"/>
      <c r="I9" s="18"/>
      <c r="J9" s="18"/>
      <c r="K9" s="51" t="str">
        <f>IF(OR(NOT(ISERROR(MATCH(RIGHT(C9,3)+0,#REF!,0))),NOT(ISERROR(MATCH(LEFT(C9,3)+0,#REF!,0)))),"No Post","")</f>
        <v/>
      </c>
    </row>
    <row r="10" spans="1:11" x14ac:dyDescent="0.35">
      <c r="A10" s="24">
        <v>4</v>
      </c>
      <c r="B10" s="24"/>
      <c r="C10" s="18"/>
      <c r="D10" s="37"/>
      <c r="E10" s="44"/>
      <c r="F10" s="18"/>
      <c r="G10" s="18"/>
      <c r="H10" s="18"/>
      <c r="I10" s="18"/>
      <c r="J10" s="18"/>
      <c r="K10" s="51" t="str">
        <f>IF(OR(NOT(ISERROR(MATCH(RIGHT(C10,3)+0,#REF!,0))),NOT(ISERROR(MATCH(LEFT(C10,3)+0,#REF!,0)))),"No Post","")</f>
        <v/>
      </c>
    </row>
    <row r="11" spans="1:11" x14ac:dyDescent="0.35">
      <c r="A11" s="24">
        <v>5</v>
      </c>
      <c r="B11" s="24"/>
      <c r="C11" s="18"/>
      <c r="D11" s="37"/>
      <c r="E11" s="44"/>
      <c r="F11" s="18"/>
      <c r="G11" s="18"/>
      <c r="H11" s="18"/>
      <c r="I11" s="18"/>
      <c r="J11" s="18"/>
      <c r="K11" s="51" t="str">
        <f>IF(OR(NOT(ISERROR(MATCH(RIGHT(C11,3)+0,#REF!,0))),NOT(ISERROR(MATCH(LEFT(C11,3)+0,#REF!,0)))),"No Post","")</f>
        <v/>
      </c>
    </row>
    <row r="12" spans="1:11" x14ac:dyDescent="0.35">
      <c r="A12" s="24">
        <v>6</v>
      </c>
      <c r="B12" s="24"/>
      <c r="C12" s="21"/>
      <c r="D12" s="22"/>
      <c r="E12" s="20"/>
      <c r="F12" s="21"/>
      <c r="G12" s="34"/>
      <c r="H12" s="19"/>
      <c r="I12" s="22"/>
      <c r="J12" s="22"/>
      <c r="K12" s="51" t="str">
        <f>IF(OR(NOT(ISERROR(MATCH(RIGHT(C12,3)+0,#REF!,0))),NOT(ISERROR(MATCH(LEFT(C12,3)+0,#REF!,0)))),"No Post","")</f>
        <v/>
      </c>
    </row>
    <row r="13" spans="1:11" x14ac:dyDescent="0.35">
      <c r="A13" s="24">
        <v>7</v>
      </c>
      <c r="B13" s="24"/>
      <c r="C13" s="21"/>
      <c r="D13" s="22"/>
      <c r="E13" s="20"/>
      <c r="F13" s="21"/>
      <c r="G13" s="23"/>
      <c r="H13" s="19"/>
      <c r="I13" s="22"/>
      <c r="J13" s="22"/>
      <c r="K13" s="51" t="str">
        <f>IF(OR(NOT(ISERROR(MATCH(RIGHT(C13,3)+0,#REF!,0))),NOT(ISERROR(MATCH(LEFT(C13,3)+0,#REF!,0)))),"No Post","")</f>
        <v/>
      </c>
    </row>
    <row r="14" spans="1:11" s="8" customFormat="1" ht="19.8" x14ac:dyDescent="0.4">
      <c r="A14" s="24">
        <v>8</v>
      </c>
      <c r="B14" s="24"/>
      <c r="C14" s="21"/>
      <c r="D14" s="22"/>
      <c r="E14" s="20"/>
      <c r="F14" s="19"/>
      <c r="G14" s="19"/>
      <c r="H14" s="19"/>
      <c r="I14" s="35"/>
      <c r="J14" s="35"/>
      <c r="K14" s="51" t="str">
        <f>IF(OR(NOT(ISERROR(MATCH(RIGHT(C14,3)+0,#REF!,0))),NOT(ISERROR(MATCH(LEFT(C14,3)+0,#REF!,0)))),"No Post","")</f>
        <v/>
      </c>
    </row>
    <row r="15" spans="1:11" x14ac:dyDescent="0.35">
      <c r="A15" s="24">
        <v>9</v>
      </c>
      <c r="B15" s="24"/>
      <c r="C15" s="21"/>
      <c r="D15" s="22"/>
      <c r="E15" s="20"/>
      <c r="F15" s="19"/>
      <c r="G15" s="19"/>
      <c r="H15" s="19"/>
      <c r="I15" s="22"/>
      <c r="J15" s="22"/>
      <c r="K15" s="51" t="str">
        <f>IF(OR(NOT(ISERROR(MATCH(RIGHT(C15,3)+0,#REF!,0))),NOT(ISERROR(MATCH(LEFT(C15,3)+0,#REF!,0)))),"No Post","")</f>
        <v/>
      </c>
    </row>
    <row r="16" spans="1:11" s="9" customFormat="1" x14ac:dyDescent="0.35">
      <c r="A16" s="24">
        <v>10</v>
      </c>
      <c r="B16" s="24"/>
      <c r="C16" s="21"/>
      <c r="D16" s="22"/>
      <c r="E16" s="20"/>
      <c r="F16" s="19"/>
      <c r="G16" s="19"/>
      <c r="H16" s="19"/>
      <c r="I16" s="22"/>
      <c r="J16" s="22"/>
      <c r="K16" s="51" t="str">
        <f>IF(OR(NOT(ISERROR(MATCH(RIGHT(C16,3)+0,#REF!,0))),NOT(ISERROR(MATCH(LEFT(C16,3)+0,#REF!,0)))),"No Post","")</f>
        <v/>
      </c>
    </row>
    <row r="17" spans="1:8" s="9" customFormat="1" ht="23.25" customHeight="1" x14ac:dyDescent="0.35">
      <c r="A17" s="1"/>
      <c r="B17" s="1"/>
      <c r="C17" s="1"/>
      <c r="D17" s="1"/>
      <c r="E17" s="45" t="s">
        <v>18</v>
      </c>
      <c r="F17" s="16">
        <f>SUM(F7:F16)</f>
        <v>4</v>
      </c>
      <c r="G17" s="16">
        <f>SUM(G7:G16)</f>
        <v>2</v>
      </c>
      <c r="H17" s="1"/>
    </row>
    <row r="18" spans="1:8" s="9" customFormat="1" ht="23.25" customHeight="1" x14ac:dyDescent="0.35">
      <c r="A18" s="1"/>
      <c r="B18" s="1"/>
      <c r="C18" s="1"/>
      <c r="D18" s="1"/>
      <c r="E18" s="39"/>
      <c r="F18" s="1"/>
      <c r="G18" s="1"/>
      <c r="H18" s="1"/>
    </row>
    <row r="19" spans="1:8" ht="20.25" customHeight="1" x14ac:dyDescent="0.35">
      <c r="C19" t="s">
        <v>7</v>
      </c>
      <c r="D19"/>
      <c r="E19" s="46"/>
      <c r="F19"/>
      <c r="G19"/>
      <c r="H19"/>
    </row>
    <row r="20" spans="1:8" ht="20.25" customHeight="1" x14ac:dyDescent="0.35">
      <c r="C20" s="10" t="s">
        <v>8</v>
      </c>
      <c r="D20" s="10"/>
      <c r="E20" s="47"/>
      <c r="F20" s="10"/>
      <c r="G20" s="10"/>
      <c r="H20" s="10"/>
    </row>
    <row r="21" spans="1:8" ht="20.25" customHeight="1" x14ac:dyDescent="0.35">
      <c r="C21" s="10" t="s">
        <v>9</v>
      </c>
      <c r="D21" s="10"/>
      <c r="E21" s="47"/>
      <c r="F21" s="10"/>
      <c r="G21" s="10"/>
      <c r="H21" s="10"/>
    </row>
    <row r="22" spans="1:8" ht="20.25" customHeight="1" x14ac:dyDescent="0.35">
      <c r="C22" s="10" t="s">
        <v>10</v>
      </c>
      <c r="D22" s="10"/>
      <c r="E22" s="47"/>
      <c r="F22" s="10"/>
      <c r="G22" s="10"/>
      <c r="H22" s="10"/>
    </row>
    <row r="23" spans="1:8" x14ac:dyDescent="0.35">
      <c r="C23" s="10" t="s">
        <v>11</v>
      </c>
      <c r="D23" s="10"/>
      <c r="E23" s="47"/>
      <c r="F23" s="10"/>
      <c r="G23" s="10"/>
      <c r="H23" s="10"/>
    </row>
    <row r="24" spans="1:8" x14ac:dyDescent="0.35">
      <c r="C24" s="10" t="s">
        <v>12</v>
      </c>
      <c r="D24" s="10"/>
      <c r="E24" s="47"/>
      <c r="F24" s="10"/>
      <c r="G24" s="10"/>
      <c r="H24" s="10"/>
    </row>
    <row r="25" spans="1:8" x14ac:dyDescent="0.35">
      <c r="C25" s="10" t="s">
        <v>13</v>
      </c>
      <c r="D25" s="10"/>
      <c r="E25" s="47"/>
      <c r="F25" s="10"/>
      <c r="G25" s="10"/>
      <c r="H25" s="10"/>
    </row>
    <row r="26" spans="1:8" s="12" customFormat="1" ht="15.6" x14ac:dyDescent="0.3">
      <c r="C26" s="11" t="s">
        <v>14</v>
      </c>
      <c r="D26" s="11"/>
      <c r="E26" s="48"/>
      <c r="F26" s="11"/>
      <c r="G26" s="11"/>
      <c r="H26" s="11"/>
    </row>
    <row r="27" spans="1:8" s="12" customFormat="1" ht="15.6" x14ac:dyDescent="0.3">
      <c r="C27" s="11" t="s">
        <v>15</v>
      </c>
      <c r="D27" s="11"/>
      <c r="E27" s="48"/>
      <c r="F27" s="11"/>
      <c r="G27" s="11"/>
      <c r="H27" s="11"/>
    </row>
    <row r="28" spans="1:8" s="14" customFormat="1" ht="20.25" customHeight="1" x14ac:dyDescent="0.35">
      <c r="C28" s="13" t="s">
        <v>16</v>
      </c>
      <c r="D28" s="13"/>
      <c r="E28" s="49"/>
    </row>
    <row r="29" spans="1:8" customFormat="1" ht="14.4" x14ac:dyDescent="0.3">
      <c r="C29" s="15"/>
      <c r="D29" s="10"/>
      <c r="E29" s="47"/>
      <c r="F29" s="10"/>
      <c r="G29" s="10"/>
      <c r="H29" s="10"/>
    </row>
    <row r="30" spans="1:8" x14ac:dyDescent="0.35">
      <c r="C30" s="10"/>
      <c r="D30" s="10"/>
      <c r="E30" s="47"/>
      <c r="F30" s="10"/>
      <c r="G30" s="10"/>
      <c r="H30" s="10"/>
    </row>
    <row r="31" spans="1:8" x14ac:dyDescent="0.35">
      <c r="C31" s="15"/>
      <c r="D31" s="10"/>
      <c r="E31" s="47"/>
      <c r="F31" s="10"/>
      <c r="G31" s="10"/>
      <c r="H31" s="10"/>
    </row>
    <row r="32" spans="1:8" x14ac:dyDescent="0.35">
      <c r="C32" s="10"/>
      <c r="D32" s="10"/>
      <c r="E32" s="47"/>
      <c r="F32" s="10"/>
      <c r="G32" s="10"/>
      <c r="H32" s="10"/>
    </row>
    <row r="34" spans="3:8" x14ac:dyDescent="0.35">
      <c r="C34" s="9"/>
      <c r="D34" s="9"/>
      <c r="E34" s="50"/>
      <c r="F34" s="9"/>
      <c r="G34" s="9"/>
      <c r="H34" s="9"/>
    </row>
    <row r="49" spans="3:8" x14ac:dyDescent="0.35">
      <c r="C49" s="10"/>
      <c r="D49" s="10"/>
      <c r="E49" s="47"/>
      <c r="F49" s="10"/>
      <c r="G49" s="10"/>
      <c r="H49" s="10"/>
    </row>
    <row r="50" spans="3:8" x14ac:dyDescent="0.35">
      <c r="C50" s="10"/>
      <c r="D50" s="10"/>
      <c r="E50" s="47"/>
      <c r="F50" s="10"/>
      <c r="G50" s="10"/>
      <c r="H50" s="10"/>
    </row>
    <row r="51" spans="3:8" x14ac:dyDescent="0.35">
      <c r="C51" s="10"/>
      <c r="D51" s="10"/>
      <c r="E51" s="47"/>
      <c r="F51" s="10"/>
      <c r="G51" s="10"/>
      <c r="H51" s="10"/>
    </row>
    <row r="52" spans="3:8" x14ac:dyDescent="0.35">
      <c r="C52" s="15"/>
      <c r="D52" s="10"/>
      <c r="E52" s="47"/>
      <c r="F52" s="10"/>
      <c r="G52" s="10"/>
      <c r="H52" s="10"/>
    </row>
    <row r="53" spans="3:8" x14ac:dyDescent="0.35">
      <c r="C53" s="10"/>
      <c r="D53" s="10"/>
      <c r="E53" s="47"/>
      <c r="F53" s="10"/>
      <c r="G53" s="10"/>
      <c r="H53" s="10"/>
    </row>
  </sheetData>
  <customSheetViews>
    <customSheetView guid="{B8EA161F-7E60-4D3B-827A-A298931FF3D5}">
      <selection activeCell="B7" sqref="B7:J7"/>
      <pageMargins left="0.7" right="0.7" top="0.75" bottom="0.75" header="0.3" footer="0.3"/>
    </customSheetView>
    <customSheetView guid="{EB671E99-C5BE-4B03-864B-AB6F22D6AC5B}" topLeftCell="A4">
      <selection activeCell="C7" sqref="C7"/>
      <pageMargins left="0.7" right="0.7" top="0.75" bottom="0.75" header="0.3" footer="0.3"/>
    </customSheetView>
    <customSheetView guid="{B6C88C95-1BEF-4090-A8A9-7ABB415D0D96}">
      <selection activeCell="B7" sqref="B7:J7"/>
      <pageMargins left="0.7" right="0.7" top="0.75" bottom="0.75" header="0.3" footer="0.3"/>
    </customSheetView>
    <customSheetView guid="{1DF7E7CF-1466-457D-8611-9CCA69D96ADA}">
      <selection activeCell="B7" sqref="B7:J7"/>
      <pageMargins left="0.7" right="0.7" top="0.75" bottom="0.75" header="0.3" footer="0.3"/>
    </customSheetView>
  </customSheetViews>
  <conditionalFormatting sqref="K7:K16">
    <cfRule type="containsText" dxfId="5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K53"/>
  <sheetViews>
    <sheetView workbookViewId="0">
      <selection activeCell="C12" sqref="C12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39" customWidth="1"/>
    <col min="6" max="7" width="10.6640625" style="1" customWidth="1"/>
    <col min="8" max="8" width="8.6640625" style="1" bestFit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D2" s="2" t="s">
        <v>0</v>
      </c>
      <c r="E2" s="38"/>
      <c r="F2" s="3"/>
      <c r="G2" s="3"/>
      <c r="H2" s="3"/>
    </row>
    <row r="3" spans="1:11" x14ac:dyDescent="0.35">
      <c r="H3" s="4"/>
    </row>
    <row r="4" spans="1:11" s="5" customFormat="1" thickBot="1" x14ac:dyDescent="0.4">
      <c r="D4" s="6"/>
      <c r="E4" s="40"/>
    </row>
    <row r="5" spans="1:11" s="7" customFormat="1" ht="23.4" x14ac:dyDescent="0.45">
      <c r="A5" s="26" t="s">
        <v>22</v>
      </c>
      <c r="B5" s="54"/>
      <c r="C5" s="27"/>
      <c r="D5" s="27"/>
      <c r="E5" s="41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16/04/2026</v>
      </c>
    </row>
    <row r="6" spans="1:11" ht="18.600000000000001" thickBot="1" x14ac:dyDescent="0.4">
      <c r="A6" s="29"/>
      <c r="B6" s="55"/>
      <c r="C6" s="30" t="s">
        <v>2</v>
      </c>
      <c r="D6" s="30" t="s">
        <v>3</v>
      </c>
      <c r="E6" s="42" t="s">
        <v>21</v>
      </c>
      <c r="F6" s="30" t="s">
        <v>19</v>
      </c>
      <c r="G6" s="30" t="s">
        <v>17</v>
      </c>
      <c r="H6" s="30" t="s">
        <v>4</v>
      </c>
      <c r="I6" s="31" t="s">
        <v>20</v>
      </c>
      <c r="J6" s="32" t="s">
        <v>6</v>
      </c>
    </row>
    <row r="7" spans="1:11" x14ac:dyDescent="0.35">
      <c r="A7" s="33">
        <v>1</v>
      </c>
      <c r="B7" s="60"/>
      <c r="C7" s="53">
        <v>603</v>
      </c>
      <c r="D7" s="53" t="s">
        <v>42</v>
      </c>
      <c r="E7" s="59">
        <v>46132</v>
      </c>
      <c r="F7" s="53">
        <v>2</v>
      </c>
      <c r="G7" s="53"/>
      <c r="H7" s="53"/>
      <c r="I7" s="53"/>
      <c r="J7" s="53" t="s">
        <v>41</v>
      </c>
      <c r="K7" s="51" t="str">
        <f>IF(OR(NOT(ISERROR(MATCH(RIGHT(C7,3)+0,#REF!,0))),NOT(ISERROR(MATCH(LEFT(C7,3)+0,#REF!,0)))),"No Post","")</f>
        <v/>
      </c>
    </row>
    <row r="8" spans="1:11" x14ac:dyDescent="0.35">
      <c r="A8" s="24">
        <v>2</v>
      </c>
      <c r="B8" s="60"/>
      <c r="C8" s="21">
        <v>865</v>
      </c>
      <c r="D8" s="21" t="s">
        <v>43</v>
      </c>
      <c r="E8" s="20">
        <v>46132</v>
      </c>
      <c r="F8" s="21">
        <v>2</v>
      </c>
      <c r="G8" s="21"/>
      <c r="H8" s="21"/>
      <c r="I8" s="21"/>
      <c r="J8" s="53" t="s">
        <v>41</v>
      </c>
      <c r="K8" s="51" t="s">
        <v>48</v>
      </c>
    </row>
    <row r="9" spans="1:11" x14ac:dyDescent="0.35">
      <c r="A9" s="24">
        <v>3</v>
      </c>
      <c r="B9" s="60"/>
      <c r="C9" s="21">
        <v>863</v>
      </c>
      <c r="D9" s="21" t="s">
        <v>44</v>
      </c>
      <c r="E9" s="20">
        <v>46132</v>
      </c>
      <c r="F9" s="21">
        <v>2</v>
      </c>
      <c r="G9" s="21"/>
      <c r="H9" s="21"/>
      <c r="I9" s="21"/>
      <c r="J9" s="53" t="s">
        <v>41</v>
      </c>
      <c r="K9" s="51" t="s">
        <v>48</v>
      </c>
    </row>
    <row r="10" spans="1:11" x14ac:dyDescent="0.35">
      <c r="A10" s="24">
        <v>4</v>
      </c>
      <c r="B10" s="24"/>
      <c r="C10" s="18"/>
      <c r="D10" s="37"/>
      <c r="E10" s="44"/>
      <c r="F10" s="18"/>
      <c r="G10" s="18"/>
      <c r="H10" s="18"/>
      <c r="I10" s="18"/>
      <c r="J10" s="25"/>
      <c r="K10" s="51" t="str">
        <f>IF(OR(NOT(ISERROR(MATCH(RIGHT(C10,3)+0,#REF!,0))),NOT(ISERROR(MATCH(LEFT(C10,3)+0,#REF!,0)))),"No Post","")</f>
        <v/>
      </c>
    </row>
    <row r="11" spans="1:11" x14ac:dyDescent="0.35">
      <c r="A11" s="24">
        <v>5</v>
      </c>
      <c r="B11" s="24"/>
      <c r="C11" s="18"/>
      <c r="D11" s="37"/>
      <c r="E11" s="44"/>
      <c r="F11" s="18"/>
      <c r="G11" s="18"/>
      <c r="H11" s="18"/>
      <c r="I11" s="18"/>
      <c r="J11" s="18"/>
      <c r="K11" s="51" t="str">
        <f>IF(OR(NOT(ISERROR(MATCH(RIGHT(C11,3)+0,#REF!,0))),NOT(ISERROR(MATCH(LEFT(C11,3)+0,#REF!,0)))),"No Post","")</f>
        <v/>
      </c>
    </row>
    <row r="12" spans="1:11" x14ac:dyDescent="0.35">
      <c r="A12" s="24">
        <v>6</v>
      </c>
      <c r="B12" s="24"/>
      <c r="C12" s="21"/>
      <c r="D12" s="22"/>
      <c r="E12" s="20"/>
      <c r="F12" s="21"/>
      <c r="G12" s="34"/>
      <c r="H12" s="19"/>
      <c r="I12" s="22"/>
      <c r="J12" s="22"/>
      <c r="K12" s="51" t="str">
        <f>IF(OR(NOT(ISERROR(MATCH(RIGHT(C12,3)+0,#REF!,0))),NOT(ISERROR(MATCH(LEFT(C12,3)+0,#REF!,0)))),"No Post","")</f>
        <v/>
      </c>
    </row>
    <row r="13" spans="1:11" x14ac:dyDescent="0.35">
      <c r="A13" s="24">
        <v>7</v>
      </c>
      <c r="B13" s="24"/>
      <c r="C13" s="21"/>
      <c r="D13" s="22"/>
      <c r="E13" s="20"/>
      <c r="F13" s="21"/>
      <c r="G13" s="23"/>
      <c r="H13" s="19"/>
      <c r="I13" s="22"/>
      <c r="J13" s="22"/>
      <c r="K13" s="51" t="str">
        <f>IF(OR(NOT(ISERROR(MATCH(RIGHT(C13,3)+0,#REF!,0))),NOT(ISERROR(MATCH(LEFT(C13,3)+0,#REF!,0)))),"No Post","")</f>
        <v/>
      </c>
    </row>
    <row r="14" spans="1:11" s="8" customFormat="1" ht="19.8" x14ac:dyDescent="0.4">
      <c r="A14" s="24">
        <v>8</v>
      </c>
      <c r="B14" s="24"/>
      <c r="C14" s="21"/>
      <c r="D14" s="22"/>
      <c r="E14" s="20"/>
      <c r="F14" s="19"/>
      <c r="G14" s="19"/>
      <c r="H14" s="19"/>
      <c r="I14" s="35"/>
      <c r="J14" s="35"/>
      <c r="K14" s="51" t="str">
        <f>IF(OR(NOT(ISERROR(MATCH(RIGHT(C14,3)+0,#REF!,0))),NOT(ISERROR(MATCH(LEFT(C14,3)+0,#REF!,0)))),"No Post","")</f>
        <v/>
      </c>
    </row>
    <row r="15" spans="1:11" x14ac:dyDescent="0.35">
      <c r="A15" s="24">
        <v>9</v>
      </c>
      <c r="B15" s="24"/>
      <c r="C15" s="21"/>
      <c r="D15" s="22"/>
      <c r="E15" s="20"/>
      <c r="F15" s="19"/>
      <c r="G15" s="19"/>
      <c r="H15" s="19"/>
      <c r="I15" s="22"/>
      <c r="J15" s="22"/>
      <c r="K15" s="51" t="str">
        <f>IF(OR(NOT(ISERROR(MATCH(RIGHT(C15,3)+0,#REF!,0))),NOT(ISERROR(MATCH(LEFT(C15,3)+0,#REF!,0)))),"No Post","")</f>
        <v/>
      </c>
    </row>
    <row r="16" spans="1:11" s="9" customFormat="1" x14ac:dyDescent="0.35">
      <c r="A16" s="24">
        <v>10</v>
      </c>
      <c r="B16" s="24"/>
      <c r="C16" s="21"/>
      <c r="D16" s="22"/>
      <c r="E16" s="20"/>
      <c r="F16" s="19"/>
      <c r="G16" s="19"/>
      <c r="H16" s="19"/>
      <c r="I16" s="22"/>
      <c r="J16" s="22"/>
      <c r="K16" s="51" t="str">
        <f>IF(OR(NOT(ISERROR(MATCH(RIGHT(C16,3)+0,#REF!,0))),NOT(ISERROR(MATCH(LEFT(C16,3)+0,#REF!,0)))),"No Post","")</f>
        <v/>
      </c>
    </row>
    <row r="17" spans="1:8" s="9" customFormat="1" ht="23.25" customHeight="1" x14ac:dyDescent="0.35">
      <c r="A17" s="1"/>
      <c r="B17" s="1"/>
      <c r="C17" s="1"/>
      <c r="D17" s="1"/>
      <c r="E17" s="45" t="s">
        <v>18</v>
      </c>
      <c r="F17" s="16">
        <f>SUM(F7:F16)</f>
        <v>6</v>
      </c>
      <c r="G17" s="16">
        <f>SUM(G7:G16)</f>
        <v>0</v>
      </c>
      <c r="H17" s="1"/>
    </row>
    <row r="18" spans="1:8" s="9" customFormat="1" ht="23.25" customHeight="1" x14ac:dyDescent="0.35">
      <c r="A18" s="1"/>
      <c r="B18" s="1"/>
      <c r="C18" s="1"/>
      <c r="D18" s="1"/>
      <c r="E18" s="39"/>
      <c r="F18" s="1"/>
      <c r="G18" s="1"/>
      <c r="H18" s="1"/>
    </row>
    <row r="19" spans="1:8" ht="20.25" customHeight="1" x14ac:dyDescent="0.35">
      <c r="C19" t="s">
        <v>7</v>
      </c>
      <c r="D19"/>
      <c r="E19" s="46"/>
      <c r="F19"/>
      <c r="G19"/>
      <c r="H19"/>
    </row>
    <row r="20" spans="1:8" ht="20.25" customHeight="1" x14ac:dyDescent="0.35">
      <c r="C20" s="10" t="s">
        <v>8</v>
      </c>
      <c r="D20" s="10"/>
      <c r="E20" s="47"/>
      <c r="F20" s="10"/>
      <c r="G20" s="10"/>
      <c r="H20" s="10"/>
    </row>
    <row r="21" spans="1:8" ht="20.25" customHeight="1" x14ac:dyDescent="0.35">
      <c r="C21" s="10" t="s">
        <v>9</v>
      </c>
      <c r="D21" s="10"/>
      <c r="E21" s="47"/>
      <c r="F21" s="10"/>
      <c r="G21" s="10"/>
      <c r="H21" s="10"/>
    </row>
    <row r="22" spans="1:8" ht="20.25" customHeight="1" x14ac:dyDescent="0.35">
      <c r="C22" s="10" t="s">
        <v>10</v>
      </c>
      <c r="D22" s="10"/>
      <c r="E22" s="47"/>
      <c r="F22" s="10"/>
      <c r="G22" s="10"/>
      <c r="H22" s="10"/>
    </row>
    <row r="23" spans="1:8" x14ac:dyDescent="0.35">
      <c r="C23" s="10" t="s">
        <v>11</v>
      </c>
      <c r="D23" s="10"/>
      <c r="E23" s="47"/>
      <c r="F23" s="10"/>
      <c r="G23" s="10"/>
      <c r="H23" s="10"/>
    </row>
    <row r="24" spans="1:8" x14ac:dyDescent="0.35">
      <c r="C24" s="10" t="s">
        <v>12</v>
      </c>
      <c r="D24" s="10"/>
      <c r="E24" s="47"/>
      <c r="F24" s="10"/>
      <c r="G24" s="10"/>
      <c r="H24" s="10"/>
    </row>
    <row r="25" spans="1:8" x14ac:dyDescent="0.35">
      <c r="C25" s="10" t="s">
        <v>13</v>
      </c>
      <c r="D25" s="10"/>
      <c r="E25" s="47"/>
      <c r="F25" s="10"/>
      <c r="G25" s="10"/>
      <c r="H25" s="10"/>
    </row>
    <row r="26" spans="1:8" s="12" customFormat="1" ht="15.6" x14ac:dyDescent="0.3">
      <c r="C26" s="11" t="s">
        <v>14</v>
      </c>
      <c r="D26" s="11"/>
      <c r="E26" s="48"/>
      <c r="F26" s="11"/>
      <c r="G26" s="11"/>
      <c r="H26" s="11"/>
    </row>
    <row r="27" spans="1:8" s="12" customFormat="1" ht="15.6" x14ac:dyDescent="0.3">
      <c r="C27" s="11" t="s">
        <v>15</v>
      </c>
      <c r="D27" s="11"/>
      <c r="E27" s="48"/>
      <c r="F27" s="11"/>
      <c r="G27" s="11"/>
      <c r="H27" s="11"/>
    </row>
    <row r="28" spans="1:8" s="14" customFormat="1" ht="20.25" customHeight="1" x14ac:dyDescent="0.35">
      <c r="C28" s="13" t="s">
        <v>16</v>
      </c>
      <c r="D28" s="13"/>
      <c r="E28" s="49"/>
    </row>
    <row r="29" spans="1:8" customFormat="1" ht="14.4" x14ac:dyDescent="0.3">
      <c r="C29" s="15"/>
      <c r="D29" s="10"/>
      <c r="E29" s="47"/>
      <c r="F29" s="10"/>
      <c r="G29" s="10"/>
      <c r="H29" s="10"/>
    </row>
    <row r="30" spans="1:8" x14ac:dyDescent="0.35">
      <c r="C30" s="10"/>
      <c r="D30" s="10"/>
      <c r="E30" s="47"/>
      <c r="F30" s="10"/>
      <c r="G30" s="10"/>
      <c r="H30" s="10"/>
    </row>
    <row r="31" spans="1:8" x14ac:dyDescent="0.35">
      <c r="C31" s="15"/>
      <c r="D31" s="10"/>
      <c r="E31" s="47"/>
      <c r="F31" s="10"/>
      <c r="G31" s="10"/>
      <c r="H31" s="10"/>
    </row>
    <row r="32" spans="1:8" x14ac:dyDescent="0.35">
      <c r="C32" s="10"/>
      <c r="D32" s="10"/>
      <c r="E32" s="47"/>
      <c r="F32" s="10"/>
      <c r="G32" s="10"/>
      <c r="H32" s="10"/>
    </row>
    <row r="34" spans="3:8" x14ac:dyDescent="0.35">
      <c r="C34" s="9"/>
      <c r="D34" s="9"/>
      <c r="E34" s="50"/>
      <c r="F34" s="9"/>
      <c r="G34" s="9"/>
      <c r="H34" s="9"/>
    </row>
    <row r="49" spans="3:8" x14ac:dyDescent="0.35">
      <c r="C49" s="10"/>
      <c r="D49" s="10"/>
      <c r="E49" s="47"/>
      <c r="F49" s="10"/>
      <c r="G49" s="10"/>
      <c r="H49" s="10"/>
    </row>
    <row r="50" spans="3:8" x14ac:dyDescent="0.35">
      <c r="C50" s="10"/>
      <c r="D50" s="10"/>
      <c r="E50" s="47"/>
      <c r="F50" s="10"/>
      <c r="G50" s="10"/>
      <c r="H50" s="10"/>
    </row>
    <row r="51" spans="3:8" x14ac:dyDescent="0.35">
      <c r="C51" s="10"/>
      <c r="D51" s="10"/>
      <c r="E51" s="47"/>
      <c r="F51" s="10"/>
      <c r="G51" s="10"/>
      <c r="H51" s="10"/>
    </row>
    <row r="52" spans="3:8" x14ac:dyDescent="0.35">
      <c r="C52" s="15"/>
      <c r="D52" s="10"/>
      <c r="E52" s="47"/>
      <c r="F52" s="10"/>
      <c r="G52" s="10"/>
      <c r="H52" s="10"/>
    </row>
    <row r="53" spans="3:8" x14ac:dyDescent="0.35">
      <c r="C53" s="10"/>
      <c r="D53" s="10"/>
      <c r="E53" s="47"/>
      <c r="F53" s="10"/>
      <c r="G53" s="10"/>
      <c r="H53" s="10"/>
    </row>
  </sheetData>
  <customSheetViews>
    <customSheetView guid="{B8EA161F-7E60-4D3B-827A-A298931FF3D5}">
      <selection activeCell="C8" sqref="C8:F9"/>
      <pageMargins left="0.7" right="0.7" top="0.75" bottom="0.75" header="0.3" footer="0.3"/>
    </customSheetView>
    <customSheetView guid="{EB671E99-C5BE-4B03-864B-AB6F22D6AC5B}">
      <selection activeCell="C12" sqref="C12"/>
      <pageMargins left="0.7" right="0.7" top="0.75" bottom="0.75" header="0.3" footer="0.3"/>
    </customSheetView>
    <customSheetView guid="{B6C88C95-1BEF-4090-A8A9-7ABB415D0D96}">
      <selection activeCell="C14" sqref="C14"/>
      <pageMargins left="0.7" right="0.7" top="0.75" bottom="0.75" header="0.3" footer="0.3"/>
    </customSheetView>
    <customSheetView guid="{1DF7E7CF-1466-457D-8611-9CCA69D96ADA}">
      <selection activeCell="C14" sqref="C14"/>
      <pageMargins left="0.7" right="0.7" top="0.75" bottom="0.75" header="0.3" footer="0.3"/>
    </customSheetView>
  </customSheetViews>
  <conditionalFormatting sqref="K7:K16">
    <cfRule type="containsText" dxfId="4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53"/>
  <sheetViews>
    <sheetView workbookViewId="0">
      <selection activeCell="C7" sqref="C7"/>
    </sheetView>
  </sheetViews>
  <sheetFormatPr defaultColWidth="9.109375" defaultRowHeight="18" x14ac:dyDescent="0.35"/>
  <cols>
    <col min="1" max="1" width="4.109375" style="1" bestFit="1" customWidth="1"/>
    <col min="2" max="2" width="4.109375" style="1" customWidth="1"/>
    <col min="3" max="3" width="13.44140625" style="1" customWidth="1"/>
    <col min="4" max="4" width="41.33203125" style="1" customWidth="1"/>
    <col min="5" max="5" width="14.88671875" style="39" customWidth="1"/>
    <col min="6" max="7" width="10.6640625" style="1" customWidth="1"/>
    <col min="8" max="8" width="8.6640625" style="1" bestFit="1" customWidth="1"/>
    <col min="9" max="9" width="10.33203125" style="1" customWidth="1"/>
    <col min="10" max="10" width="20.33203125" style="1" customWidth="1"/>
    <col min="11" max="11" width="20.6640625" style="1" customWidth="1"/>
    <col min="12" max="16384" width="9.109375" style="1"/>
  </cols>
  <sheetData>
    <row r="2" spans="1:12" x14ac:dyDescent="0.35">
      <c r="D2" s="2" t="s">
        <v>0</v>
      </c>
      <c r="E2" s="38"/>
      <c r="F2" s="3"/>
      <c r="G2" s="3"/>
      <c r="H2" s="3"/>
    </row>
    <row r="3" spans="1:12" x14ac:dyDescent="0.35">
      <c r="H3" s="4"/>
    </row>
    <row r="4" spans="1:12" s="5" customFormat="1" thickBot="1" x14ac:dyDescent="0.4">
      <c r="D4" s="6"/>
      <c r="E4" s="40"/>
    </row>
    <row r="5" spans="1:12" s="7" customFormat="1" ht="23.4" x14ac:dyDescent="0.45">
      <c r="A5" s="26" t="s">
        <v>22</v>
      </c>
      <c r="B5" s="54"/>
      <c r="C5" s="27"/>
      <c r="D5" s="27"/>
      <c r="E5" s="41"/>
      <c r="F5" s="27"/>
      <c r="G5" s="27"/>
      <c r="H5" s="27"/>
      <c r="I5" s="27"/>
      <c r="J5" s="28" t="s">
        <v>1</v>
      </c>
      <c r="K5" s="17" t="str">
        <f ca="1">CONCATENATE((MID(CELL("filename",K5),FIND("]",CELL("filename",K5))+1,255)),"/04/2026")</f>
        <v>20/04/2026</v>
      </c>
    </row>
    <row r="6" spans="1:12" ht="18.600000000000001" thickBot="1" x14ac:dyDescent="0.4">
      <c r="A6" s="29"/>
      <c r="B6" s="55"/>
      <c r="C6" s="30" t="s">
        <v>2</v>
      </c>
      <c r="D6" s="30" t="s">
        <v>3</v>
      </c>
      <c r="E6" s="42" t="s">
        <v>21</v>
      </c>
      <c r="F6" s="30" t="s">
        <v>19</v>
      </c>
      <c r="G6" s="30" t="s">
        <v>17</v>
      </c>
      <c r="H6" s="30" t="s">
        <v>4</v>
      </c>
      <c r="I6" s="31" t="s">
        <v>5</v>
      </c>
      <c r="J6" s="31" t="s">
        <v>20</v>
      </c>
      <c r="K6" s="32" t="s">
        <v>6</v>
      </c>
    </row>
    <row r="7" spans="1:12" x14ac:dyDescent="0.35">
      <c r="A7" s="33">
        <v>1</v>
      </c>
      <c r="B7" s="33"/>
      <c r="C7" s="52">
        <v>306</v>
      </c>
      <c r="D7" s="37" t="s">
        <v>35</v>
      </c>
      <c r="E7" s="44">
        <v>46135</v>
      </c>
      <c r="F7" s="18" t="s">
        <v>52</v>
      </c>
      <c r="G7" s="18"/>
      <c r="H7" s="18"/>
      <c r="I7" s="18"/>
      <c r="J7" s="18">
        <v>25925154</v>
      </c>
      <c r="K7" s="18" t="s">
        <v>36</v>
      </c>
      <c r="L7" s="51" t="str">
        <f>IF(OR(NOT(ISERROR(MATCH(RIGHT(C7,3)+0,#REF!,0))),NOT(ISERROR(MATCH(LEFT(C7,3)+0,#REF!,0)))),"No Post","")</f>
        <v/>
      </c>
    </row>
    <row r="8" spans="1:12" x14ac:dyDescent="0.35">
      <c r="A8" s="24">
        <v>2</v>
      </c>
      <c r="B8" s="24"/>
      <c r="C8" s="52">
        <v>650</v>
      </c>
      <c r="D8" s="57" t="s">
        <v>45</v>
      </c>
      <c r="E8" s="44">
        <v>46134</v>
      </c>
      <c r="F8" s="18">
        <v>2</v>
      </c>
      <c r="G8" s="18"/>
      <c r="H8" s="18"/>
      <c r="J8" s="58" t="s">
        <v>46</v>
      </c>
      <c r="K8" s="18" t="s">
        <v>47</v>
      </c>
      <c r="L8" s="51" t="str">
        <f>IF(OR(NOT(ISERROR(MATCH(RIGHT(C8,3)+0,#REF!,0))),NOT(ISERROR(MATCH(LEFT(C8,3)+0,#REF!,0)))),"No Post","")</f>
        <v/>
      </c>
    </row>
    <row r="9" spans="1:12" x14ac:dyDescent="0.35">
      <c r="A9" s="24">
        <v>3</v>
      </c>
      <c r="B9" s="24"/>
      <c r="C9" s="18"/>
      <c r="D9" s="37"/>
      <c r="E9" s="44"/>
      <c r="F9" s="18"/>
      <c r="G9" s="18"/>
      <c r="H9" s="18"/>
      <c r="I9" s="18"/>
      <c r="J9" s="18"/>
      <c r="K9" s="18"/>
      <c r="L9" s="51" t="str">
        <f>IF(OR(NOT(ISERROR(MATCH(RIGHT(C9,3)+0,#REF!,0))),NOT(ISERROR(MATCH(LEFT(C9,3)+0,#REF!,0)))),"No Post","")</f>
        <v/>
      </c>
    </row>
    <row r="10" spans="1:12" x14ac:dyDescent="0.35">
      <c r="A10" s="24">
        <v>4</v>
      </c>
      <c r="B10" s="24"/>
      <c r="C10" s="18"/>
      <c r="D10" s="37"/>
      <c r="E10" s="44"/>
      <c r="F10" s="18"/>
      <c r="G10" s="18"/>
      <c r="H10" s="18"/>
      <c r="I10" s="18"/>
      <c r="J10" s="18"/>
      <c r="K10" s="18"/>
      <c r="L10" s="51" t="str">
        <f>IF(OR(NOT(ISERROR(MATCH(RIGHT(C10,3)+0,#REF!,0))),NOT(ISERROR(MATCH(LEFT(C10,3)+0,#REF!,0)))),"No Post","")</f>
        <v/>
      </c>
    </row>
    <row r="11" spans="1:12" x14ac:dyDescent="0.35">
      <c r="A11" s="24">
        <v>5</v>
      </c>
      <c r="B11" s="24"/>
      <c r="C11" s="18"/>
      <c r="D11" s="37"/>
      <c r="E11" s="44"/>
      <c r="F11" s="18"/>
      <c r="G11" s="18"/>
      <c r="H11" s="18"/>
      <c r="I11" s="18"/>
      <c r="J11" s="18"/>
      <c r="K11" s="18"/>
      <c r="L11" s="51" t="str">
        <f>IF(OR(NOT(ISERROR(MATCH(RIGHT(C11,3)+0,#REF!,0))),NOT(ISERROR(MATCH(LEFT(C11,3)+0,#REF!,0)))),"No Post","")</f>
        <v/>
      </c>
    </row>
    <row r="12" spans="1:12" x14ac:dyDescent="0.35">
      <c r="A12" s="24">
        <v>6</v>
      </c>
      <c r="B12" s="24"/>
      <c r="C12" s="21"/>
      <c r="D12" s="22"/>
      <c r="E12" s="20"/>
      <c r="F12" s="21"/>
      <c r="G12" s="34"/>
      <c r="H12" s="19"/>
      <c r="I12" s="18"/>
      <c r="J12" s="22"/>
      <c r="K12" s="22"/>
      <c r="L12" s="51" t="str">
        <f>IF(OR(NOT(ISERROR(MATCH(RIGHT(C12,3)+0,#REF!,0))),NOT(ISERROR(MATCH(LEFT(C12,3)+0,#REF!,0)))),"No Post","")</f>
        <v/>
      </c>
    </row>
    <row r="13" spans="1:12" x14ac:dyDescent="0.35">
      <c r="A13" s="24">
        <v>7</v>
      </c>
      <c r="B13" s="24"/>
      <c r="C13" s="21"/>
      <c r="D13" s="22"/>
      <c r="E13" s="20"/>
      <c r="F13" s="21"/>
      <c r="G13" s="23"/>
      <c r="H13" s="19"/>
      <c r="I13" s="24"/>
      <c r="J13" s="22"/>
      <c r="K13" s="22"/>
      <c r="L13" s="51" t="str">
        <f>IF(OR(NOT(ISERROR(MATCH(RIGHT(C13,3)+0,#REF!,0))),NOT(ISERROR(MATCH(LEFT(C13,3)+0,#REF!,0)))),"No Post","")</f>
        <v/>
      </c>
    </row>
    <row r="14" spans="1:12" s="8" customFormat="1" ht="19.8" x14ac:dyDescent="0.4">
      <c r="A14" s="24">
        <v>8</v>
      </c>
      <c r="B14" s="24"/>
      <c r="C14" s="21"/>
      <c r="D14" s="22"/>
      <c r="E14" s="20"/>
      <c r="F14" s="19"/>
      <c r="G14" s="19"/>
      <c r="H14" s="19"/>
      <c r="I14" s="24"/>
      <c r="J14" s="35"/>
      <c r="K14" s="35"/>
      <c r="L14" s="51" t="str">
        <f>IF(OR(NOT(ISERROR(MATCH(RIGHT(C14,3)+0,#REF!,0))),NOT(ISERROR(MATCH(LEFT(C14,3)+0,#REF!,0)))),"No Post","")</f>
        <v/>
      </c>
    </row>
    <row r="15" spans="1:12" x14ac:dyDescent="0.35">
      <c r="A15" s="24">
        <v>9</v>
      </c>
      <c r="B15" s="24"/>
      <c r="C15" s="21"/>
      <c r="D15" s="22"/>
      <c r="E15" s="20"/>
      <c r="F15" s="19"/>
      <c r="G15" s="19"/>
      <c r="H15" s="19"/>
      <c r="I15" s="24"/>
      <c r="J15" s="22"/>
      <c r="K15" s="22"/>
      <c r="L15" s="51" t="str">
        <f>IF(OR(NOT(ISERROR(MATCH(RIGHT(C15,3)+0,#REF!,0))),NOT(ISERROR(MATCH(LEFT(C15,3)+0,#REF!,0)))),"No Post","")</f>
        <v/>
      </c>
    </row>
    <row r="16" spans="1:12" s="9" customFormat="1" x14ac:dyDescent="0.35">
      <c r="A16" s="24">
        <v>10</v>
      </c>
      <c r="B16" s="24"/>
      <c r="C16" s="21"/>
      <c r="D16" s="22"/>
      <c r="E16" s="20"/>
      <c r="F16" s="19"/>
      <c r="G16" s="19"/>
      <c r="H16" s="19"/>
      <c r="I16" s="24"/>
      <c r="J16" s="22"/>
      <c r="K16" s="22"/>
      <c r="L16" s="51" t="str">
        <f>IF(OR(NOT(ISERROR(MATCH(RIGHT(C16,3)+0,#REF!,0))),NOT(ISERROR(MATCH(LEFT(C16,3)+0,#REF!,0)))),"No Post","")</f>
        <v/>
      </c>
    </row>
    <row r="17" spans="1:9" s="9" customFormat="1" ht="23.25" customHeight="1" x14ac:dyDescent="0.35">
      <c r="A17" s="1"/>
      <c r="B17" s="1"/>
      <c r="C17" s="1"/>
      <c r="D17" s="1"/>
      <c r="E17" s="45" t="s">
        <v>18</v>
      </c>
      <c r="F17" s="16">
        <f>SUM(F7:F16)</f>
        <v>2</v>
      </c>
      <c r="G17" s="16">
        <f>SUM(G7:G16)</f>
        <v>0</v>
      </c>
      <c r="H17" s="1"/>
      <c r="I17" s="1"/>
    </row>
    <row r="18" spans="1:9" s="9" customFormat="1" ht="23.25" customHeight="1" x14ac:dyDescent="0.35">
      <c r="A18" s="1"/>
      <c r="B18" s="1"/>
      <c r="C18" s="1"/>
      <c r="D18" s="1"/>
      <c r="E18" s="39"/>
      <c r="F18" s="1"/>
      <c r="G18" s="1"/>
      <c r="H18" s="1"/>
      <c r="I18" s="1"/>
    </row>
    <row r="19" spans="1:9" ht="20.25" customHeight="1" x14ac:dyDescent="0.35">
      <c r="C19" t="s">
        <v>7</v>
      </c>
      <c r="D19"/>
      <c r="E19" s="46"/>
      <c r="F19"/>
      <c r="G19"/>
      <c r="H19"/>
      <c r="I19"/>
    </row>
    <row r="20" spans="1:9" ht="20.25" customHeight="1" x14ac:dyDescent="0.35">
      <c r="C20" s="10" t="s">
        <v>8</v>
      </c>
      <c r="D20" s="10"/>
      <c r="E20" s="47"/>
      <c r="F20" s="10"/>
      <c r="G20" s="10"/>
      <c r="H20" s="10"/>
      <c r="I20" s="10"/>
    </row>
    <row r="21" spans="1:9" ht="20.25" customHeight="1" x14ac:dyDescent="0.35">
      <c r="C21" s="10" t="s">
        <v>9</v>
      </c>
      <c r="D21" s="10"/>
      <c r="E21" s="47"/>
      <c r="F21" s="10"/>
      <c r="G21" s="10"/>
      <c r="H21" s="10"/>
      <c r="I21" s="10"/>
    </row>
    <row r="22" spans="1:9" ht="20.25" customHeight="1" x14ac:dyDescent="0.35">
      <c r="C22" s="10" t="s">
        <v>10</v>
      </c>
      <c r="D22" s="10"/>
      <c r="E22" s="47"/>
      <c r="F22" s="10"/>
      <c r="G22" s="10"/>
      <c r="H22" s="10"/>
      <c r="I22" s="10"/>
    </row>
    <row r="23" spans="1:9" x14ac:dyDescent="0.35">
      <c r="C23" s="10" t="s">
        <v>11</v>
      </c>
      <c r="D23" s="10"/>
      <c r="E23" s="47"/>
      <c r="F23" s="10"/>
      <c r="G23" s="10"/>
      <c r="H23" s="10"/>
      <c r="I23" s="10"/>
    </row>
    <row r="24" spans="1:9" x14ac:dyDescent="0.35">
      <c r="C24" s="10" t="s">
        <v>12</v>
      </c>
      <c r="D24" s="10"/>
      <c r="E24" s="47"/>
      <c r="F24" s="10"/>
      <c r="G24" s="10"/>
      <c r="H24" s="10"/>
      <c r="I24" s="10"/>
    </row>
    <row r="25" spans="1:9" x14ac:dyDescent="0.35">
      <c r="C25" s="10" t="s">
        <v>13</v>
      </c>
      <c r="D25" s="10"/>
      <c r="E25" s="47"/>
      <c r="F25" s="10"/>
      <c r="G25" s="10"/>
      <c r="H25" s="10"/>
      <c r="I25" s="10"/>
    </row>
    <row r="26" spans="1:9" s="12" customFormat="1" ht="15.6" x14ac:dyDescent="0.3">
      <c r="C26" s="11" t="s">
        <v>14</v>
      </c>
      <c r="D26" s="11"/>
      <c r="E26" s="48"/>
      <c r="F26" s="11"/>
      <c r="G26" s="11"/>
      <c r="H26" s="11"/>
    </row>
    <row r="27" spans="1:9" s="12" customFormat="1" ht="15.6" x14ac:dyDescent="0.3">
      <c r="C27" s="11" t="s">
        <v>15</v>
      </c>
      <c r="D27" s="11"/>
      <c r="E27" s="48"/>
      <c r="F27" s="11"/>
      <c r="G27" s="11"/>
      <c r="H27" s="11"/>
    </row>
    <row r="28" spans="1:9" s="14" customFormat="1" ht="20.25" customHeight="1" x14ac:dyDescent="0.35">
      <c r="C28" s="13" t="s">
        <v>16</v>
      </c>
      <c r="D28" s="13"/>
      <c r="E28" s="49"/>
    </row>
    <row r="29" spans="1:9" customFormat="1" ht="14.4" x14ac:dyDescent="0.3">
      <c r="C29" s="15"/>
      <c r="D29" s="10"/>
      <c r="E29" s="47"/>
      <c r="F29" s="10"/>
      <c r="G29" s="10"/>
      <c r="H29" s="10"/>
      <c r="I29" s="10"/>
    </row>
    <row r="30" spans="1:9" x14ac:dyDescent="0.35">
      <c r="C30" s="10"/>
      <c r="D30" s="10"/>
      <c r="E30" s="47"/>
      <c r="F30" s="10"/>
      <c r="G30" s="10"/>
      <c r="H30" s="10"/>
      <c r="I30" s="10"/>
    </row>
    <row r="31" spans="1:9" x14ac:dyDescent="0.35">
      <c r="C31" s="15"/>
      <c r="D31" s="10"/>
      <c r="E31" s="47"/>
      <c r="F31" s="10"/>
      <c r="G31" s="10"/>
      <c r="H31" s="10"/>
      <c r="I31" s="10"/>
    </row>
    <row r="32" spans="1:9" x14ac:dyDescent="0.35">
      <c r="C32" s="10"/>
      <c r="D32" s="10"/>
      <c r="E32" s="47"/>
      <c r="F32" s="10"/>
      <c r="G32" s="10"/>
      <c r="H32" s="10"/>
      <c r="I32" s="10"/>
    </row>
    <row r="34" spans="3:9" x14ac:dyDescent="0.35">
      <c r="C34" s="9"/>
      <c r="D34" s="9"/>
      <c r="E34" s="50"/>
      <c r="F34" s="9"/>
      <c r="G34" s="9"/>
      <c r="H34" s="9"/>
      <c r="I34" s="9"/>
    </row>
    <row r="49" spans="3:9" x14ac:dyDescent="0.35">
      <c r="C49" s="10"/>
      <c r="D49" s="10"/>
      <c r="E49" s="47"/>
      <c r="F49" s="10"/>
      <c r="G49" s="10"/>
      <c r="H49" s="10"/>
      <c r="I49" s="10"/>
    </row>
    <row r="50" spans="3:9" x14ac:dyDescent="0.35">
      <c r="C50" s="10"/>
      <c r="D50" s="10"/>
      <c r="E50" s="47"/>
      <c r="F50" s="10"/>
      <c r="G50" s="10"/>
      <c r="H50" s="10"/>
      <c r="I50" s="10"/>
    </row>
    <row r="51" spans="3:9" x14ac:dyDescent="0.35">
      <c r="C51" s="10"/>
      <c r="D51" s="10"/>
      <c r="E51" s="47"/>
      <c r="F51" s="10"/>
      <c r="G51" s="10"/>
      <c r="H51" s="10"/>
      <c r="I51" s="10"/>
    </row>
    <row r="52" spans="3:9" x14ac:dyDescent="0.35">
      <c r="C52" s="15"/>
      <c r="D52" s="10"/>
      <c r="E52" s="47"/>
      <c r="F52" s="10"/>
      <c r="G52" s="10"/>
      <c r="H52" s="10"/>
      <c r="I52" s="10"/>
    </row>
    <row r="53" spans="3:9" x14ac:dyDescent="0.35">
      <c r="C53" s="10"/>
      <c r="D53" s="10"/>
      <c r="E53" s="47"/>
      <c r="F53" s="10"/>
      <c r="G53" s="10"/>
      <c r="H53" s="10"/>
      <c r="I53" s="10"/>
    </row>
  </sheetData>
  <customSheetViews>
    <customSheetView guid="{B8EA161F-7E60-4D3B-827A-A298931FF3D5}">
      <selection activeCell="F12" sqref="F12"/>
      <pageMargins left="0.7" right="0.7" top="0.75" bottom="0.75" header="0.3" footer="0.3"/>
    </customSheetView>
    <customSheetView guid="{EB671E99-C5BE-4B03-864B-AB6F22D6AC5B}">
      <selection activeCell="I11" sqref="I11"/>
      <pageMargins left="0.7" right="0.7" top="0.75" bottom="0.75" header="0.3" footer="0.3"/>
    </customSheetView>
    <customSheetView guid="{B6C88C95-1BEF-4090-A8A9-7ABB415D0D96}">
      <selection activeCell="I12" sqref="I12"/>
      <pageMargins left="0.7" right="0.7" top="0.75" bottom="0.75" header="0.3" footer="0.3"/>
    </customSheetView>
    <customSheetView guid="{1DF7E7CF-1466-457D-8611-9CCA69D96ADA}">
      <selection activeCell="I12" sqref="I12"/>
      <pageMargins left="0.7" right="0.7" top="0.75" bottom="0.75" header="0.3" footer="0.3"/>
    </customSheetView>
  </customSheetViews>
  <conditionalFormatting sqref="L7:L16">
    <cfRule type="containsText" dxfId="3" priority="1" operator="containsText" text="No Post">
      <formula>NOT(ISERROR(SEARCH("No Post",L7)))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53"/>
  <sheetViews>
    <sheetView workbookViewId="0">
      <selection activeCell="C14" sqref="C14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23/04/2026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 t="s">
        <v>23</v>
      </c>
      <c r="C7" s="36" t="s">
        <v>49</v>
      </c>
      <c r="D7" s="43">
        <v>46145</v>
      </c>
      <c r="E7" s="25">
        <v>2</v>
      </c>
      <c r="F7" s="25"/>
      <c r="G7" s="25"/>
      <c r="H7" s="25"/>
      <c r="I7" s="25" t="s">
        <v>50</v>
      </c>
      <c r="J7" s="25" t="s">
        <v>51</v>
      </c>
      <c r="K7" s="51" t="str">
        <f>IF(OR(NOT(ISERROR(MATCH(RIGHT(B7,3)+0,#REF!,0))),NOT(ISERROR(MATCH(LEFT(B7,3)+0,#REF!,0)))),"No Post","")</f>
        <v/>
      </c>
    </row>
    <row r="8" spans="1:11" x14ac:dyDescent="0.35">
      <c r="A8" s="24">
        <v>2</v>
      </c>
      <c r="B8" s="18"/>
      <c r="C8" s="37"/>
      <c r="D8" s="44"/>
      <c r="E8" s="18"/>
      <c r="F8" s="18"/>
      <c r="G8" s="18"/>
      <c r="H8" s="18"/>
      <c r="I8" s="18"/>
      <c r="J8" s="18"/>
      <c r="K8" s="51" t="str">
        <f>IF(OR(NOT(ISERROR(MATCH(RIGHT(B8,3)+0,#REF!,0))),NOT(ISERROR(MATCH(LEFT(B8,3)+0,#REF!,0)))),"No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IF(OR(NOT(ISERROR(MATCH(RIGHT(B9,3)+0,#REF!,0))),NOT(ISERROR(MATCH(LEFT(B9,3)+0,#REF!,0)))),"No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IF(OR(NOT(ISERROR(MATCH(RIGHT(B10,3)+0,#REF!,0))),NOT(ISERROR(MATCH(LEFT(B10,3)+0,#REF!,0)))),"No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IF(OR(NOT(ISERROR(MATCH(RIGHT(B11,3)+0,#REF!,0))),NOT(ISERROR(MATCH(LEFT(B11,3)+0,#REF!,0)))),"No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IF(OR(NOT(ISERROR(MATCH(RIGHT(B12,3)+0,#REF!,0))),NOT(ISERROR(MATCH(LEFT(B12,3)+0,#REF!,0)))),"No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2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B8EA161F-7E60-4D3B-827A-A298931FF3D5}">
      <selection activeCell="I9" sqref="I9"/>
      <pageMargins left="0.7" right="0.7" top="0.75" bottom="0.75" header="0.3" footer="0.3"/>
    </customSheetView>
    <customSheetView guid="{EB671E99-C5BE-4B03-864B-AB6F22D6AC5B}">
      <selection activeCell="C14" sqref="C14"/>
      <pageMargins left="0.7" right="0.7" top="0.75" bottom="0.75" header="0.3" footer="0.3"/>
    </customSheetView>
    <customSheetView guid="{B6C88C95-1BEF-4090-A8A9-7ABB415D0D96}">
      <selection activeCell="C14" sqref="C14"/>
      <pageMargins left="0.7" right="0.7" top="0.75" bottom="0.75" header="0.3" footer="0.3"/>
    </customSheetView>
    <customSheetView guid="{1DF7E7CF-1466-457D-8611-9CCA69D96ADA}">
      <selection activeCell="C14" sqref="C14"/>
      <pageMargins left="0.7" right="0.7" top="0.75" bottom="0.75" header="0.3" footer="0.3"/>
    </customSheetView>
  </customSheetViews>
  <conditionalFormatting sqref="K7:K16">
    <cfRule type="containsText" dxfId="2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53"/>
  <sheetViews>
    <sheetView workbookViewId="0">
      <selection activeCell="C10" sqref="C10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27/04/2026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>
        <v>848</v>
      </c>
      <c r="C7" s="36" t="s">
        <v>53</v>
      </c>
      <c r="D7" s="43">
        <v>46136</v>
      </c>
      <c r="E7" s="25">
        <v>2</v>
      </c>
      <c r="F7" s="25"/>
      <c r="G7" s="25"/>
      <c r="H7" s="25"/>
      <c r="I7" s="25"/>
      <c r="J7" s="25" t="s">
        <v>41</v>
      </c>
      <c r="K7" s="51" t="str">
        <f>IF(OR(NOT(ISERROR(MATCH(RIGHT(B7,3)+0,#REF!,0))),NOT(ISERROR(MATCH(LEFT(B7,3)+0,#REF!,0)))),"No Post","")</f>
        <v/>
      </c>
    </row>
    <row r="8" spans="1:11" x14ac:dyDescent="0.35">
      <c r="A8" s="24">
        <v>2</v>
      </c>
      <c r="B8" s="18">
        <v>310</v>
      </c>
      <c r="C8" s="37" t="s">
        <v>54</v>
      </c>
      <c r="D8" s="44">
        <v>46140</v>
      </c>
      <c r="E8" s="18">
        <v>2</v>
      </c>
      <c r="F8" s="18"/>
      <c r="G8" s="18"/>
      <c r="H8" s="18"/>
      <c r="I8" s="18"/>
      <c r="J8" s="18" t="s">
        <v>41</v>
      </c>
      <c r="K8" s="51" t="str">
        <f>IF(OR(NOT(ISERROR(MATCH(RIGHT(B8,3)+0,#REF!,0))),NOT(ISERROR(MATCH(LEFT(B8,3)+0,#REF!,0)))),"No Post","")</f>
        <v/>
      </c>
    </row>
    <row r="9" spans="1:11" x14ac:dyDescent="0.35">
      <c r="A9" s="24">
        <v>3</v>
      </c>
      <c r="B9" s="18"/>
      <c r="C9" s="37"/>
      <c r="D9" s="44"/>
      <c r="E9" s="18"/>
      <c r="F9" s="18"/>
      <c r="G9" s="18"/>
      <c r="H9" s="18"/>
      <c r="I9" s="18"/>
      <c r="J9" s="18"/>
      <c r="K9" s="51" t="str">
        <f>IF(OR(NOT(ISERROR(MATCH(RIGHT(B9,3)+0,#REF!,0))),NOT(ISERROR(MATCH(LEFT(B9,3)+0,#REF!,0)))),"No Post","")</f>
        <v/>
      </c>
    </row>
    <row r="10" spans="1:11" x14ac:dyDescent="0.35">
      <c r="A10" s="24">
        <v>4</v>
      </c>
      <c r="B10" s="18"/>
      <c r="C10" s="37"/>
      <c r="D10" s="44"/>
      <c r="E10" s="18"/>
      <c r="F10" s="18"/>
      <c r="G10" s="18"/>
      <c r="H10" s="18"/>
      <c r="I10" s="18"/>
      <c r="J10" s="18"/>
      <c r="K10" s="51" t="str">
        <f>IF(OR(NOT(ISERROR(MATCH(RIGHT(B10,3)+0,#REF!,0))),NOT(ISERROR(MATCH(LEFT(B10,3)+0,#REF!,0)))),"No Post","")</f>
        <v/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IF(OR(NOT(ISERROR(MATCH(RIGHT(B11,3)+0,#REF!,0))),NOT(ISERROR(MATCH(LEFT(B11,3)+0,#REF!,0)))),"No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IF(OR(NOT(ISERROR(MATCH(RIGHT(B12,3)+0,#REF!,0))),NOT(ISERROR(MATCH(LEFT(B12,3)+0,#REF!,0)))),"No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4</v>
      </c>
      <c r="F17" s="16">
        <f>SUM(F7:F16)</f>
        <v>0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B8EA161F-7E60-4D3B-827A-A298931FF3D5}">
      <selection activeCell="C14" sqref="C14"/>
      <pageMargins left="0.7" right="0.7" top="0.75" bottom="0.75" header="0.3" footer="0.3"/>
    </customSheetView>
    <customSheetView guid="{EB671E99-C5BE-4B03-864B-AB6F22D6AC5B}">
      <selection activeCell="C14" sqref="C14"/>
      <pageMargins left="0.7" right="0.7" top="0.75" bottom="0.75" header="0.3" footer="0.3"/>
    </customSheetView>
    <customSheetView guid="{B6C88C95-1BEF-4090-A8A9-7ABB415D0D96}">
      <selection activeCell="C14" sqref="C14"/>
      <pageMargins left="0.7" right="0.7" top="0.75" bottom="0.75" header="0.3" footer="0.3"/>
    </customSheetView>
    <customSheetView guid="{1DF7E7CF-1466-457D-8611-9CCA69D96ADA}">
      <selection activeCell="C14" sqref="C14"/>
      <pageMargins left="0.7" right="0.7" top="0.75" bottom="0.75" header="0.3" footer="0.3"/>
    </customSheetView>
  </customSheetViews>
  <conditionalFormatting sqref="K7:K16">
    <cfRule type="containsText" dxfId="1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53"/>
  <sheetViews>
    <sheetView tabSelected="1" workbookViewId="0">
      <selection activeCell="I15" sqref="I15"/>
    </sheetView>
  </sheetViews>
  <sheetFormatPr defaultColWidth="9.109375" defaultRowHeight="18" x14ac:dyDescent="0.35"/>
  <cols>
    <col min="1" max="1" width="4.109375" style="1" bestFit="1" customWidth="1"/>
    <col min="2" max="2" width="13.44140625" style="1" customWidth="1"/>
    <col min="3" max="3" width="41.33203125" style="1" customWidth="1"/>
    <col min="4" max="4" width="14.88671875" style="39" customWidth="1"/>
    <col min="5" max="6" width="10.6640625" style="1" customWidth="1"/>
    <col min="7" max="7" width="8.6640625" style="1" bestFit="1" customWidth="1"/>
    <col min="8" max="8" width="10.33203125" style="1" customWidth="1"/>
    <col min="9" max="9" width="20.33203125" style="1" customWidth="1"/>
    <col min="10" max="10" width="20.6640625" style="1" customWidth="1"/>
    <col min="11" max="16384" width="9.109375" style="1"/>
  </cols>
  <sheetData>
    <row r="2" spans="1:11" x14ac:dyDescent="0.35">
      <c r="C2" s="2" t="s">
        <v>0</v>
      </c>
      <c r="D2" s="38"/>
      <c r="E2" s="3"/>
      <c r="F2" s="3"/>
      <c r="G2" s="3"/>
    </row>
    <row r="3" spans="1:11" x14ac:dyDescent="0.35">
      <c r="G3" s="4"/>
    </row>
    <row r="4" spans="1:11" s="5" customFormat="1" thickBot="1" x14ac:dyDescent="0.4">
      <c r="C4" s="6"/>
      <c r="D4" s="40"/>
    </row>
    <row r="5" spans="1:11" s="7" customFormat="1" ht="23.4" x14ac:dyDescent="0.45">
      <c r="A5" s="26" t="s">
        <v>22</v>
      </c>
      <c r="B5" s="27"/>
      <c r="C5" s="27"/>
      <c r="D5" s="41"/>
      <c r="E5" s="27"/>
      <c r="F5" s="27"/>
      <c r="G5" s="27"/>
      <c r="H5" s="27"/>
      <c r="I5" s="28" t="s">
        <v>1</v>
      </c>
      <c r="J5" s="17" t="str">
        <f ca="1">CONCATENATE((MID(CELL("filename",J5),FIND("]",CELL("filename",J5))+1,255)),"/04/2026")</f>
        <v>30/04/2026</v>
      </c>
    </row>
    <row r="6" spans="1:11" ht="18.600000000000001" thickBot="1" x14ac:dyDescent="0.4">
      <c r="A6" s="29"/>
      <c r="B6" s="30" t="s">
        <v>2</v>
      </c>
      <c r="C6" s="30" t="s">
        <v>3</v>
      </c>
      <c r="D6" s="42" t="s">
        <v>21</v>
      </c>
      <c r="E6" s="30" t="s">
        <v>19</v>
      </c>
      <c r="F6" s="30" t="s">
        <v>17</v>
      </c>
      <c r="G6" s="30" t="s">
        <v>4</v>
      </c>
      <c r="H6" s="31" t="s">
        <v>5</v>
      </c>
      <c r="I6" s="31" t="s">
        <v>20</v>
      </c>
      <c r="J6" s="32" t="s">
        <v>6</v>
      </c>
    </row>
    <row r="7" spans="1:11" x14ac:dyDescent="0.35">
      <c r="A7" s="33">
        <v>1</v>
      </c>
      <c r="B7" s="25">
        <v>609</v>
      </c>
      <c r="C7" s="36" t="s">
        <v>24</v>
      </c>
      <c r="D7" s="43">
        <v>46143</v>
      </c>
      <c r="E7" s="25">
        <v>2</v>
      </c>
      <c r="F7" s="25">
        <v>2</v>
      </c>
      <c r="G7" s="25"/>
      <c r="H7" s="25"/>
      <c r="I7" s="25" t="s">
        <v>25</v>
      </c>
      <c r="J7" s="25" t="s">
        <v>26</v>
      </c>
      <c r="K7" s="51" t="s">
        <v>34</v>
      </c>
    </row>
    <row r="8" spans="1:11" x14ac:dyDescent="0.35">
      <c r="A8" s="24">
        <v>2</v>
      </c>
      <c r="B8" s="18">
        <v>610</v>
      </c>
      <c r="C8" s="37" t="s">
        <v>27</v>
      </c>
      <c r="D8" s="44">
        <v>46143</v>
      </c>
      <c r="E8" s="18">
        <v>2</v>
      </c>
      <c r="F8" s="18"/>
      <c r="G8" s="18"/>
      <c r="H8" s="18"/>
      <c r="I8" s="18" t="s">
        <v>28</v>
      </c>
      <c r="J8" s="18" t="s">
        <v>26</v>
      </c>
      <c r="K8" s="51" t="s">
        <v>34</v>
      </c>
    </row>
    <row r="9" spans="1:11" x14ac:dyDescent="0.35">
      <c r="A9" s="24">
        <v>3</v>
      </c>
      <c r="B9" s="18">
        <v>611</v>
      </c>
      <c r="C9" s="37" t="s">
        <v>29</v>
      </c>
      <c r="D9" s="44">
        <v>46143</v>
      </c>
      <c r="E9" s="18">
        <v>1</v>
      </c>
      <c r="F9" s="18"/>
      <c r="G9" s="18"/>
      <c r="H9" s="18"/>
      <c r="I9" s="18" t="s">
        <v>30</v>
      </c>
      <c r="J9" s="18" t="s">
        <v>26</v>
      </c>
      <c r="K9" s="51" t="s">
        <v>34</v>
      </c>
    </row>
    <row r="10" spans="1:11" x14ac:dyDescent="0.35">
      <c r="A10" s="24">
        <v>4</v>
      </c>
      <c r="B10" s="18" t="s">
        <v>31</v>
      </c>
      <c r="C10" s="37" t="s">
        <v>32</v>
      </c>
      <c r="D10" s="44">
        <v>46118</v>
      </c>
      <c r="E10" s="18" t="s">
        <v>55</v>
      </c>
      <c r="F10" s="18"/>
      <c r="G10" s="18"/>
      <c r="I10" s="18">
        <v>3087184</v>
      </c>
      <c r="J10" s="18" t="s">
        <v>33</v>
      </c>
      <c r="K10" s="51" t="s">
        <v>34</v>
      </c>
    </row>
    <row r="11" spans="1:11" x14ac:dyDescent="0.35">
      <c r="A11" s="24">
        <v>5</v>
      </c>
      <c r="B11" s="18"/>
      <c r="C11" s="37"/>
      <c r="D11" s="44"/>
      <c r="E11" s="18"/>
      <c r="F11" s="18"/>
      <c r="G11" s="18"/>
      <c r="H11" s="18"/>
      <c r="I11" s="18"/>
      <c r="J11" s="18"/>
      <c r="K11" s="51" t="str">
        <f>IF(OR(NOT(ISERROR(MATCH(RIGHT(B11,3)+0,#REF!,0))),NOT(ISERROR(MATCH(LEFT(B11,3)+0,#REF!,0)))),"No Post","")</f>
        <v/>
      </c>
    </row>
    <row r="12" spans="1:11" x14ac:dyDescent="0.35">
      <c r="A12" s="24">
        <v>6</v>
      </c>
      <c r="B12" s="21"/>
      <c r="C12" s="22"/>
      <c r="D12" s="20"/>
      <c r="E12" s="21"/>
      <c r="F12" s="34"/>
      <c r="G12" s="19"/>
      <c r="H12" s="18"/>
      <c r="I12" s="22"/>
      <c r="J12" s="22"/>
      <c r="K12" s="51" t="str">
        <f>IF(OR(NOT(ISERROR(MATCH(RIGHT(B12,3)+0,#REF!,0))),NOT(ISERROR(MATCH(LEFT(B12,3)+0,#REF!,0)))),"No Post","")</f>
        <v/>
      </c>
    </row>
    <row r="13" spans="1:11" x14ac:dyDescent="0.35">
      <c r="A13" s="24">
        <v>7</v>
      </c>
      <c r="B13" s="21"/>
      <c r="C13" s="22"/>
      <c r="D13" s="20"/>
      <c r="E13" s="21"/>
      <c r="F13" s="23"/>
      <c r="G13" s="19"/>
      <c r="H13" s="24"/>
      <c r="I13" s="22"/>
      <c r="J13" s="22"/>
      <c r="K13" s="51" t="str">
        <f>IF(OR(NOT(ISERROR(MATCH(RIGHT(B13,3)+0,#REF!,0))),NOT(ISERROR(MATCH(LEFT(B13,3)+0,#REF!,0)))),"No Post","")</f>
        <v/>
      </c>
    </row>
    <row r="14" spans="1:11" s="8" customFormat="1" ht="19.8" x14ac:dyDescent="0.4">
      <c r="A14" s="24">
        <v>8</v>
      </c>
      <c r="B14" s="21"/>
      <c r="C14" s="22"/>
      <c r="D14" s="20"/>
      <c r="E14" s="19"/>
      <c r="F14" s="19"/>
      <c r="G14" s="19"/>
      <c r="H14" s="24"/>
      <c r="I14" s="35"/>
      <c r="J14" s="35"/>
      <c r="K14" s="51" t="str">
        <f>IF(OR(NOT(ISERROR(MATCH(RIGHT(B14,3)+0,#REF!,0))),NOT(ISERROR(MATCH(LEFT(B14,3)+0,#REF!,0)))),"No Post","")</f>
        <v/>
      </c>
    </row>
    <row r="15" spans="1:11" x14ac:dyDescent="0.35">
      <c r="A15" s="24">
        <v>9</v>
      </c>
      <c r="B15" s="21"/>
      <c r="C15" s="22"/>
      <c r="D15" s="20"/>
      <c r="E15" s="19"/>
      <c r="F15" s="19"/>
      <c r="G15" s="19"/>
      <c r="H15" s="24"/>
      <c r="I15" s="22"/>
      <c r="J15" s="22"/>
      <c r="K15" s="51" t="str">
        <f>IF(OR(NOT(ISERROR(MATCH(RIGHT(B15,3)+0,#REF!,0))),NOT(ISERROR(MATCH(LEFT(B15,3)+0,#REF!,0)))),"No Post","")</f>
        <v/>
      </c>
    </row>
    <row r="16" spans="1:11" s="9" customFormat="1" x14ac:dyDescent="0.35">
      <c r="A16" s="24">
        <v>10</v>
      </c>
      <c r="B16" s="21"/>
      <c r="C16" s="22"/>
      <c r="D16" s="20"/>
      <c r="E16" s="19"/>
      <c r="F16" s="19"/>
      <c r="G16" s="19"/>
      <c r="H16" s="24"/>
      <c r="I16" s="22"/>
      <c r="J16" s="22"/>
      <c r="K16" s="51" t="str">
        <f>IF(OR(NOT(ISERROR(MATCH(RIGHT(B16,3)+0,#REF!,0))),NOT(ISERROR(MATCH(LEFT(B16,3)+0,#REF!,0)))),"No Post","")</f>
        <v/>
      </c>
    </row>
    <row r="17" spans="1:8" s="9" customFormat="1" ht="23.25" customHeight="1" x14ac:dyDescent="0.35">
      <c r="A17" s="1"/>
      <c r="B17" s="1"/>
      <c r="C17" s="1"/>
      <c r="D17" s="45" t="s">
        <v>18</v>
      </c>
      <c r="E17" s="16">
        <f>SUM(E7:E16)</f>
        <v>5</v>
      </c>
      <c r="F17" s="16">
        <f>SUM(F7:F16)</f>
        <v>2</v>
      </c>
      <c r="G17" s="1"/>
      <c r="H17" s="1"/>
    </row>
    <row r="18" spans="1:8" s="9" customFormat="1" ht="23.25" customHeight="1" x14ac:dyDescent="0.35">
      <c r="A18" s="1"/>
      <c r="B18" s="1"/>
      <c r="C18" s="1"/>
      <c r="D18" s="39"/>
      <c r="E18" s="1"/>
      <c r="F18" s="1"/>
      <c r="G18" s="1"/>
      <c r="H18" s="1"/>
    </row>
    <row r="19" spans="1:8" ht="20.25" customHeight="1" x14ac:dyDescent="0.35">
      <c r="B19" t="s">
        <v>7</v>
      </c>
      <c r="C19"/>
      <c r="D19" s="46"/>
      <c r="E19"/>
      <c r="F19"/>
      <c r="G19"/>
      <c r="H19"/>
    </row>
    <row r="20" spans="1:8" ht="20.25" customHeight="1" x14ac:dyDescent="0.35">
      <c r="B20" s="10" t="s">
        <v>8</v>
      </c>
      <c r="C20" s="10"/>
      <c r="D20" s="47"/>
      <c r="E20" s="10"/>
      <c r="F20" s="10"/>
      <c r="G20" s="10"/>
      <c r="H20" s="10"/>
    </row>
    <row r="21" spans="1:8" ht="20.25" customHeight="1" x14ac:dyDescent="0.35">
      <c r="B21" s="10" t="s">
        <v>9</v>
      </c>
      <c r="C21" s="10"/>
      <c r="D21" s="47"/>
      <c r="E21" s="10"/>
      <c r="F21" s="10"/>
      <c r="G21" s="10"/>
      <c r="H21" s="10"/>
    </row>
    <row r="22" spans="1:8" ht="20.25" customHeight="1" x14ac:dyDescent="0.35">
      <c r="B22" s="10" t="s">
        <v>10</v>
      </c>
      <c r="C22" s="10"/>
      <c r="D22" s="47"/>
      <c r="E22" s="10"/>
      <c r="F22" s="10"/>
      <c r="G22" s="10"/>
      <c r="H22" s="10"/>
    </row>
    <row r="23" spans="1:8" x14ac:dyDescent="0.35">
      <c r="B23" s="10" t="s">
        <v>11</v>
      </c>
      <c r="C23" s="10"/>
      <c r="D23" s="47"/>
      <c r="E23" s="10"/>
      <c r="F23" s="10"/>
      <c r="G23" s="10"/>
      <c r="H23" s="10"/>
    </row>
    <row r="24" spans="1:8" x14ac:dyDescent="0.35">
      <c r="B24" s="10" t="s">
        <v>12</v>
      </c>
      <c r="C24" s="10"/>
      <c r="D24" s="47"/>
      <c r="E24" s="10"/>
      <c r="F24" s="10"/>
      <c r="G24" s="10"/>
      <c r="H24" s="10"/>
    </row>
    <row r="25" spans="1:8" x14ac:dyDescent="0.35">
      <c r="B25" s="10" t="s">
        <v>13</v>
      </c>
      <c r="C25" s="10"/>
      <c r="D25" s="47"/>
      <c r="E25" s="10"/>
      <c r="F25" s="10"/>
      <c r="G25" s="10"/>
      <c r="H25" s="10"/>
    </row>
    <row r="26" spans="1:8" s="12" customFormat="1" ht="15.6" x14ac:dyDescent="0.3">
      <c r="B26" s="11" t="s">
        <v>14</v>
      </c>
      <c r="C26" s="11"/>
      <c r="D26" s="48"/>
      <c r="E26" s="11"/>
      <c r="F26" s="11"/>
      <c r="G26" s="11"/>
    </row>
    <row r="27" spans="1:8" s="12" customFormat="1" ht="15.6" x14ac:dyDescent="0.3">
      <c r="B27" s="11" t="s">
        <v>15</v>
      </c>
      <c r="C27" s="11"/>
      <c r="D27" s="48"/>
      <c r="E27" s="11"/>
      <c r="F27" s="11"/>
      <c r="G27" s="11"/>
    </row>
    <row r="28" spans="1:8" s="14" customFormat="1" ht="20.25" customHeight="1" x14ac:dyDescent="0.35">
      <c r="B28" s="13" t="s">
        <v>16</v>
      </c>
      <c r="C28" s="13"/>
      <c r="D28" s="49"/>
    </row>
    <row r="29" spans="1:8" customFormat="1" ht="14.4" x14ac:dyDescent="0.3">
      <c r="B29" s="15"/>
      <c r="C29" s="10"/>
      <c r="D29" s="47"/>
      <c r="E29" s="10"/>
      <c r="F29" s="10"/>
      <c r="G29" s="10"/>
      <c r="H29" s="10"/>
    </row>
    <row r="30" spans="1:8" x14ac:dyDescent="0.35">
      <c r="B30" s="10"/>
      <c r="C30" s="10"/>
      <c r="D30" s="47"/>
      <c r="E30" s="10"/>
      <c r="F30" s="10"/>
      <c r="G30" s="10"/>
      <c r="H30" s="10"/>
    </row>
    <row r="31" spans="1:8" x14ac:dyDescent="0.35">
      <c r="B31" s="15"/>
      <c r="C31" s="10"/>
      <c r="D31" s="47"/>
      <c r="E31" s="10"/>
      <c r="F31" s="10"/>
      <c r="G31" s="10"/>
      <c r="H31" s="10"/>
    </row>
    <row r="32" spans="1:8" x14ac:dyDescent="0.35">
      <c r="B32" s="10"/>
      <c r="C32" s="10"/>
      <c r="D32" s="47"/>
      <c r="E32" s="10"/>
      <c r="F32" s="10"/>
      <c r="G32" s="10"/>
      <c r="H32" s="10"/>
    </row>
    <row r="34" spans="2:8" x14ac:dyDescent="0.35">
      <c r="B34" s="9"/>
      <c r="C34" s="9"/>
      <c r="D34" s="50"/>
      <c r="E34" s="9"/>
      <c r="F34" s="9"/>
      <c r="G34" s="9"/>
      <c r="H34" s="9"/>
    </row>
    <row r="49" spans="2:8" x14ac:dyDescent="0.35">
      <c r="B49" s="10"/>
      <c r="C49" s="10"/>
      <c r="D49" s="47"/>
      <c r="E49" s="10"/>
      <c r="F49" s="10"/>
      <c r="G49" s="10"/>
      <c r="H49" s="10"/>
    </row>
    <row r="50" spans="2:8" x14ac:dyDescent="0.35">
      <c r="B50" s="10"/>
      <c r="C50" s="10"/>
      <c r="D50" s="47"/>
      <c r="E50" s="10"/>
      <c r="F50" s="10"/>
      <c r="G50" s="10"/>
      <c r="H50" s="10"/>
    </row>
    <row r="51" spans="2:8" x14ac:dyDescent="0.35">
      <c r="B51" s="10"/>
      <c r="C51" s="10"/>
      <c r="D51" s="47"/>
      <c r="E51" s="10"/>
      <c r="F51" s="10"/>
      <c r="G51" s="10"/>
      <c r="H51" s="10"/>
    </row>
    <row r="52" spans="2:8" x14ac:dyDescent="0.35">
      <c r="B52" s="15"/>
      <c r="C52" s="10"/>
      <c r="D52" s="47"/>
      <c r="E52" s="10"/>
      <c r="F52" s="10"/>
      <c r="G52" s="10"/>
      <c r="H52" s="10"/>
    </row>
    <row r="53" spans="2:8" x14ac:dyDescent="0.35">
      <c r="B53" s="10"/>
      <c r="C53" s="10"/>
      <c r="D53" s="47"/>
      <c r="E53" s="10"/>
      <c r="F53" s="10"/>
      <c r="G53" s="10"/>
      <c r="H53" s="10"/>
    </row>
  </sheetData>
  <customSheetViews>
    <customSheetView guid="{B8EA161F-7E60-4D3B-827A-A298931FF3D5}">
      <selection activeCell="F17" sqref="F17"/>
      <pageMargins left="0.7" right="0.7" top="0.75" bottom="0.75" header="0.3" footer="0.3"/>
    </customSheetView>
    <customSheetView guid="{EB671E99-C5BE-4B03-864B-AB6F22D6AC5B}">
      <selection activeCell="I13" sqref="I13"/>
      <pageMargins left="0.7" right="0.7" top="0.75" bottom="0.75" header="0.3" footer="0.3"/>
    </customSheetView>
    <customSheetView guid="{B6C88C95-1BEF-4090-A8A9-7ABB415D0D96}">
      <selection activeCell="I13" sqref="I13"/>
      <pageMargins left="0.7" right="0.7" top="0.75" bottom="0.75" header="0.3" footer="0.3"/>
    </customSheetView>
    <customSheetView guid="{1DF7E7CF-1466-457D-8611-9CCA69D96ADA}">
      <selection activeCell="I13" sqref="I13"/>
      <pageMargins left="0.7" right="0.7" top="0.75" bottom="0.75" header="0.3" footer="0.3"/>
    </customSheetView>
  </customSheetViews>
  <conditionalFormatting sqref="K7:K16">
    <cfRule type="containsText" dxfId="0" priority="1" operator="containsText" text="No Post">
      <formula>NOT(ISERROR(SEARCH("No Post",K7)))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2</vt:lpstr>
      <vt:lpstr>6</vt:lpstr>
      <vt:lpstr>9</vt:lpstr>
      <vt:lpstr>13</vt:lpstr>
      <vt:lpstr>16</vt:lpstr>
      <vt:lpstr>20</vt:lpstr>
      <vt:lpstr>23</vt:lpstr>
      <vt:lpstr>27</vt:lpstr>
      <vt:lpstr>30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AVasques</dc:creator>
  <cp:lastModifiedBy>Assistant DiveCenter Manager</cp:lastModifiedBy>
  <cp:lastPrinted>2021-08-16T08:15:57Z</cp:lastPrinted>
  <dcterms:created xsi:type="dcterms:W3CDTF">2019-01-14T09:07:47Z</dcterms:created>
  <dcterms:modified xsi:type="dcterms:W3CDTF">2026-05-03T09:37:31Z</dcterms:modified>
</cp:coreProperties>
</file>