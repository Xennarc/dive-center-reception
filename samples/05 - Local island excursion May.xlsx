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xWindow="0" yWindow="0" windowWidth="23040" windowHeight="9072" activeTab="4"/>
  </bookViews>
  <sheets>
    <sheet name="2" sheetId="1" r:id="rId1"/>
    <sheet name="5" sheetId="2" r:id="rId2"/>
    <sheet name="9" sheetId="3" r:id="rId3"/>
    <sheet name="12" sheetId="4" r:id="rId4"/>
    <sheet name="16" sheetId="5" r:id="rId5"/>
    <sheet name="19" sheetId="6" r:id="rId6"/>
    <sheet name="23" sheetId="7" r:id="rId7"/>
    <sheet name="26" sheetId="8" r:id="rId8"/>
    <sheet name="30" sheetId="9" r:id="rId9"/>
    <sheet name="_BookingMeta" sheetId="10" state="hidden" r:id="rId10"/>
    <sheet name="_SheetMeta" sheetId="11" state="hidden" r:id="rId11"/>
  </sheets>
  <definedNames>
    <definedName name="_xlnm.Print_Area" localSheetId="0">'2'!$A$1:$K$25</definedName>
    <definedName name="Z_85549BDC_FD4D_458F_9817_2B57B2B61C72_.wvu.PrintArea" localSheetId="0" hidden="1">'2'!$A$1:$K$25</definedName>
    <definedName name="Z_CA84A069_4C99_4649_8EA3_A17508415CB8_.wvu.PrintArea" localSheetId="0" hidden="1">'2'!$A$1:$K$25</definedName>
    <definedName name="Z_D2B70ABD_9C5F_4CE2_BD47_A7B87832A44F_.wvu.PrintArea">'2'!$A$1:$K$25</definedName>
    <definedName name="Z_E6CB5B9C_3C37_42FD_A334_29C0384E6A21_.wvu.PrintArea">'2'!$A$1:$K$25</definedName>
  </definedNames>
  <calcPr calcId="162913" calcOnSave="0"/>
  <customWorkbookViews>
    <customWorkbookView name="Assistant DiveCenter Manager - Personal View" guid="{85549BDC-FD4D-458F-9817-2B57B2B61C72}" mergeInterval="0" personalView="1" maximized="1" xWindow="-9" yWindow="-9" windowWidth="1938" windowHeight="1038" activeSheetId="1"/>
    <customWorkbookView name="Dive Centre Office - Personal View" guid="{CA84A069-4C99-4649-8EA3-A17508415CB8}" mergeInterval="0" personalView="1" maximized="1" xWindow="-9" yWindow="-9" windowWidth="1938" windowHeight="1038" activeSheetId="3"/>
  </customWorkbookViews>
</workbook>
</file>

<file path=xl/calcChain.xml><?xml version="1.0" encoding="utf-8"?>
<calcChain xmlns="http://schemas.openxmlformats.org/spreadsheetml/2006/main">
  <c r="J5" i="3" l="1"/>
  <c r="J5" i="9"/>
  <c r="J5" i="8"/>
  <c r="J5" i="7"/>
  <c r="J5" i="6"/>
  <c r="J5" i="5"/>
  <c r="J5" i="4"/>
  <c r="J5" i="2"/>
  <c r="K5" i="1"/>
  <c r="F17" i="9" l="1"/>
  <c r="E17" i="9"/>
  <c r="K16" i="9"/>
  <c r="K15" i="9"/>
  <c r="K14" i="9"/>
  <c r="K13" i="9"/>
  <c r="K12" i="9"/>
  <c r="K11" i="9"/>
  <c r="K10" i="9"/>
  <c r="K9" i="9"/>
  <c r="K8" i="9"/>
  <c r="K7" i="9"/>
  <c r="F17" i="8"/>
  <c r="E17" i="8"/>
  <c r="K16" i="8"/>
  <c r="K15" i="8"/>
  <c r="K14" i="8"/>
  <c r="K13" i="8"/>
  <c r="K12" i="8"/>
  <c r="K11" i="8"/>
  <c r="K10" i="8"/>
  <c r="K9" i="8"/>
  <c r="K8" i="8"/>
  <c r="K7" i="8"/>
  <c r="F17" i="7"/>
  <c r="E17" i="7"/>
  <c r="K16" i="7"/>
  <c r="K15" i="7"/>
  <c r="K14" i="7"/>
  <c r="K13" i="7"/>
  <c r="K12" i="7"/>
  <c r="K11" i="7"/>
  <c r="K10" i="7"/>
  <c r="K9" i="7"/>
  <c r="K8" i="7"/>
  <c r="K7" i="7"/>
  <c r="F17" i="6"/>
  <c r="E17" i="6"/>
  <c r="K16" i="6"/>
  <c r="K15" i="6"/>
  <c r="K14" i="6"/>
  <c r="K13" i="6"/>
  <c r="K12" i="6"/>
  <c r="K11" i="6"/>
  <c r="K10" i="6"/>
  <c r="K9" i="6"/>
  <c r="K8" i="6"/>
  <c r="K7" i="6"/>
  <c r="F17" i="5"/>
  <c r="E17" i="5"/>
  <c r="K16" i="5"/>
  <c r="K15" i="5"/>
  <c r="K14" i="5"/>
  <c r="K13" i="5"/>
  <c r="K12" i="5"/>
  <c r="K11" i="5"/>
  <c r="K10" i="5"/>
  <c r="K9" i="5"/>
  <c r="K8" i="5"/>
  <c r="K7" i="5"/>
  <c r="F17" i="4"/>
  <c r="E17" i="4"/>
  <c r="K16" i="4"/>
  <c r="K15" i="4"/>
  <c r="K14" i="4"/>
  <c r="K13" i="4"/>
  <c r="K12" i="4"/>
  <c r="K11" i="4"/>
  <c r="K10" i="4"/>
  <c r="K9" i="4"/>
  <c r="K8" i="4"/>
  <c r="K7" i="4"/>
  <c r="F17" i="3"/>
  <c r="E17" i="3"/>
  <c r="K16" i="3"/>
  <c r="K15" i="3"/>
  <c r="K14" i="3"/>
  <c r="K13" i="3"/>
  <c r="K12" i="3"/>
  <c r="K11" i="3"/>
  <c r="K10" i="3"/>
  <c r="K9" i="3"/>
  <c r="K8" i="3"/>
  <c r="K7" i="3"/>
  <c r="F17" i="2"/>
  <c r="E17" i="2"/>
  <c r="K16" i="2"/>
  <c r="K15" i="2"/>
  <c r="K14" i="2"/>
  <c r="K13" i="2"/>
  <c r="K12" i="2"/>
  <c r="K11" i="2"/>
  <c r="K10" i="2"/>
  <c r="K9" i="2"/>
  <c r="K8" i="2"/>
  <c r="K7" i="2"/>
  <c r="G13" i="1"/>
  <c r="F13" i="1"/>
  <c r="L12" i="1"/>
  <c r="L11" i="1"/>
  <c r="L10" i="1"/>
  <c r="L7" i="1"/>
</calcChain>
</file>

<file path=xl/sharedStrings.xml><?xml version="1.0" encoding="utf-8"?>
<sst xmlns="http://schemas.openxmlformats.org/spreadsheetml/2006/main" count="255" uniqueCount="64">
  <si>
    <t xml:space="preserve">Note :  we require a booking  of 4 guests minimum </t>
  </si>
  <si>
    <t>LOCAL ISLAND EXCURSION (MAX 10PAX)  USD$70 PP  9:30 TO 11:30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</si>
  <si>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</si>
  <si>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</si>
  <si>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</si>
  <si>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Departure</t>
  </si>
  <si>
    <t>Adults</t>
  </si>
  <si>
    <t>Child</t>
  </si>
  <si>
    <t>Liability</t>
  </si>
  <si>
    <t>Bill No:</t>
  </si>
  <si>
    <t>Remarks</t>
  </si>
  <si>
    <t>Staff</t>
  </si>
  <si>
    <t>Belyaev, Ivan</t>
  </si>
  <si>
    <t>INFORMED</t>
  </si>
  <si>
    <t>FB</t>
  </si>
  <si>
    <t>Aiperi/Xuan</t>
  </si>
  <si>
    <t>629/865</t>
  </si>
  <si>
    <t>Lei Zu</t>
  </si>
  <si>
    <t>ALLOCATION</t>
  </si>
  <si>
    <t>NO POST</t>
  </si>
  <si>
    <t>630/867</t>
  </si>
  <si>
    <t>Lu Sun</t>
  </si>
  <si>
    <t>623/858</t>
  </si>
  <si>
    <t>Li Fang</t>
  </si>
  <si>
    <t>CXL2</t>
  </si>
  <si>
    <t>Faiha/Win</t>
  </si>
  <si>
    <t>BOOKING CLOSED</t>
  </si>
  <si>
    <t>TOTAL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</si>
  <si>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</si>
  <si>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</si>
  <si>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</si>
  <si>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</si>
  <si>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</si>
  <si>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</si>
  <si>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</si>
  <si>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</si>
  <si>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</si>
  <si>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</si>
  <si>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818/877</t>
  </si>
  <si>
    <t>Seungjo Ko</t>
  </si>
  <si>
    <t>SAI</t>
  </si>
  <si>
    <t>Faiha</t>
  </si>
  <si>
    <t>CXL 2</t>
  </si>
  <si>
    <t>Habil/Faiha</t>
  </si>
  <si>
    <t>QIAN, YUJIA .MS</t>
  </si>
  <si>
    <t>cxl2</t>
  </si>
  <si>
    <r>
      <t>3203702,</t>
    </r>
    <r>
      <rPr>
        <sz val="10"/>
        <color rgb="FF000000"/>
        <rFont val="Arial"/>
        <family val="2"/>
      </rPr>
      <t xml:space="preserve"> </t>
    </r>
    <r>
      <rPr>
        <b/>
        <sz val="11"/>
        <color rgb="FF4F3629"/>
        <rFont val="Arial"/>
        <family val="2"/>
      </rPr>
      <t>3203703-TRMD</t>
    </r>
  </si>
  <si>
    <t>Shamrath/Tarush</t>
  </si>
  <si>
    <t>sheetName</t>
  </si>
  <si>
    <t>rowIdx</t>
  </si>
  <si>
    <t>status</t>
  </si>
  <si>
    <t>cancelReason</t>
  </si>
  <si>
    <t>cancelledAt</t>
  </si>
  <si>
    <t>postponedTo</t>
  </si>
  <si>
    <t>postponedRef</t>
  </si>
  <si>
    <t>attended</t>
  </si>
  <si>
    <t>paid</t>
  </si>
  <si>
    <t>paidAt</t>
  </si>
  <si>
    <t>activityCancelled</t>
  </si>
  <si>
    <t>cancelReasonCat</t>
  </si>
  <si>
    <t>cancelReasonNote</t>
  </si>
  <si>
    <t>guestsInformed</t>
  </si>
  <si>
    <t>customCapacity</t>
  </si>
  <si>
    <t>Astrid/Faiha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</si>
</sst>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 applyAlignment="1">
      <alignment horizontal="left" indent="14"/>
    </xf>
    <xf numFmtId="14" fontId="1" fillId="2" borderId="0" xfId="0" applyNumberFormat="1" applyFont="1" applyFill="1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3" fillId="0" borderId="3" xfId="0" applyFont="1" applyBorder="1"/>
    <xf numFmtId="14" fontId="5" fillId="0" borderId="4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/>
    <xf numFmtId="0" fontId="1" fillId="3" borderId="9" xfId="0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6" fillId="0" borderId="0" xfId="0" applyFont="1"/>
    <xf numFmtId="0" fontId="1" fillId="3" borderId="10" xfId="0" applyFont="1" applyFill="1" applyBorder="1"/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0" fontId="1" fillId="3" borderId="11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/>
    </xf>
    <xf numFmtId="14" fontId="1" fillId="3" borderId="10" xfId="0" applyNumberFormat="1" applyFont="1" applyFill="1" applyBorder="1" applyAlignment="1">
      <alignment horizontal="center"/>
    </xf>
    <xf numFmtId="0" fontId="7" fillId="4" borderId="12" xfId="0" applyFont="1" applyFill="1" applyBorder="1"/>
    <xf numFmtId="0" fontId="7" fillId="4" borderId="13" xfId="0" applyFont="1" applyFill="1" applyBorder="1"/>
    <xf numFmtId="0" fontId="7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/>
    </xf>
    <xf numFmtId="14" fontId="7" fillId="4" borderId="13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0" borderId="0" xfId="0" applyFont="1"/>
    <xf numFmtId="14" fontId="9" fillId="0" borderId="0" xfId="0" applyNumberFormat="1" applyFont="1"/>
    <xf numFmtId="0" fontId="10" fillId="0" borderId="0" xfId="0" applyFont="1"/>
    <xf numFmtId="0" fontId="10" fillId="2" borderId="0" xfId="0" applyFont="1" applyFill="1"/>
    <xf numFmtId="14" fontId="10" fillId="2" borderId="0" xfId="0" applyNumberFormat="1" applyFont="1" applyFill="1"/>
    <xf numFmtId="0" fontId="11" fillId="0" borderId="0" xfId="0" applyFont="1"/>
    <xf numFmtId="0" fontId="11" fillId="2" borderId="0" xfId="0" applyFont="1" applyFill="1"/>
    <xf numFmtId="14" fontId="11" fillId="0" borderId="0" xfId="0" applyNumberFormat="1" applyFont="1"/>
    <xf numFmtId="0" fontId="12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" borderId="10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top"/>
    </xf>
    <xf numFmtId="14" fontId="1" fillId="3" borderId="10" xfId="0" applyNumberFormat="1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14" fontId="1" fillId="3" borderId="10" xfId="0" applyNumberFormat="1" applyFont="1" applyFill="1" applyBorder="1" applyAlignment="1">
      <alignment vertical="center"/>
    </xf>
    <xf numFmtId="0" fontId="15" fillId="0" borderId="0" xfId="0" applyFont="1"/>
    <xf numFmtId="0" fontId="11" fillId="3" borderId="10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left"/>
    </xf>
    <xf numFmtId="14" fontId="1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6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8</xdr:col>
      <xdr:colOff>777568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AA2329C-2248-4118-A59B-A6EFFECD935A}" diskRevisions="1" revisionId="13" version="4">
  <header guid="{FE906E25-A16A-4D13-89F7-7A684DD4427B}" dateTime="2026-05-08T14:27:43" maxSheetId="12" userName="Dive Centre Office" r:id="rId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C18D41-8470-4B34-AC50-94A0F9366CE1}" dateTime="2026-05-08T14:29:59" maxSheetId="12" userName="Assistant DiveCenter Manager" r:id="rId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5FA3488-9CA2-4167-AEB6-FFBBE635E9FA}" dateTime="2026-05-08T14:31:23" maxSheetId="12" userName="Dive Centre Office" r:id="rId3" minRId="2" maxRId="1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AA2329C-2248-4118-A59B-A6EFFECD935A}" dateTime="2026-05-13T15:07:05" maxSheetId="12" userName="Dive Centre Office" r:id="rId4" minRId="11" maxRId="1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5549BDC_FD4D_458F_9817_2B57B2B61C72_.wvu.PrintArea" hidden="1" oldHidden="1">
    <formula>'2'!$A$1:$K$25</formula>
  </rdn>
  <rcv guid="{85549BDC-FD4D-458F-9817-2B57B2B61C72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1">
    <oc r="K5">
      <f>CONCATENATE((MID(CELL("filename",K5),FIND("]",CELL("filename",K5))+1,255)),"/05/2026")</f>
    </oc>
    <nc r="K5">
      <f>CONCATENATE((MID(CELL("filename",K5),FIND("]",CELL("filename",K5))+1,25)),"/05/2026")</f>
    </nc>
  </rcc>
  <rcc rId="3" sId="2">
    <oc r="J5">
      <f>CONCATENATE((MID(CELL("filename",J5),FIND("]",CELL("filename",J5))+1,255)),"/05/2026")</f>
    </oc>
    <nc r="J5">
      <f>CONCATENATE((MID(CELL("filename",J5),FIND("]",CELL("filename",J5))+1,25)),"/05/2026")</f>
    </nc>
  </rcc>
  <rcc rId="4" sId="4">
    <oc r="J5">
      <f>CONCATENATE((MID(CELL("filename",J5),FIND("]",CELL("filename",J5))+1,255)),"/05/2026")</f>
    </oc>
    <nc r="J5">
      <f>CONCATENATE((MID(CELL("filename",J5),FIND("]",CELL("filename",J5))+1,25)),"/05/2026")</f>
    </nc>
  </rcc>
  <rcc rId="5" sId="5">
    <oc r="J5">
      <f>CONCATENATE((MID(CELL("filename",J5),FIND("]",CELL("filename",J5))+1,255)),"/05/2026")</f>
    </oc>
    <nc r="J5">
      <f>CONCATENATE((MID(CELL("filename",J5),FIND("]",CELL("filename",J5))+1,25)),"/05/2026")</f>
    </nc>
  </rcc>
  <rcc rId="6" sId="6">
    <oc r="J5">
      <f>CONCATENATE((MID(CELL("filename",J5),FIND("]",CELL("filename",J5))+1,255)),"/05/2026")</f>
    </oc>
    <nc r="J5">
      <f>CONCATENATE((MID(CELL("filename",J5),FIND("]",CELL("filename",J5))+1,25)),"/05/2026")</f>
    </nc>
  </rcc>
  <rcc rId="7" sId="7">
    <oc r="J5">
      <f>CONCATENATE((MID(CELL("filename",J5),FIND("]",CELL("filename",J5))+1,255)),"/05/2026")</f>
    </oc>
    <nc r="J5">
      <f>CONCATENATE((MID(CELL("filename",J5),FIND("]",CELL("filename",J5))+1,25)),"/05/2026")</f>
    </nc>
  </rcc>
  <rcc rId="8" sId="8">
    <oc r="J5">
      <f>CONCATENATE((MID(CELL("filename",J5),FIND("]",CELL("filename",J5))+1,255)),"/05/2026")</f>
    </oc>
    <nc r="J5">
      <f>CONCATENATE((MID(CELL("filename",J5),FIND("]",CELL("filename",J5))+1,25)),"/05/2026")</f>
    </nc>
  </rcc>
  <rcc rId="9" sId="9">
    <oc r="J5">
      <f>CONCATENATE((MID(CELL("filename",J5),FIND("]",CELL("filename",J5))+1,255)),"/05/2026")</f>
    </oc>
    <nc r="J5">
      <f>CONCATENATE((MID(CELL("filename",J5),FIND("]",CELL("filename",J5))+1,25)),"/05/2026")</f>
    </nc>
  </rcc>
  <rcc rId="10" sId="3">
    <oc r="J5">
      <f>CONCATENATE((MID(CELL("filename",J5),FIND("]",CELL("filename",J5))+1,255)),"/05/2026")</f>
    </oc>
    <nc r="J5">
      <f>CONCATENATE((MID(CELL("filename",J5),FIND("]",CELL("filename",J5))+1,25)),"/05/2026")</f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5">
    <nc r="B7">
      <v>331</v>
    </nc>
  </rcc>
  <rcc rId="12" sId="5">
    <nc r="E7">
      <v>2</v>
    </nc>
  </rcc>
  <rcc rId="13" sId="5">
    <nc r="J7" t="inlineStr">
      <is>
        <t>Astrid/Faiha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3AA2329C-2248-4118-A59B-A6EFFECD935A}" name="Dive Centre Office" id="-387629287" dateTime="2026-05-12T08:38:16"/>
  <userInfo guid="{3AA2329C-2248-4118-A59B-A6EFFECD935A}" name="Dive Centre Office" id="-387613425" dateTime="2026-05-14T08:58:3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9"/>
  <sheetViews>
    <sheetView zoomScaleNormal="100" workbookViewId="0">
      <selection activeCell="J15" sqref="J15"/>
    </sheetView>
  </sheetViews>
  <sheetFormatPr defaultColWidth="9.109375" defaultRowHeight="18" customHeight="1" x14ac:dyDescent="0.35"/>
  <cols>
    <col min="1" max="2" width="4.109375" style="1" customWidth="1"/>
    <col min="3" max="3" width="13.44140625" style="1" customWidth="1"/>
    <col min="4" max="4" width="41.33203125" style="1" customWidth="1"/>
    <col min="5" max="5" width="14.88671875" style="2" customWidth="1"/>
    <col min="6" max="7" width="10.6640625" style="1" customWidth="1"/>
    <col min="8" max="8" width="8.6640625" style="1" customWidth="1"/>
    <col min="9" max="9" width="12.5546875" style="1" customWidth="1"/>
    <col min="10" max="10" width="20.33203125" style="1" customWidth="1"/>
    <col min="11" max="11" width="20.6640625" style="1" customWidth="1"/>
    <col min="12" max="12" width="9.109375" style="1" customWidth="1"/>
    <col min="13" max="16384" width="9.109375" style="1"/>
  </cols>
  <sheetData>
    <row r="2" spans="1:12" x14ac:dyDescent="0.35">
      <c r="D2" s="3" t="s">
        <v>0</v>
      </c>
      <c r="E2" s="4"/>
      <c r="F2" s="5"/>
      <c r="G2" s="5"/>
      <c r="H2" s="5"/>
    </row>
    <row r="3" spans="1:12" x14ac:dyDescent="0.35">
      <c r="H3" s="6"/>
    </row>
    <row r="4" spans="1:12" s="7" customFormat="1" ht="17.399999999999999" x14ac:dyDescent="0.35">
      <c r="D4" s="8"/>
      <c r="E4" s="9"/>
    </row>
    <row r="5" spans="1:12" s="10" customFormat="1" ht="23.4" customHeight="1" x14ac:dyDescent="0.45">
      <c r="A5" s="11" t="s">
        <v>1</v>
      </c>
      <c r="B5" s="12"/>
      <c r="C5" s="13"/>
      <c r="D5" s="13"/>
      <c r="E5" s="14"/>
      <c r="F5" s="13"/>
      <c r="G5" s="13"/>
      <c r="H5" s="13"/>
      <c r="I5" s="13"/>
      <c r="J5" s="15" t="s">
        <v>2</v>
      </c>
      <c r="K5" s="16" t="str">
        <f ca="1">CONCATENATE((MID(CELL("filename",K5),FIND("]",CELL("filename",K5))+1,25)),"/05/2026")</f>
        <v>2/05/2026</v>
      </c>
    </row>
    <row r="6" spans="1:12" ht="18.600000000000001" customHeight="1" x14ac:dyDescent="0.35">
      <c r="A6" s="17"/>
      <c r="B6" s="18"/>
      <c r="C6" s="19" t="s">
        <v>3</v>
      </c>
      <c r="D6" s="19" t="s">
        <v>4</v>
      </c>
      <c r="E6" s="20" t="s">
        <v>5</v>
      </c>
      <c r="F6" s="19" t="s">
        <v>6</v>
      </c>
      <c r="G6" s="19" t="s">
        <v>7</v>
      </c>
      <c r="H6" s="19" t="s">
        <v>8</v>
      </c>
      <c r="I6" s="21" t="s">
        <v>9</v>
      </c>
      <c r="J6" s="21" t="s">
        <v>10</v>
      </c>
      <c r="K6" s="22" t="s">
        <v>11</v>
      </c>
    </row>
    <row r="7" spans="1:12" x14ac:dyDescent="0.35">
      <c r="A7" s="23">
        <v>1</v>
      </c>
      <c r="B7" s="23"/>
      <c r="C7" s="24">
        <v>866</v>
      </c>
      <c r="D7" s="24" t="s">
        <v>12</v>
      </c>
      <c r="E7" s="25">
        <v>46150</v>
      </c>
      <c r="F7" s="24">
        <v>2</v>
      </c>
      <c r="G7" s="24"/>
      <c r="H7" s="24"/>
      <c r="I7" s="26" t="s">
        <v>13</v>
      </c>
      <c r="J7" s="24" t="s">
        <v>14</v>
      </c>
      <c r="K7" s="26" t="s">
        <v>15</v>
      </c>
      <c r="L7" s="27" t="str">
        <f>IF(OR(NOT(ISERROR(MATCH(RIGHT(C7,3)+0,#REF!,0))),NOT(ISERROR(MATCH(LEFT(C7,3)+0,#REF!,0)))),"No Post","")</f>
        <v/>
      </c>
    </row>
    <row r="8" spans="1:12" x14ac:dyDescent="0.35">
      <c r="A8" s="28">
        <v>2</v>
      </c>
      <c r="B8" s="28"/>
      <c r="C8" s="29" t="s">
        <v>16</v>
      </c>
      <c r="D8" s="29" t="s">
        <v>17</v>
      </c>
      <c r="E8" s="30">
        <v>46143</v>
      </c>
      <c r="F8" s="29">
        <v>2</v>
      </c>
      <c r="G8" s="26"/>
      <c r="H8" s="26"/>
      <c r="I8" s="26"/>
      <c r="J8" s="26" t="s">
        <v>18</v>
      </c>
      <c r="K8" s="26"/>
      <c r="L8" s="27" t="s">
        <v>19</v>
      </c>
    </row>
    <row r="9" spans="1:12" x14ac:dyDescent="0.35">
      <c r="A9" s="28">
        <v>3</v>
      </c>
      <c r="B9" s="28"/>
      <c r="C9" s="29" t="s">
        <v>20</v>
      </c>
      <c r="D9" s="29" t="s">
        <v>21</v>
      </c>
      <c r="E9" s="30">
        <v>46143</v>
      </c>
      <c r="F9" s="29">
        <v>2</v>
      </c>
      <c r="G9" s="26"/>
      <c r="H9" s="26"/>
      <c r="I9" s="26" t="s">
        <v>13</v>
      </c>
      <c r="J9" s="26" t="s">
        <v>18</v>
      </c>
      <c r="K9" s="26"/>
      <c r="L9" s="27" t="s">
        <v>19</v>
      </c>
    </row>
    <row r="10" spans="1:12" x14ac:dyDescent="0.35">
      <c r="A10" s="28">
        <v>4</v>
      </c>
      <c r="B10" s="28"/>
      <c r="C10" s="31" t="s">
        <v>22</v>
      </c>
      <c r="D10" s="26" t="s">
        <v>23</v>
      </c>
      <c r="E10" s="32">
        <v>46142</v>
      </c>
      <c r="F10" s="31" t="s">
        <v>24</v>
      </c>
      <c r="G10" s="26"/>
      <c r="H10" s="26"/>
      <c r="I10" s="26"/>
      <c r="J10" s="26"/>
      <c r="K10" s="26" t="s">
        <v>25</v>
      </c>
      <c r="L10" s="27" t="str">
        <f>IF(OR(NOT(ISERROR(MATCH(RIGHT(C10,3)+0,#REF!,0))),NOT(ISERROR(MATCH(LEFT(C10,3)+0,#REF!,0)))),"No Post","")</f>
        <v/>
      </c>
    </row>
    <row r="11" spans="1:12" x14ac:dyDescent="0.35">
      <c r="A11" s="33">
        <v>5</v>
      </c>
      <c r="B11" s="33"/>
      <c r="C11" s="34"/>
      <c r="D11" s="35"/>
      <c r="E11" s="36"/>
      <c r="F11" s="34"/>
      <c r="G11" s="34"/>
      <c r="H11" s="34"/>
      <c r="I11" s="34"/>
      <c r="J11" s="34"/>
      <c r="K11" s="34"/>
      <c r="L11" s="27" t="str">
        <f>IF(OR(NOT(ISERROR(MATCH(RIGHT(#REF!,3)+0,#REF!,0))),NOT(ISERROR(MATCH(LEFT(#REF!,3)+0,#REF!,0)))),"No Post","")</f>
        <v/>
      </c>
    </row>
    <row r="12" spans="1:12" x14ac:dyDescent="0.35">
      <c r="A12" s="37"/>
      <c r="B12" s="38"/>
      <c r="C12" s="39"/>
      <c r="D12" s="40"/>
      <c r="E12" s="41" t="s">
        <v>26</v>
      </c>
      <c r="F12" s="39"/>
      <c r="G12" s="42"/>
      <c r="H12" s="42"/>
      <c r="I12" s="43"/>
      <c r="J12" s="40"/>
      <c r="K12" s="44"/>
      <c r="L12" s="27" t="str">
        <f>IF(OR(NOT(ISERROR(MATCH(RIGHT(C12,3)+0,#REF!,0))),NOT(ISERROR(MATCH(LEFT(C12,3)+0,#REF!,0)))),"No Post","")</f>
        <v/>
      </c>
    </row>
    <row r="13" spans="1:12" s="45" customFormat="1" ht="23.25" customHeight="1" x14ac:dyDescent="0.35">
      <c r="A13" s="1"/>
      <c r="B13" s="1"/>
      <c r="C13" s="1"/>
      <c r="D13" s="1"/>
      <c r="E13" s="46" t="s">
        <v>27</v>
      </c>
      <c r="F13" s="47">
        <f>SUM(F7:F12)</f>
        <v>6</v>
      </c>
      <c r="G13" s="47">
        <f>SUM(G7:G12)</f>
        <v>0</v>
      </c>
      <c r="H13" s="1"/>
      <c r="I13" s="1"/>
    </row>
    <row r="14" spans="1:12" s="45" customFormat="1" ht="23.25" customHeight="1" x14ac:dyDescent="0.35">
      <c r="A14" s="1"/>
      <c r="B14" s="1"/>
      <c r="C14" s="1"/>
      <c r="D14" s="1"/>
      <c r="E14" s="2"/>
      <c r="F14" s="1"/>
      <c r="G14" s="1"/>
      <c r="H14" s="1"/>
      <c r="I14" s="1"/>
    </row>
    <row r="15" spans="1:12" ht="20.25" customHeight="1" x14ac:dyDescent="0.35">
      <c r="C15" t="s">
        <v>28</v>
      </c>
      <c r="E15" s="48"/>
    </row>
    <row r="16" spans="1:12" ht="20.25" customHeight="1" x14ac:dyDescent="0.35">
      <c r="C16" s="49" t="s">
        <v>29</v>
      </c>
      <c r="D16" s="49"/>
      <c r="E16" s="50"/>
      <c r="F16" s="49"/>
      <c r="G16" s="49"/>
      <c r="H16" s="49"/>
      <c r="I16" s="49"/>
    </row>
    <row r="17" spans="3:9" ht="20.25" customHeight="1" x14ac:dyDescent="0.35">
      <c r="C17" s="49" t="s">
        <v>30</v>
      </c>
      <c r="D17" s="49"/>
      <c r="E17" s="50"/>
      <c r="F17" s="49"/>
      <c r="G17" s="49"/>
      <c r="H17" s="49"/>
      <c r="I17" s="49"/>
    </row>
    <row r="18" spans="3:9" ht="20.25" customHeight="1" x14ac:dyDescent="0.35">
      <c r="C18" s="49" t="s">
        <v>31</v>
      </c>
      <c r="D18" s="49"/>
      <c r="E18" s="50"/>
      <c r="F18" s="49"/>
      <c r="G18" s="49"/>
      <c r="H18" s="49"/>
      <c r="I18" s="49"/>
    </row>
    <row r="19" spans="3:9" x14ac:dyDescent="0.35">
      <c r="C19" s="49" t="s">
        <v>32</v>
      </c>
      <c r="D19" s="49"/>
      <c r="E19" s="50"/>
      <c r="F19" s="49"/>
      <c r="G19" s="49"/>
      <c r="H19" s="49"/>
      <c r="I19" s="49"/>
    </row>
    <row r="20" spans="3:9" x14ac:dyDescent="0.35">
      <c r="C20" s="49" t="s">
        <v>33</v>
      </c>
      <c r="D20" s="49"/>
      <c r="E20" s="50"/>
      <c r="F20" s="49"/>
      <c r="G20" s="49"/>
      <c r="H20" s="49"/>
      <c r="I20" s="49"/>
    </row>
    <row r="21" spans="3:9" x14ac:dyDescent="0.35">
      <c r="C21" s="49" t="s">
        <v>34</v>
      </c>
      <c r="D21" s="49"/>
      <c r="E21" s="50"/>
      <c r="F21" s="49"/>
      <c r="G21" s="49"/>
      <c r="H21" s="49"/>
      <c r="I21" s="49"/>
    </row>
    <row r="22" spans="3:9" s="51" customFormat="1" ht="15.6" customHeight="1" x14ac:dyDescent="0.3">
      <c r="C22" s="52" t="s">
        <v>35</v>
      </c>
      <c r="D22" s="52"/>
      <c r="E22" s="53"/>
      <c r="F22" s="52"/>
      <c r="G22" s="52"/>
      <c r="H22" s="52"/>
    </row>
    <row r="23" spans="3:9" s="51" customFormat="1" ht="15.6" customHeight="1" x14ac:dyDescent="0.3">
      <c r="C23" s="52" t="s">
        <v>36</v>
      </c>
      <c r="D23" s="52"/>
      <c r="E23" s="53"/>
      <c r="F23" s="52"/>
      <c r="G23" s="52"/>
      <c r="H23" s="52"/>
    </row>
    <row r="24" spans="3:9" s="54" customFormat="1" ht="20.25" customHeight="1" x14ac:dyDescent="0.35">
      <c r="C24" s="55" t="s">
        <v>37</v>
      </c>
      <c r="D24" s="55"/>
      <c r="E24" s="56"/>
    </row>
    <row r="25" spans="3:9" ht="14.4" customHeight="1" x14ac:dyDescent="0.35">
      <c r="C25" s="57"/>
      <c r="D25" s="49"/>
      <c r="E25" s="50"/>
      <c r="F25" s="49"/>
      <c r="G25" s="49"/>
      <c r="H25" s="49"/>
      <c r="I25" s="49"/>
    </row>
    <row r="26" spans="3:9" x14ac:dyDescent="0.35">
      <c r="C26" s="49"/>
      <c r="D26" s="49"/>
      <c r="E26" s="50"/>
      <c r="F26" s="49"/>
      <c r="G26" s="49"/>
      <c r="H26" s="49"/>
      <c r="I26" s="49"/>
    </row>
    <row r="27" spans="3:9" x14ac:dyDescent="0.35">
      <c r="C27" s="57"/>
      <c r="D27" s="49"/>
      <c r="E27" s="50"/>
      <c r="F27" s="49"/>
      <c r="G27" s="49"/>
      <c r="H27" s="49"/>
      <c r="I27" s="49"/>
    </row>
    <row r="28" spans="3:9" x14ac:dyDescent="0.35">
      <c r="C28" s="49"/>
      <c r="D28" s="49"/>
      <c r="E28" s="50"/>
      <c r="F28" s="49"/>
      <c r="G28" s="49"/>
      <c r="H28" s="49"/>
      <c r="I28" s="49"/>
    </row>
    <row r="30" spans="3:9" x14ac:dyDescent="0.35">
      <c r="C30" s="45"/>
      <c r="D30" s="45"/>
      <c r="E30" s="58"/>
      <c r="F30" s="45"/>
      <c r="G30" s="45"/>
      <c r="H30" s="45"/>
      <c r="I30" s="45"/>
    </row>
    <row r="45" spans="3:9" x14ac:dyDescent="0.35">
      <c r="C45" s="49"/>
      <c r="D45" s="49"/>
      <c r="E45" s="50"/>
      <c r="F45" s="49"/>
      <c r="G45" s="49"/>
      <c r="H45" s="49"/>
      <c r="I45" s="49"/>
    </row>
    <row r="46" spans="3:9" x14ac:dyDescent="0.35">
      <c r="C46" s="49"/>
      <c r="D46" s="49"/>
      <c r="E46" s="50"/>
      <c r="F46" s="49"/>
      <c r="G46" s="49"/>
      <c r="H46" s="49"/>
      <c r="I46" s="49"/>
    </row>
    <row r="47" spans="3:9" x14ac:dyDescent="0.35">
      <c r="C47" s="49"/>
      <c r="D47" s="49"/>
      <c r="E47" s="50"/>
      <c r="F47" s="49"/>
      <c r="G47" s="49"/>
      <c r="H47" s="49"/>
      <c r="I47" s="49"/>
    </row>
    <row r="48" spans="3:9" x14ac:dyDescent="0.35">
      <c r="C48" s="57"/>
      <c r="D48" s="49"/>
      <c r="E48" s="50"/>
      <c r="F48" s="49"/>
      <c r="G48" s="49"/>
      <c r="H48" s="49"/>
      <c r="I48" s="49"/>
    </row>
    <row r="49" spans="3:9" x14ac:dyDescent="0.35">
      <c r="C49" s="49"/>
      <c r="D49" s="49"/>
      <c r="E49" s="50"/>
      <c r="F49" s="49"/>
      <c r="G49" s="49"/>
      <c r="H49" s="49"/>
      <c r="I49" s="49"/>
    </row>
  </sheetData>
  <customSheetViews>
    <customSheetView guid="{85549BDC-FD4D-458F-9817-2B57B2B61C72}" fitToPage="1">
      <selection activeCell="J14" sqref="J14"/>
      <pageMargins left="0.7" right="0.7" top="0.75" bottom="0.75" header="0.3" footer="0.3"/>
      <printOptions horizontalCentered="1"/>
      <pageSetup paperSize="9" scale="81" fitToHeight="0" orientation="landscape" useFirstPageNumber="1" horizontalDpi="4294967295" verticalDpi="4294967295"/>
    </customSheetView>
    <customSheetView guid="{CA84A069-4C99-4649-8EA3-A17508415CB8}" fitToPage="1">
      <selection activeCell="J15" sqref="J15"/>
      <pageMargins left="0.7" right="0.7" top="0.75" bottom="0.75" header="0.3" footer="0.3"/>
      <printOptions horizontalCentered="1"/>
      <pageSetup paperSize="9" scale="81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1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0CF28B7-EB2F-4F8E-AD66-51D738BF9B4B}">
            <xm:f>NOT(ISERROR(SEARCH("No Post",L7)))</xm:f>
            <x14:dxf>
              <fill>
                <patternFill>
                  <bgColor rgb="FFFF0000"/>
                </patternFill>
              </fill>
            </x14:dxf>
          </x14:cfRule>
          <xm:sqref>L7:L12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C7" sqref="C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5/05/2026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26" t="s">
        <v>38</v>
      </c>
      <c r="C7" s="26" t="s">
        <v>39</v>
      </c>
      <c r="D7" s="32">
        <v>46145</v>
      </c>
      <c r="E7" s="26">
        <v>2</v>
      </c>
      <c r="F7" s="26"/>
      <c r="G7" s="26"/>
      <c r="H7" s="26"/>
      <c r="I7" s="26" t="s">
        <v>40</v>
      </c>
      <c r="J7" s="26" t="s">
        <v>41</v>
      </c>
      <c r="K7" s="27" t="str">
        <f>IF(OR(NOT(ISERROR(MATCH(RIGHT(B9,3)+0,#REF!,0))),NOT(ISERROR(MATCH(LEFT(B9,3)+0,#REF!,0)))),"No Post","")</f>
        <v/>
      </c>
    </row>
    <row r="8" spans="1:11" x14ac:dyDescent="0.35">
      <c r="A8" s="28">
        <v>2</v>
      </c>
      <c r="B8" s="24">
        <v>866</v>
      </c>
      <c r="C8" s="24" t="s">
        <v>12</v>
      </c>
      <c r="D8" s="25">
        <v>46150</v>
      </c>
      <c r="E8" s="24" t="s">
        <v>42</v>
      </c>
      <c r="F8" s="26"/>
      <c r="G8" s="26"/>
      <c r="H8" s="26"/>
      <c r="I8" s="26" t="s">
        <v>14</v>
      </c>
      <c r="J8" s="26" t="s">
        <v>43</v>
      </c>
      <c r="K8" s="27" t="str">
        <f>IF(OR(NOT(ISERROR(MATCH(RIGHT(B7,3)+0,#REF!,0))),NOT(ISERROR(MATCH(LEFT(B7,3)+0,#REF!,0)))),"No Post","")</f>
        <v/>
      </c>
    </row>
    <row r="9" spans="1:11" x14ac:dyDescent="0.35">
      <c r="A9" s="28">
        <v>3</v>
      </c>
      <c r="B9" s="26">
        <v>689</v>
      </c>
      <c r="C9" s="59" t="s">
        <v>44</v>
      </c>
      <c r="D9" s="32">
        <v>46150</v>
      </c>
      <c r="E9" s="26" t="s">
        <v>45</v>
      </c>
      <c r="F9" s="26"/>
      <c r="G9" s="26"/>
      <c r="H9" s="60"/>
      <c r="I9" s="61" t="s">
        <v>46</v>
      </c>
      <c r="J9" s="26" t="s">
        <v>47</v>
      </c>
      <c r="K9" s="27" t="str">
        <f>IF(OR(NOT(ISERROR(MATCH(RIGHT(B8,3)+0,#REF!,0))),NOT(ISERROR(MATCH(LEFT(B8,3)+0,#REF!,0)))),"No Post","")</f>
        <v/>
      </c>
    </row>
    <row r="10" spans="1:11" x14ac:dyDescent="0.35">
      <c r="A10" s="28">
        <v>4</v>
      </c>
      <c r="B10" s="62"/>
      <c r="C10" s="63"/>
      <c r="D10" s="64"/>
      <c r="E10" s="62"/>
      <c r="F10" s="62"/>
      <c r="G10" s="62"/>
      <c r="H10" s="62"/>
      <c r="I10" s="62"/>
      <c r="J10" s="62"/>
      <c r="K10" s="27" t="str">
        <f>IF(OR(NOT(ISERROR(MATCH(RIGHT(#REF!,3)+0,#REF!,0))),NOT(ISERROR(MATCH(LEFT(#REF!,3)+0,#REF!,0)))),"No Post","")</f>
        <v/>
      </c>
    </row>
    <row r="11" spans="1:11" x14ac:dyDescent="0.35">
      <c r="A11" s="28">
        <v>5</v>
      </c>
      <c r="B11" s="26"/>
      <c r="C11" s="65"/>
      <c r="D11" s="32"/>
      <c r="E11" s="26"/>
      <c r="F11" s="66"/>
      <c r="G11" s="67"/>
      <c r="H11" s="34"/>
      <c r="I11" s="65"/>
      <c r="J11" s="65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2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C7" sqref="C7"/>
      <pageMargins left="0.7" right="0.7" top="0.75" bottom="0.75" header="0.3" footer="0.3"/>
    </customSheetView>
    <customSheetView guid="{CA84A069-4C99-4649-8EA3-A17508415CB8}">
      <selection activeCell="C7" sqref="C7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334F4DC-DAF5-4A68-B62E-19D4D07DB470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C12" sqref="C12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9/05/2026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J5" sqref="J5"/>
      <pageMargins left="0.7" right="0.7" top="0.75" bottom="0.75" header="0.3" footer="0.3"/>
    </customSheetView>
    <customSheetView guid="{CA84A069-4C99-4649-8EA3-A17508415CB8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0430EB5-ECDD-4C1C-A65E-0395FF74CE3A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C14" sqref="C14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12/05/2026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J10" sqref="J10"/>
      <pageMargins left="0.7" right="0.7" top="0.75" bottom="0.75" header="0.3" footer="0.3"/>
    </customSheetView>
    <customSheetView guid="{CA84A069-4C99-4649-8EA3-A17508415CB8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0B42C22-1F51-4D15-9CBC-296157AAD52D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abSelected="1" zoomScaleNormal="100" workbookViewId="0">
      <selection activeCell="J8" sqref="J8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16/05/2026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>
        <v>331</v>
      </c>
      <c r="C7" s="72"/>
      <c r="D7" s="73"/>
      <c r="E7" s="71">
        <v>2</v>
      </c>
      <c r="F7" s="71"/>
      <c r="G7" s="71"/>
      <c r="H7" s="71"/>
      <c r="I7" s="71"/>
      <c r="J7" s="71" t="s">
        <v>63</v>
      </c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2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C13" sqref="C13"/>
      <pageMargins left="0.7" right="0.7" top="0.75" bottom="0.75" header="0.3" footer="0.3"/>
    </customSheetView>
    <customSheetView guid="{CA84A069-4C99-4649-8EA3-A17508415CB8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FD3448E-2ACA-4D48-9880-A4F0A10B3386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C13" sqref="C13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19/05/2026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C13" sqref="C13"/>
      <pageMargins left="0.7" right="0.7" top="0.75" bottom="0.75" header="0.3" footer="0.3"/>
    </customSheetView>
    <customSheetView guid="{CA84A069-4C99-4649-8EA3-A17508415CB8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868153F-A3FF-44E7-AD16-E569D48DA008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C13" sqref="C13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23/05/2026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C13" sqref="C13"/>
      <pageMargins left="0.7" right="0.7" top="0.75" bottom="0.75" header="0.3" footer="0.3"/>
    </customSheetView>
    <customSheetView guid="{CA84A069-4C99-4649-8EA3-A17508415CB8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ACE3C3C-284A-4ED4-8C75-5F7732C1D011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D13" sqref="D13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26/05/2026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D13" sqref="D13"/>
      <pageMargins left="0.7" right="0.7" top="0.75" bottom="0.75" header="0.3" footer="0.3"/>
    </customSheetView>
    <customSheetView guid="{CA84A069-4C99-4649-8EA3-A17508415CB8}">
      <selection activeCell="D13" sqref="D13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613E9BA-A8A2-4761-8F24-0D653A568092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Normal="100" workbookViewId="0">
      <selection activeCell="H11" sqref="H11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3"/>
      <c r="C5" s="13"/>
      <c r="D5" s="14"/>
      <c r="E5" s="13"/>
      <c r="F5" s="13"/>
      <c r="G5" s="13"/>
      <c r="H5" s="13"/>
      <c r="I5" s="15" t="s">
        <v>2</v>
      </c>
      <c r="J5" s="16" t="str">
        <f ca="1">CONCATENATE((MID(CELL("filename",J5),FIND("]",CELL("filename",J5))+1,25)),"/05/2026")</f>
        <v>30/05/2026</v>
      </c>
    </row>
    <row r="6" spans="1:11" ht="18.600000000000001" customHeight="1" x14ac:dyDescent="0.35">
      <c r="A6" s="17"/>
      <c r="B6" s="19" t="s">
        <v>3</v>
      </c>
      <c r="C6" s="19" t="s">
        <v>4</v>
      </c>
      <c r="D6" s="20" t="s">
        <v>5</v>
      </c>
      <c r="E6" s="19" t="s">
        <v>6</v>
      </c>
      <c r="F6" s="19" t="s">
        <v>7</v>
      </c>
      <c r="G6" s="19" t="s">
        <v>8</v>
      </c>
      <c r="H6" s="21" t="s">
        <v>9</v>
      </c>
      <c r="I6" s="21" t="s">
        <v>10</v>
      </c>
      <c r="J6" s="22" t="s">
        <v>11</v>
      </c>
    </row>
    <row r="7" spans="1:11" x14ac:dyDescent="0.35">
      <c r="A7" s="23">
        <v>1</v>
      </c>
      <c r="B7" s="71"/>
      <c r="C7" s="72"/>
      <c r="D7" s="73"/>
      <c r="E7" s="71"/>
      <c r="F7" s="71"/>
      <c r="G7" s="71"/>
      <c r="H7" s="71"/>
      <c r="I7" s="71"/>
      <c r="J7" s="71"/>
      <c r="K7" s="27" t="str">
        <f>IF(OR(NOT(ISERROR(MATCH(RIGHT(B7,3)+0,#REF!,0))),NOT(ISERROR(MATCH(LEFT(B7,3)+0,#REF!,0)))),"No Post","")</f>
        <v/>
      </c>
    </row>
    <row r="8" spans="1:11" x14ac:dyDescent="0.35">
      <c r="A8" s="28">
        <v>2</v>
      </c>
      <c r="B8" s="34"/>
      <c r="C8" s="35"/>
      <c r="D8" s="36"/>
      <c r="E8" s="34"/>
      <c r="F8" s="34"/>
      <c r="G8" s="34"/>
      <c r="H8" s="34"/>
      <c r="I8" s="34"/>
      <c r="J8" s="34"/>
      <c r="K8" s="27" t="str">
        <f>IF(OR(NOT(ISERROR(MATCH(RIGHT(B8,3)+0,#REF!,0))),NOT(ISERROR(MATCH(LEFT(B8,3)+0,#REF!,0)))),"No Post","")</f>
        <v/>
      </c>
    </row>
    <row r="9" spans="1:11" x14ac:dyDescent="0.35">
      <c r="A9" s="28">
        <v>3</v>
      </c>
      <c r="B9" s="34"/>
      <c r="C9" s="35"/>
      <c r="D9" s="36"/>
      <c r="E9" s="34"/>
      <c r="F9" s="34"/>
      <c r="G9" s="34"/>
      <c r="H9" s="34"/>
      <c r="I9" s="34"/>
      <c r="J9" s="34"/>
      <c r="K9" s="27" t="str">
        <f>IF(OR(NOT(ISERROR(MATCH(RIGHT(B9,3)+0,#REF!,0))),NOT(ISERROR(MATCH(LEFT(B9,3)+0,#REF!,0)))),"No Post","")</f>
        <v/>
      </c>
    </row>
    <row r="10" spans="1:11" x14ac:dyDescent="0.35">
      <c r="A10" s="28">
        <v>4</v>
      </c>
      <c r="B10" s="34"/>
      <c r="C10" s="35"/>
      <c r="D10" s="36"/>
      <c r="E10" s="34"/>
      <c r="F10" s="34"/>
      <c r="G10" s="34"/>
      <c r="H10" s="34"/>
      <c r="I10" s="34"/>
      <c r="J10" s="34"/>
      <c r="K10" s="27" t="str">
        <f>IF(OR(NOT(ISERROR(MATCH(RIGHT(B10,3)+0,#REF!,0))),NOT(ISERROR(MATCH(LEFT(B10,3)+0,#REF!,0)))),"No Post","")</f>
        <v/>
      </c>
    </row>
    <row r="11" spans="1:11" x14ac:dyDescent="0.35">
      <c r="A11" s="28">
        <v>5</v>
      </c>
      <c r="B11" s="34"/>
      <c r="C11" s="35"/>
      <c r="D11" s="36"/>
      <c r="E11" s="34"/>
      <c r="F11" s="34"/>
      <c r="G11" s="34"/>
      <c r="H11" s="34"/>
      <c r="I11" s="34"/>
      <c r="J11" s="34"/>
      <c r="K11" s="27" t="str">
        <f>IF(OR(NOT(ISERROR(MATCH(RIGHT(B11,3)+0,#REF!,0))),NOT(ISERROR(MATCH(LEFT(B11,3)+0,#REF!,0)))),"No Post","")</f>
        <v/>
      </c>
    </row>
    <row r="12" spans="1:11" x14ac:dyDescent="0.35">
      <c r="A12" s="28">
        <v>6</v>
      </c>
      <c r="B12" s="26"/>
      <c r="C12" s="65"/>
      <c r="D12" s="32"/>
      <c r="E12" s="26"/>
      <c r="F12" s="66"/>
      <c r="G12" s="67"/>
      <c r="H12" s="34"/>
      <c r="I12" s="65"/>
      <c r="J12" s="65"/>
      <c r="K12" s="27" t="str">
        <f>IF(OR(NOT(ISERROR(MATCH(RIGHT(B12,3)+0,#REF!,0))),NOT(ISERROR(MATCH(LEFT(B12,3)+0,#REF!,0)))),"No Post","")</f>
        <v/>
      </c>
    </row>
    <row r="13" spans="1:11" x14ac:dyDescent="0.35">
      <c r="A13" s="28">
        <v>7</v>
      </c>
      <c r="B13" s="26"/>
      <c r="C13" s="65"/>
      <c r="D13" s="32"/>
      <c r="E13" s="26"/>
      <c r="F13" s="68"/>
      <c r="G13" s="67"/>
      <c r="H13" s="28"/>
      <c r="I13" s="65"/>
      <c r="J13" s="65"/>
      <c r="K13" s="27" t="str">
        <f>IF(OR(NOT(ISERROR(MATCH(RIGHT(B13,3)+0,#REF!,0))),NOT(ISERROR(MATCH(LEFT(B13,3)+0,#REF!,0)))),"No Post","")</f>
        <v/>
      </c>
    </row>
    <row r="14" spans="1:11" s="69" customFormat="1" ht="19.8" customHeight="1" x14ac:dyDescent="0.4">
      <c r="A14" s="28">
        <v>8</v>
      </c>
      <c r="B14" s="26"/>
      <c r="C14" s="65"/>
      <c r="D14" s="32"/>
      <c r="E14" s="67"/>
      <c r="F14" s="67"/>
      <c r="G14" s="67"/>
      <c r="H14" s="28"/>
      <c r="I14" s="70"/>
      <c r="J14" s="70"/>
      <c r="K14" s="27" t="str">
        <f>IF(OR(NOT(ISERROR(MATCH(RIGHT(B14,3)+0,#REF!,0))),NOT(ISERROR(MATCH(LEFT(B14,3)+0,#REF!,0)))),"No Post","")</f>
        <v/>
      </c>
    </row>
    <row r="15" spans="1:11" x14ac:dyDescent="0.35">
      <c r="A15" s="28">
        <v>9</v>
      </c>
      <c r="B15" s="26"/>
      <c r="C15" s="65"/>
      <c r="D15" s="32"/>
      <c r="E15" s="67"/>
      <c r="F15" s="67"/>
      <c r="G15" s="67"/>
      <c r="H15" s="28"/>
      <c r="I15" s="65"/>
      <c r="J15" s="65"/>
      <c r="K15" s="27" t="str">
        <f>IF(OR(NOT(ISERROR(MATCH(RIGHT(B15,3)+0,#REF!,0))),NOT(ISERROR(MATCH(LEFT(B15,3)+0,#REF!,0)))),"No Post","")</f>
        <v/>
      </c>
    </row>
    <row r="16" spans="1:11" s="45" customFormat="1" x14ac:dyDescent="0.35">
      <c r="A16" s="28">
        <v>10</v>
      </c>
      <c r="B16" s="26"/>
      <c r="C16" s="65"/>
      <c r="D16" s="32"/>
      <c r="E16" s="67"/>
      <c r="F16" s="67"/>
      <c r="G16" s="67"/>
      <c r="H16" s="28"/>
      <c r="I16" s="65"/>
      <c r="J16" s="65"/>
      <c r="K16" s="27" t="str">
        <f>IF(OR(NOT(ISERROR(MATCH(RIGHT(B16,3)+0,#REF!,0))),NOT(ISERROR(MATCH(LEFT(B16,3)+0,#REF!,0)))),"No Post","")</f>
        <v/>
      </c>
    </row>
    <row r="17" spans="1:8" s="45" customFormat="1" ht="23.25" customHeight="1" x14ac:dyDescent="0.35">
      <c r="A17" s="1"/>
      <c r="B17" s="1"/>
      <c r="C17" s="1"/>
      <c r="D17" s="46" t="s">
        <v>27</v>
      </c>
      <c r="E17" s="47">
        <f>SUM(E7:E16)</f>
        <v>0</v>
      </c>
      <c r="F17" s="47">
        <f>SUM(F7:F16)</f>
        <v>0</v>
      </c>
      <c r="G17" s="1"/>
      <c r="H17" s="1"/>
    </row>
    <row r="18" spans="1:8" s="45" customFormat="1" ht="23.25" customHeight="1" x14ac:dyDescent="0.35">
      <c r="A18" s="1"/>
      <c r="B18" s="1"/>
      <c r="C18" s="1"/>
      <c r="D18" s="2"/>
      <c r="E18" s="1"/>
      <c r="F18" s="1"/>
      <c r="G18" s="1"/>
      <c r="H18" s="1"/>
    </row>
    <row r="19" spans="1:8" ht="20.25" customHeight="1" x14ac:dyDescent="0.35">
      <c r="B19" t="s">
        <v>28</v>
      </c>
      <c r="D19" s="48"/>
    </row>
    <row r="20" spans="1:8" ht="20.25" customHeight="1" x14ac:dyDescent="0.35">
      <c r="B20" s="49" t="s">
        <v>29</v>
      </c>
      <c r="C20" s="49"/>
      <c r="D20" s="50"/>
      <c r="E20" s="49"/>
      <c r="F20" s="49"/>
      <c r="G20" s="49"/>
      <c r="H20" s="49"/>
    </row>
    <row r="21" spans="1:8" ht="20.25" customHeight="1" x14ac:dyDescent="0.35">
      <c r="B21" s="49" t="s">
        <v>30</v>
      </c>
      <c r="C21" s="49"/>
      <c r="D21" s="50"/>
      <c r="E21" s="49"/>
      <c r="F21" s="49"/>
      <c r="G21" s="49"/>
      <c r="H21" s="49"/>
    </row>
    <row r="22" spans="1:8" ht="20.25" customHeight="1" x14ac:dyDescent="0.35">
      <c r="B22" s="49" t="s">
        <v>31</v>
      </c>
      <c r="C22" s="49"/>
      <c r="D22" s="50"/>
      <c r="E22" s="49"/>
      <c r="F22" s="49"/>
      <c r="G22" s="49"/>
      <c r="H22" s="49"/>
    </row>
    <row r="23" spans="1:8" x14ac:dyDescent="0.35">
      <c r="B23" s="49" t="s">
        <v>32</v>
      </c>
      <c r="C23" s="49"/>
      <c r="D23" s="50"/>
      <c r="E23" s="49"/>
      <c r="F23" s="49"/>
      <c r="G23" s="49"/>
      <c r="H23" s="49"/>
    </row>
    <row r="24" spans="1:8" x14ac:dyDescent="0.35">
      <c r="B24" s="49" t="s">
        <v>33</v>
      </c>
      <c r="C24" s="49"/>
      <c r="D24" s="50"/>
      <c r="E24" s="49"/>
      <c r="F24" s="49"/>
      <c r="G24" s="49"/>
      <c r="H24" s="49"/>
    </row>
    <row r="25" spans="1:8" x14ac:dyDescent="0.35">
      <c r="B25" s="49" t="s">
        <v>34</v>
      </c>
      <c r="C25" s="49"/>
      <c r="D25" s="50"/>
      <c r="E25" s="49"/>
      <c r="F25" s="49"/>
      <c r="G25" s="49"/>
      <c r="H25" s="49"/>
    </row>
    <row r="26" spans="1:8" s="51" customFormat="1" ht="15.6" customHeight="1" x14ac:dyDescent="0.3">
      <c r="B26" s="52" t="s">
        <v>35</v>
      </c>
      <c r="C26" s="52"/>
      <c r="D26" s="53"/>
      <c r="E26" s="52"/>
      <c r="F26" s="52"/>
      <c r="G26" s="52"/>
    </row>
    <row r="27" spans="1:8" s="51" customFormat="1" ht="15.6" customHeight="1" x14ac:dyDescent="0.3">
      <c r="B27" s="52" t="s">
        <v>36</v>
      </c>
      <c r="C27" s="52"/>
      <c r="D27" s="53"/>
      <c r="E27" s="52"/>
      <c r="F27" s="52"/>
      <c r="G27" s="52"/>
    </row>
    <row r="28" spans="1:8" s="54" customFormat="1" ht="20.25" customHeight="1" x14ac:dyDescent="0.35">
      <c r="B28" s="55" t="s">
        <v>37</v>
      </c>
      <c r="C28" s="55"/>
      <c r="D28" s="56"/>
    </row>
    <row r="29" spans="1:8" ht="14.4" customHeight="1" x14ac:dyDescent="0.35">
      <c r="B29" s="57"/>
      <c r="C29" s="49"/>
      <c r="D29" s="50"/>
      <c r="E29" s="49"/>
      <c r="F29" s="49"/>
      <c r="G29" s="49"/>
      <c r="H29" s="49"/>
    </row>
    <row r="30" spans="1:8" x14ac:dyDescent="0.35">
      <c r="B30" s="49"/>
      <c r="C30" s="49"/>
      <c r="D30" s="50"/>
      <c r="E30" s="49"/>
      <c r="F30" s="49"/>
      <c r="G30" s="49"/>
      <c r="H30" s="49"/>
    </row>
    <row r="31" spans="1:8" x14ac:dyDescent="0.35">
      <c r="B31" s="57"/>
      <c r="C31" s="49"/>
      <c r="D31" s="50"/>
      <c r="E31" s="49"/>
      <c r="F31" s="49"/>
      <c r="G31" s="49"/>
      <c r="H31" s="49"/>
    </row>
    <row r="32" spans="1:8" x14ac:dyDescent="0.35">
      <c r="B32" s="49"/>
      <c r="C32" s="49"/>
      <c r="D32" s="50"/>
      <c r="E32" s="49"/>
      <c r="F32" s="49"/>
      <c r="G32" s="49"/>
      <c r="H32" s="49"/>
    </row>
    <row r="34" spans="2:8" x14ac:dyDescent="0.35">
      <c r="B34" s="45"/>
      <c r="C34" s="45"/>
      <c r="D34" s="58"/>
      <c r="E34" s="45"/>
      <c r="F34" s="45"/>
      <c r="G34" s="45"/>
      <c r="H34" s="45"/>
    </row>
    <row r="49" spans="2:8" x14ac:dyDescent="0.35">
      <c r="B49" s="49"/>
      <c r="C49" s="49"/>
      <c r="D49" s="50"/>
      <c r="E49" s="49"/>
      <c r="F49" s="49"/>
      <c r="G49" s="49"/>
      <c r="H49" s="49"/>
    </row>
    <row r="50" spans="2:8" x14ac:dyDescent="0.35">
      <c r="B50" s="49"/>
      <c r="C50" s="49"/>
      <c r="D50" s="50"/>
      <c r="E50" s="49"/>
      <c r="F50" s="49"/>
      <c r="G50" s="49"/>
      <c r="H50" s="49"/>
    </row>
    <row r="51" spans="2:8" x14ac:dyDescent="0.35">
      <c r="B51" s="49"/>
      <c r="C51" s="49"/>
      <c r="D51" s="50"/>
      <c r="E51" s="49"/>
      <c r="F51" s="49"/>
      <c r="G51" s="49"/>
      <c r="H51" s="49"/>
    </row>
    <row r="52" spans="2:8" x14ac:dyDescent="0.35">
      <c r="B52" s="57"/>
      <c r="C52" s="49"/>
      <c r="D52" s="50"/>
      <c r="E52" s="49"/>
      <c r="F52" s="49"/>
      <c r="G52" s="49"/>
      <c r="H52" s="49"/>
    </row>
    <row r="53" spans="2:8" x14ac:dyDescent="0.35">
      <c r="B53" s="49"/>
      <c r="C53" s="49"/>
      <c r="D53" s="50"/>
      <c r="E53" s="49"/>
      <c r="F53" s="49"/>
      <c r="G53" s="49"/>
      <c r="H53" s="49"/>
    </row>
  </sheetData>
  <customSheetViews>
    <customSheetView guid="{85549BDC-FD4D-458F-9817-2B57B2B61C72}">
      <selection activeCell="H11" sqref="H11"/>
      <pageMargins left="0.7" right="0.7" top="0.75" bottom="0.75" header="0.3" footer="0.3"/>
    </customSheetView>
    <customSheetView guid="{CA84A069-4C99-4649-8EA3-A17508415CB8}">
      <selection activeCell="H11" sqref="H11"/>
      <pageMargins left="0.7" right="0.7" top="0.75" bottom="0.75" header="0.3" footer="0.3"/>
    </customSheetView>
  </customSheetView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37346B4-6903-44F1-B6D7-8255E035F286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4.4" x14ac:dyDescent="0.3"/>
  <sheetData>
    <row r="1" spans="1:10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</sheetData>
  <customSheetViews>
    <customSheetView guid="{85549BDC-FD4D-458F-9817-2B57B2B61C72}" state="hidden">
      <pageMargins left="0.7" right="0.7" top="0.75" bottom="0.75" header="0.3" footer="0.3"/>
      <pageSetup orientation="portrait" useFirstPageNumber="1" horizontalDpi="4294967295" verticalDpi="4294967295"/>
    </customSheetView>
    <customSheetView guid="{CA84A069-4C99-4649-8EA3-A17508415CB8}" state="hidden">
      <pageMargins left="0.7" right="0.7" top="0.75" bottom="0.75" header="0.3" footer="0.3"/>
      <pageSetup orientation="portrait" useFirstPageNumber="1" horizontalDpi="4294967295" verticalDpi="4294967295"/>
    </customSheetView>
  </customSheetViews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4.4" x14ac:dyDescent="0.3"/>
  <sheetData>
    <row r="1" spans="1:7" x14ac:dyDescent="0.3">
      <c r="A1" t="s">
        <v>48</v>
      </c>
      <c r="B1" t="s">
        <v>58</v>
      </c>
      <c r="C1" t="s">
        <v>59</v>
      </c>
      <c r="D1" t="s">
        <v>60</v>
      </c>
      <c r="E1" t="s">
        <v>61</v>
      </c>
      <c r="F1" t="s">
        <v>52</v>
      </c>
      <c r="G1" t="s">
        <v>62</v>
      </c>
    </row>
  </sheetData>
  <customSheetViews>
    <customSheetView guid="{85549BDC-FD4D-458F-9817-2B57B2B61C72}" state="hidden">
      <pageMargins left="0.7" right="0.7" top="0.75" bottom="0.75" header="0.3" footer="0.3"/>
      <pageSetup orientation="portrait" useFirstPageNumber="1" horizontalDpi="4294967295" verticalDpi="4294967295"/>
    </customSheetView>
    <customSheetView guid="{CA84A069-4C99-4649-8EA3-A17508415CB8}" state="hidden">
      <pageMargins left="0.7" right="0.7" top="0.75" bottom="0.75" header="0.3" footer="0.3"/>
      <pageSetup orientation="portrait" useFirstPageNumber="1" horizontalDpi="4294967295" verticalDpi="4294967295"/>
    </customSheetView>
  </customSheetView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2</vt:lpstr>
      <vt:lpstr>5</vt:lpstr>
      <vt:lpstr>9</vt:lpstr>
      <vt:lpstr>12</vt:lpstr>
      <vt:lpstr>16</vt:lpstr>
      <vt:lpstr>19</vt:lpstr>
      <vt:lpstr>23</vt:lpstr>
      <vt:lpstr>26</vt:lpstr>
      <vt:lpstr>30</vt:lpstr>
      <vt:lpstr>_BookingMeta</vt:lpstr>
      <vt:lpstr>_SheetMeta</vt:lpstr>
      <vt:lpstr>'2'!Print_Area</vt:lpstr>
      <vt:lpstr>Z_D2B70ABD_9C5F_4CE2_BD47_A7B87832A44F_.wvu.PrintArea</vt:lpstr>
      <vt:lpstr>Z_E6CB5B9C_3C37_42FD_A334_29C0384E6A21_.wvu.PrintArea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Dive Centre Office</cp:lastModifiedBy>
  <cp:lastPrinted>2021-08-16T08:15:57Z</cp:lastPrinted>
  <dcterms:created xsi:type="dcterms:W3CDTF">2019-01-14T09:07:47Z</dcterms:created>
  <dcterms:modified xsi:type="dcterms:W3CDTF">2026-05-13T10:07:05Z</dcterms:modified>
</cp:coreProperties>
</file>