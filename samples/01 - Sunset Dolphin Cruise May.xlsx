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wsSortMap1.xml" ContentType="application/vnd.ms-excel.wsSortMap+xml"/>
  <Override PartName="/xl/drawings/drawing2.xml" ContentType="application/vnd.openxmlformats-officedocument.drawing+xml"/>
  <Override PartName="/xl/worksheets/wsSortMap2.xml" ContentType="application/vnd.ms-excel.wsSortMap+xml"/>
  <Override PartName="/xl/drawings/drawing3.xml" ContentType="application/vnd.openxmlformats-officedocument.drawing+xml"/>
  <Override PartName="/xl/worksheets/wsSortMap3.xml" ContentType="application/vnd.ms-excel.wsSortMap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worksheets/wsSortMap4.xml" ContentType="application/vnd.ms-excel.wsSortMap+xml"/>
  <Override PartName="/xl/drawings/drawing6.xml" ContentType="application/vnd.openxmlformats-officedocument.drawing+xml"/>
  <Override PartName="/xl/worksheets/wsSortMap5.xml" ContentType="application/vnd.ms-excel.wsSortMap+xml"/>
  <Override PartName="/xl/drawings/drawing7.xml" ContentType="application/vnd.openxmlformats-officedocument.drawing+xml"/>
  <Override PartName="/xl/worksheets/wsSortMap6.xml" ContentType="application/vnd.ms-excel.wsSortMap+xml"/>
  <Override PartName="/xl/drawings/drawing8.xml" ContentType="application/vnd.openxmlformats-officedocument.drawing+xml"/>
  <Override PartName="/xl/worksheets/wsSortMap7.xml" ContentType="application/vnd.ms-excel.wsSortMap+xml"/>
  <Override PartName="/xl/drawings/drawing9.xml" ContentType="application/vnd.openxmlformats-officedocument.drawing+xml"/>
  <Override PartName="/xl/worksheets/wsSortMap8.xml" ContentType="application/vnd.ms-excel.wsSortMap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wsSortMap9.xml" ContentType="application/vnd.ms-excel.wsSortMap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8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17.xml" ContentType="application/vnd.openxmlformats-officedocument.spreadsheetml.revisionLog+xml"/>
  <Override PartName="/xl/revisions/revisionLog29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324.xml" ContentType="application/vnd.openxmlformats-officedocument.spreadsheetml.revisionLog+xml"/>
  <Override PartName="/xl/revisions/revisionLog366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268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335.xml" ContentType="application/vnd.openxmlformats-officedocument.spreadsheetml.revisionLog+xml"/>
  <Override PartName="/xl/revisions/revisionLog377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279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290.xml" ContentType="application/vnd.openxmlformats-officedocument.spreadsheetml.revisionLog+xml"/>
  <Override PartName="/xl/revisions/revisionLog304.xml" ContentType="application/vnd.openxmlformats-officedocument.spreadsheetml.revisionLog+xml"/>
  <Override PartName="/xl/revisions/revisionLog346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315.xml" ContentType="application/vnd.openxmlformats-officedocument.spreadsheetml.revisionLog+xml"/>
  <Override PartName="/xl/revisions/revisionLog357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270.xml" ContentType="application/vnd.openxmlformats-officedocument.spreadsheetml.revisionLog+xml"/>
  <Override PartName="/xl/revisions/revisionLog326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368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281.xml" ContentType="application/vnd.openxmlformats-officedocument.spreadsheetml.revisionLog+xml"/>
  <Override PartName="/xl/revisions/revisionLog337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379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292.xml" ContentType="application/vnd.openxmlformats-officedocument.spreadsheetml.revisionLog+xml"/>
  <Override PartName="/xl/revisions/revisionLog306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348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317.xml" ContentType="application/vnd.openxmlformats-officedocument.spreadsheetml.revisionLog+xml"/>
  <Override PartName="/xl/revisions/revisionLog359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370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272.xml" ContentType="application/vnd.openxmlformats-officedocument.spreadsheetml.revisionLog+xml"/>
  <Override PartName="/xl/revisions/revisionLog328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381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283.xml" ContentType="application/vnd.openxmlformats-officedocument.spreadsheetml.revisionLog+xml"/>
  <Override PartName="/xl/revisions/revisionLog339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350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273.xml" ContentType="application/vnd.openxmlformats-officedocument.spreadsheetml.revisionLog+xml"/>
  <Override PartName="/xl/revisions/revisionLog294.xml" ContentType="application/vnd.openxmlformats-officedocument.spreadsheetml.revisionLog+xml"/>
  <Override PartName="/xl/revisions/revisionLog308.xml" ContentType="application/vnd.openxmlformats-officedocument.spreadsheetml.revisionLog+xml"/>
  <Override PartName="/xl/revisions/revisionLog329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340.xml" ContentType="application/vnd.openxmlformats-officedocument.spreadsheetml.revisionLog+xml"/>
  <Override PartName="/xl/revisions/revisionLog361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38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284.xml" ContentType="application/vnd.openxmlformats-officedocument.spreadsheetml.revisionLog+xml"/>
  <Override PartName="/xl/revisions/revisionLog319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330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351.xml" ContentType="application/vnd.openxmlformats-officedocument.spreadsheetml.revisionLog+xml"/>
  <Override PartName="/xl/revisions/revisionLog372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274.xml" ContentType="application/vnd.openxmlformats-officedocument.spreadsheetml.revisionLog+xml"/>
  <Override PartName="/xl/revisions/revisionLog295.xml" ContentType="application/vnd.openxmlformats-officedocument.spreadsheetml.revisionLog+xml"/>
  <Override PartName="/xl/revisions/revisionLog309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320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341.xml" ContentType="application/vnd.openxmlformats-officedocument.spreadsheetml.revisionLog+xml"/>
  <Override PartName="/xl/revisions/revisionLog362.xml" ContentType="application/vnd.openxmlformats-officedocument.spreadsheetml.revisionLog+xml"/>
  <Override PartName="/xl/revisions/revisionLog383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285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310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331.xml" ContentType="application/vnd.openxmlformats-officedocument.spreadsheetml.revisionLog+xml"/>
  <Override PartName="/xl/revisions/revisionLog352.xml" ContentType="application/vnd.openxmlformats-officedocument.spreadsheetml.revisionLog+xml"/>
  <Override PartName="/xl/revisions/revisionLog373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275.xml" ContentType="application/vnd.openxmlformats-officedocument.spreadsheetml.revisionLog+xml"/>
  <Override PartName="/xl/revisions/revisionLog296.xml" ContentType="application/vnd.openxmlformats-officedocument.spreadsheetml.revisionLog+xml"/>
  <Override PartName="/xl/revisions/revisionLog300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321.xml" ContentType="application/vnd.openxmlformats-officedocument.spreadsheetml.revisionLog+xml"/>
  <Override PartName="/xl/revisions/revisionLog342.xml" ContentType="application/vnd.openxmlformats-officedocument.spreadsheetml.revisionLog+xml"/>
  <Override PartName="/xl/revisions/revisionLog363.xml" ContentType="application/vnd.openxmlformats-officedocument.spreadsheetml.revisionLog+xml"/>
  <Override PartName="/xl/revisions/revisionLog384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286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311.xml" ContentType="application/vnd.openxmlformats-officedocument.spreadsheetml.revisionLog+xml"/>
  <Override PartName="/xl/revisions/revisionLog332.xml" ContentType="application/vnd.openxmlformats-officedocument.spreadsheetml.revisionLog+xml"/>
  <Override PartName="/xl/revisions/revisionLog353.xml" ContentType="application/vnd.openxmlformats-officedocument.spreadsheetml.revisionLog+xml"/>
  <Override PartName="/xl/revisions/revisionLog374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255.xml" ContentType="application/vnd.openxmlformats-officedocument.spreadsheetml.revisionLog+xml"/>
  <Override PartName="/xl/revisions/revisionLog276.xml" ContentType="application/vnd.openxmlformats-officedocument.spreadsheetml.revisionLog+xml"/>
  <Override PartName="/xl/revisions/revisionLog29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301.xml" ContentType="application/vnd.openxmlformats-officedocument.spreadsheetml.revisionLog+xml"/>
  <Override PartName="/xl/revisions/revisionLog322.xml" ContentType="application/vnd.openxmlformats-officedocument.spreadsheetml.revisionLog+xml"/>
  <Override PartName="/xl/revisions/revisionLog343.xml" ContentType="application/vnd.openxmlformats-officedocument.spreadsheetml.revisionLog+xml"/>
  <Override PartName="/xl/revisions/revisionLog364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266.xml" ContentType="application/vnd.openxmlformats-officedocument.spreadsheetml.revisionLog+xml"/>
  <Override PartName="/xl/revisions/revisionLog28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312.xml" ContentType="application/vnd.openxmlformats-officedocument.spreadsheetml.revisionLog+xml"/>
  <Override PartName="/xl/revisions/revisionLog333.xml" ContentType="application/vnd.openxmlformats-officedocument.spreadsheetml.revisionLog+xml"/>
  <Override PartName="/xl/revisions/revisionLog354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375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277.xml" ContentType="application/vnd.openxmlformats-officedocument.spreadsheetml.revisionLog+xml"/>
  <Override PartName="/xl/revisions/revisionLog298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302.xml" ContentType="application/vnd.openxmlformats-officedocument.spreadsheetml.revisionLog+xml"/>
  <Override PartName="/xl/revisions/revisionLog323.xml" ContentType="application/vnd.openxmlformats-officedocument.spreadsheetml.revisionLog+xml"/>
  <Override PartName="/xl/revisions/revisionLog344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365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267.xml" ContentType="application/vnd.openxmlformats-officedocument.spreadsheetml.revisionLog+xml"/>
  <Override PartName="/xl/revisions/revisionLog288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313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334.xml" ContentType="application/vnd.openxmlformats-officedocument.spreadsheetml.revisionLog+xml"/>
  <Override PartName="/xl/revisions/revisionLog355.xml" ContentType="application/vnd.openxmlformats-officedocument.spreadsheetml.revisionLog+xml"/>
  <Override PartName="/xl/revisions/revisionLog376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278.xml" ContentType="application/vnd.openxmlformats-officedocument.spreadsheetml.revisionLog+xml"/>
  <Override PartName="/xl/revisions/revisionLog303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345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247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289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314.xml" ContentType="application/vnd.openxmlformats-officedocument.spreadsheetml.revisionLog+xml"/>
  <Override PartName="/xl/revisions/revisionLog356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325.xml" ContentType="application/vnd.openxmlformats-officedocument.spreadsheetml.revisionLog+xml"/>
  <Override PartName="/xl/revisions/revisionLog367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269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280.xml" ContentType="application/vnd.openxmlformats-officedocument.spreadsheetml.revisionLog+xml"/>
  <Override PartName="/xl/revisions/revisionLog336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378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291.xml" ContentType="application/vnd.openxmlformats-officedocument.spreadsheetml.revisionLog+xml"/>
  <Override PartName="/xl/revisions/revisionLog305.xml" ContentType="application/vnd.openxmlformats-officedocument.spreadsheetml.revisionLog+xml"/>
  <Override PartName="/xl/revisions/revisionLog347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316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358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27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327.xml" ContentType="application/vnd.openxmlformats-officedocument.spreadsheetml.revisionLog+xml"/>
  <Override PartName="/xl/revisions/revisionLog369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380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282.xml" ContentType="application/vnd.openxmlformats-officedocument.spreadsheetml.revisionLog+xml"/>
  <Override PartName="/xl/revisions/revisionLog338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293.xml" ContentType="application/vnd.openxmlformats-officedocument.spreadsheetml.revisionLog+xml"/>
  <Override PartName="/xl/revisions/revisionLog307.xml" ContentType="application/vnd.openxmlformats-officedocument.spreadsheetml.revisionLog+xml"/>
  <Override PartName="/xl/revisions/revisionLog349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360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318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37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BOOKINGS\2026\05- May\"/>
    </mc:Choice>
  </mc:AlternateContent>
  <bookViews>
    <workbookView xWindow="0" yWindow="0" windowWidth="23040" windowHeight="9072" tabRatio="817" activeTab="14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definedNames>
    <definedName name="_xlnm._FilterDatabase" localSheetId="5" hidden="1">'6'!$D$6:$K$36</definedName>
    <definedName name="_xlnm.Print_Area" localSheetId="0">'1'!$A$1:$L$48</definedName>
    <definedName name="_xlnm.Print_Area" localSheetId="9">'10'!$A$1:$J$37</definedName>
    <definedName name="_xlnm.Print_Area" localSheetId="10">'11'!$A$1:$J$40</definedName>
    <definedName name="_xlnm.Print_Area" localSheetId="11">'12'!$A$1:$J$38</definedName>
    <definedName name="_xlnm.Print_Area" localSheetId="12">'13'!$A$1:$J$38</definedName>
    <definedName name="_xlnm.Print_Area" localSheetId="13">'14'!$A$1:$J$38</definedName>
    <definedName name="_xlnm.Print_Area" localSheetId="14">'15'!$A$1:$J$38</definedName>
    <definedName name="_xlnm.Print_Area" localSheetId="15">'16'!$A$1:$J$38</definedName>
    <definedName name="_xlnm.Print_Area" localSheetId="16">'17'!$A$1:$J$38</definedName>
    <definedName name="_xlnm.Print_Area" localSheetId="17">'18'!$A$1:$J$38</definedName>
    <definedName name="_xlnm.Print_Area" localSheetId="18">'19'!$A$1:$J$38</definedName>
    <definedName name="_xlnm.Print_Area" localSheetId="1">'2'!$A$1:$L$29</definedName>
    <definedName name="_xlnm.Print_Area" localSheetId="19">'20'!$A$1:$J$38</definedName>
    <definedName name="_xlnm.Print_Area" localSheetId="20">'21'!$A$1:$J$38</definedName>
    <definedName name="_xlnm.Print_Area" localSheetId="21">'22'!$A$1:$J$38</definedName>
    <definedName name="_xlnm.Print_Area" localSheetId="22">'23'!$A$1:$J$38</definedName>
    <definedName name="_xlnm.Print_Area" localSheetId="23">'24'!$A$1:$J$38</definedName>
    <definedName name="_xlnm.Print_Area" localSheetId="24">'25'!$A$1:$J$38</definedName>
    <definedName name="_xlnm.Print_Area" localSheetId="25">'26'!$A$1:$J$38</definedName>
    <definedName name="_xlnm.Print_Area" localSheetId="26">'27'!$A$1:$J$38</definedName>
    <definedName name="_xlnm.Print_Area" localSheetId="27">'28'!$A$1:$J$38</definedName>
    <definedName name="_xlnm.Print_Area" localSheetId="28">'29'!$A$1:$J$38</definedName>
    <definedName name="_xlnm.Print_Area" localSheetId="2">'3'!$A$1:$J$27</definedName>
    <definedName name="_xlnm.Print_Area" localSheetId="29">'30'!$A$1:$J$38</definedName>
    <definedName name="_xlnm.Print_Area" localSheetId="30">'31'!$A$1:$J$38</definedName>
    <definedName name="_xlnm.Print_Area" localSheetId="3">'4'!$A$1:$L$26</definedName>
    <definedName name="_xlnm.Print_Area" localSheetId="4">'5'!$A$1:$L$34</definedName>
    <definedName name="_xlnm.Print_Area" localSheetId="5">'6'!$A$1:$L$49</definedName>
    <definedName name="_xlnm.Print_Area" localSheetId="6">'7'!$A$1:$L$37</definedName>
    <definedName name="_xlnm.Print_Area" localSheetId="7">'8'!$A$1:$J$33</definedName>
    <definedName name="_xlnm.Print_Area" localSheetId="8">'9'!$A$1:$J$39</definedName>
    <definedName name="Z_6222734F_EF03_4A42_A0AF_7421F8747AA6_.wvu.FilterData" localSheetId="5" hidden="1">'6'!$D$6:$K$36</definedName>
    <definedName name="Z_6222734F_EF03_4A42_A0AF_7421F8747AA6_.wvu.PrintArea" localSheetId="0" hidden="1">'1'!$A$1:$L$48</definedName>
    <definedName name="Z_6222734F_EF03_4A42_A0AF_7421F8747AA6_.wvu.PrintArea" localSheetId="9" hidden="1">'10'!$A$1:$J$37</definedName>
    <definedName name="Z_6222734F_EF03_4A42_A0AF_7421F8747AA6_.wvu.PrintArea" localSheetId="10" hidden="1">'11'!$A$1:$J$40</definedName>
    <definedName name="Z_6222734F_EF03_4A42_A0AF_7421F8747AA6_.wvu.PrintArea" localSheetId="11" hidden="1">'12'!$A$1:$J$38</definedName>
    <definedName name="Z_6222734F_EF03_4A42_A0AF_7421F8747AA6_.wvu.PrintArea" localSheetId="12" hidden="1">'13'!$A$1:$J$38</definedName>
    <definedName name="Z_6222734F_EF03_4A42_A0AF_7421F8747AA6_.wvu.PrintArea" localSheetId="13" hidden="1">'14'!$A$1:$J$38</definedName>
    <definedName name="Z_6222734F_EF03_4A42_A0AF_7421F8747AA6_.wvu.PrintArea" localSheetId="14" hidden="1">'15'!$A$1:$J$38</definedName>
    <definedName name="Z_6222734F_EF03_4A42_A0AF_7421F8747AA6_.wvu.PrintArea" localSheetId="15" hidden="1">'16'!$A$1:$J$38</definedName>
    <definedName name="Z_6222734F_EF03_4A42_A0AF_7421F8747AA6_.wvu.PrintArea" localSheetId="16" hidden="1">'17'!$A$1:$J$38</definedName>
    <definedName name="Z_6222734F_EF03_4A42_A0AF_7421F8747AA6_.wvu.PrintArea" localSheetId="17" hidden="1">'18'!$A$1:$J$38</definedName>
    <definedName name="Z_6222734F_EF03_4A42_A0AF_7421F8747AA6_.wvu.PrintArea" localSheetId="18" hidden="1">'19'!$A$1:$J$38</definedName>
    <definedName name="Z_6222734F_EF03_4A42_A0AF_7421F8747AA6_.wvu.PrintArea" localSheetId="1" hidden="1">'2'!$A$1:$L$29</definedName>
    <definedName name="Z_6222734F_EF03_4A42_A0AF_7421F8747AA6_.wvu.PrintArea" localSheetId="19" hidden="1">'20'!$A$1:$J$38</definedName>
    <definedName name="Z_6222734F_EF03_4A42_A0AF_7421F8747AA6_.wvu.PrintArea" localSheetId="20" hidden="1">'21'!$A$1:$J$38</definedName>
    <definedName name="Z_6222734F_EF03_4A42_A0AF_7421F8747AA6_.wvu.PrintArea" localSheetId="21" hidden="1">'22'!$A$1:$J$38</definedName>
    <definedName name="Z_6222734F_EF03_4A42_A0AF_7421F8747AA6_.wvu.PrintArea" localSheetId="22" hidden="1">'23'!$A$1:$J$38</definedName>
    <definedName name="Z_6222734F_EF03_4A42_A0AF_7421F8747AA6_.wvu.PrintArea" localSheetId="23" hidden="1">'24'!$A$1:$J$38</definedName>
    <definedName name="Z_6222734F_EF03_4A42_A0AF_7421F8747AA6_.wvu.PrintArea" localSheetId="24" hidden="1">'25'!$A$1:$J$38</definedName>
    <definedName name="Z_6222734F_EF03_4A42_A0AF_7421F8747AA6_.wvu.PrintArea" localSheetId="25" hidden="1">'26'!$A$1:$J$38</definedName>
    <definedName name="Z_6222734F_EF03_4A42_A0AF_7421F8747AA6_.wvu.PrintArea" localSheetId="26" hidden="1">'27'!$A$1:$J$38</definedName>
    <definedName name="Z_6222734F_EF03_4A42_A0AF_7421F8747AA6_.wvu.PrintArea" localSheetId="27" hidden="1">'28'!$A$1:$J$38</definedName>
    <definedName name="Z_6222734F_EF03_4A42_A0AF_7421F8747AA6_.wvu.PrintArea" localSheetId="28" hidden="1">'29'!$A$1:$J$38</definedName>
    <definedName name="Z_6222734F_EF03_4A42_A0AF_7421F8747AA6_.wvu.PrintArea" localSheetId="2" hidden="1">'3'!$A$1:$J$27</definedName>
    <definedName name="Z_6222734F_EF03_4A42_A0AF_7421F8747AA6_.wvu.PrintArea" localSheetId="29" hidden="1">'30'!$A$1:$J$38</definedName>
    <definedName name="Z_6222734F_EF03_4A42_A0AF_7421F8747AA6_.wvu.PrintArea" localSheetId="30" hidden="1">'31'!$A$1:$J$38</definedName>
    <definedName name="Z_6222734F_EF03_4A42_A0AF_7421F8747AA6_.wvu.PrintArea" localSheetId="3" hidden="1">'4'!$A$1:$L$26</definedName>
    <definedName name="Z_6222734F_EF03_4A42_A0AF_7421F8747AA6_.wvu.PrintArea" localSheetId="4" hidden="1">'5'!$A$1:$L$34</definedName>
    <definedName name="Z_6222734F_EF03_4A42_A0AF_7421F8747AA6_.wvu.PrintArea" localSheetId="5" hidden="1">'6'!$A$1:$L$49</definedName>
    <definedName name="Z_6222734F_EF03_4A42_A0AF_7421F8747AA6_.wvu.PrintArea" localSheetId="6" hidden="1">'7'!$A$1:$L$37</definedName>
    <definedName name="Z_6222734F_EF03_4A42_A0AF_7421F8747AA6_.wvu.PrintArea" localSheetId="7" hidden="1">'8'!$A$1:$J$33</definedName>
    <definedName name="Z_6222734F_EF03_4A42_A0AF_7421F8747AA6_.wvu.PrintArea" localSheetId="8" hidden="1">'9'!$A$1:$J$39</definedName>
    <definedName name="Z_AF620B39_788E_4983_8793_E9B224213D26_.wvu.PrintArea" localSheetId="0" hidden="1">'1'!$A$1:$L$48</definedName>
    <definedName name="Z_AF620B39_788E_4983_8793_E9B224213D26_.wvu.PrintArea" localSheetId="9" hidden="1">'10'!$A$1:$J$37</definedName>
    <definedName name="Z_AF620B39_788E_4983_8793_E9B224213D26_.wvu.PrintArea" localSheetId="10" hidden="1">'11'!$A$1:$J$40</definedName>
    <definedName name="Z_AF620B39_788E_4983_8793_E9B224213D26_.wvu.PrintArea" localSheetId="11" hidden="1">'12'!$A$1:$J$38</definedName>
    <definedName name="Z_AF620B39_788E_4983_8793_E9B224213D26_.wvu.PrintArea" localSheetId="12" hidden="1">'13'!$A$1:$J$38</definedName>
    <definedName name="Z_AF620B39_788E_4983_8793_E9B224213D26_.wvu.PrintArea" localSheetId="13" hidden="1">'14'!$A$1:$J$38</definedName>
    <definedName name="Z_AF620B39_788E_4983_8793_E9B224213D26_.wvu.PrintArea" localSheetId="14" hidden="1">'15'!$A$1:$J$38</definedName>
    <definedName name="Z_AF620B39_788E_4983_8793_E9B224213D26_.wvu.PrintArea" localSheetId="15" hidden="1">'16'!$A$1:$J$38</definedName>
    <definedName name="Z_AF620B39_788E_4983_8793_E9B224213D26_.wvu.PrintArea" localSheetId="16" hidden="1">'17'!$A$1:$J$38</definedName>
    <definedName name="Z_AF620B39_788E_4983_8793_E9B224213D26_.wvu.PrintArea" localSheetId="17" hidden="1">'18'!$A$1:$J$38</definedName>
    <definedName name="Z_AF620B39_788E_4983_8793_E9B224213D26_.wvu.PrintArea" localSheetId="18" hidden="1">'19'!$A$1:$J$38</definedName>
    <definedName name="Z_AF620B39_788E_4983_8793_E9B224213D26_.wvu.PrintArea" localSheetId="1" hidden="1">'2'!$A$1:$L$29</definedName>
    <definedName name="Z_AF620B39_788E_4983_8793_E9B224213D26_.wvu.PrintArea" localSheetId="19" hidden="1">'20'!$A$1:$J$38</definedName>
    <definedName name="Z_AF620B39_788E_4983_8793_E9B224213D26_.wvu.PrintArea" localSheetId="20" hidden="1">'21'!$A$1:$J$38</definedName>
    <definedName name="Z_AF620B39_788E_4983_8793_E9B224213D26_.wvu.PrintArea" localSheetId="21" hidden="1">'22'!$A$1:$J$38</definedName>
    <definedName name="Z_AF620B39_788E_4983_8793_E9B224213D26_.wvu.PrintArea" localSheetId="22" hidden="1">'23'!$A$1:$J$38</definedName>
    <definedName name="Z_AF620B39_788E_4983_8793_E9B224213D26_.wvu.PrintArea" localSheetId="23" hidden="1">'24'!$A$1:$J$38</definedName>
    <definedName name="Z_AF620B39_788E_4983_8793_E9B224213D26_.wvu.PrintArea" localSheetId="24" hidden="1">'25'!$A$1:$J$38</definedName>
    <definedName name="Z_AF620B39_788E_4983_8793_E9B224213D26_.wvu.PrintArea" localSheetId="25" hidden="1">'26'!$A$1:$J$38</definedName>
    <definedName name="Z_AF620B39_788E_4983_8793_E9B224213D26_.wvu.PrintArea" localSheetId="26" hidden="1">'27'!$A$1:$J$38</definedName>
    <definedName name="Z_AF620B39_788E_4983_8793_E9B224213D26_.wvu.PrintArea" localSheetId="27" hidden="1">'28'!$A$1:$J$38</definedName>
    <definedName name="Z_AF620B39_788E_4983_8793_E9B224213D26_.wvu.PrintArea" localSheetId="28" hidden="1">'29'!$A$1:$J$38</definedName>
    <definedName name="Z_AF620B39_788E_4983_8793_E9B224213D26_.wvu.PrintArea" localSheetId="2" hidden="1">'3'!$A$1:$J$27</definedName>
    <definedName name="Z_AF620B39_788E_4983_8793_E9B224213D26_.wvu.PrintArea" localSheetId="29" hidden="1">'30'!$A$1:$J$38</definedName>
    <definedName name="Z_AF620B39_788E_4983_8793_E9B224213D26_.wvu.PrintArea" localSheetId="30" hidden="1">'31'!$A$1:$J$38</definedName>
    <definedName name="Z_AF620B39_788E_4983_8793_E9B224213D26_.wvu.PrintArea" localSheetId="3" hidden="1">'4'!$A$1:$L$26</definedName>
    <definedName name="Z_AF620B39_788E_4983_8793_E9B224213D26_.wvu.PrintArea" localSheetId="4" hidden="1">'5'!$A$1:$L$34</definedName>
    <definedName name="Z_AF620B39_788E_4983_8793_E9B224213D26_.wvu.PrintArea" localSheetId="5" hidden="1">'6'!$A$1:$L$49</definedName>
    <definedName name="Z_AF620B39_788E_4983_8793_E9B224213D26_.wvu.PrintArea" localSheetId="6" hidden="1">'7'!$A$1:$L$37</definedName>
    <definedName name="Z_AF620B39_788E_4983_8793_E9B224213D26_.wvu.PrintArea" localSheetId="7" hidden="1">'8'!$A$1:$J$33</definedName>
    <definedName name="Z_AF620B39_788E_4983_8793_E9B224213D26_.wvu.PrintArea" localSheetId="8" hidden="1">'9'!$A$1:$J$39</definedName>
    <definedName name="Z_B3797D0B_1E44_402B_AD05_6509081B1712_.wvu.FilterData" localSheetId="5" hidden="1">'6'!$D$6:$K$36</definedName>
    <definedName name="Z_B3797D0B_1E44_402B_AD05_6509081B1712_.wvu.PrintArea" localSheetId="0" hidden="1">'1'!$A$1:$L$48</definedName>
    <definedName name="Z_B3797D0B_1E44_402B_AD05_6509081B1712_.wvu.PrintArea" localSheetId="9" hidden="1">'10'!$A$1:$J$37</definedName>
    <definedName name="Z_B3797D0B_1E44_402B_AD05_6509081B1712_.wvu.PrintArea" localSheetId="10" hidden="1">'11'!$A$1:$J$40</definedName>
    <definedName name="Z_B3797D0B_1E44_402B_AD05_6509081B1712_.wvu.PrintArea" localSheetId="11" hidden="1">'12'!$A$1:$J$38</definedName>
    <definedName name="Z_B3797D0B_1E44_402B_AD05_6509081B1712_.wvu.PrintArea" localSheetId="12" hidden="1">'13'!$A$1:$J$38</definedName>
    <definedName name="Z_B3797D0B_1E44_402B_AD05_6509081B1712_.wvu.PrintArea" localSheetId="13" hidden="1">'14'!$A$1:$J$38</definedName>
    <definedName name="Z_B3797D0B_1E44_402B_AD05_6509081B1712_.wvu.PrintArea" localSheetId="14" hidden="1">'15'!$A$1:$J$38</definedName>
    <definedName name="Z_B3797D0B_1E44_402B_AD05_6509081B1712_.wvu.PrintArea" localSheetId="15" hidden="1">'16'!$A$1:$J$38</definedName>
    <definedName name="Z_B3797D0B_1E44_402B_AD05_6509081B1712_.wvu.PrintArea" localSheetId="16" hidden="1">'17'!$A$1:$J$38</definedName>
    <definedName name="Z_B3797D0B_1E44_402B_AD05_6509081B1712_.wvu.PrintArea" localSheetId="17" hidden="1">'18'!$A$1:$J$38</definedName>
    <definedName name="Z_B3797D0B_1E44_402B_AD05_6509081B1712_.wvu.PrintArea" localSheetId="18" hidden="1">'19'!$A$1:$J$38</definedName>
    <definedName name="Z_B3797D0B_1E44_402B_AD05_6509081B1712_.wvu.PrintArea" localSheetId="1" hidden="1">'2'!$A$1:$L$29</definedName>
    <definedName name="Z_B3797D0B_1E44_402B_AD05_6509081B1712_.wvu.PrintArea" localSheetId="19" hidden="1">'20'!$A$1:$J$38</definedName>
    <definedName name="Z_B3797D0B_1E44_402B_AD05_6509081B1712_.wvu.PrintArea" localSheetId="20" hidden="1">'21'!$A$1:$J$38</definedName>
    <definedName name="Z_B3797D0B_1E44_402B_AD05_6509081B1712_.wvu.PrintArea" localSheetId="21" hidden="1">'22'!$A$1:$J$38</definedName>
    <definedName name="Z_B3797D0B_1E44_402B_AD05_6509081B1712_.wvu.PrintArea" localSheetId="22" hidden="1">'23'!$A$1:$J$38</definedName>
    <definedName name="Z_B3797D0B_1E44_402B_AD05_6509081B1712_.wvu.PrintArea" localSheetId="23" hidden="1">'24'!$A$1:$J$38</definedName>
    <definedName name="Z_B3797D0B_1E44_402B_AD05_6509081B1712_.wvu.PrintArea" localSheetId="24" hidden="1">'25'!$A$1:$J$38</definedName>
    <definedName name="Z_B3797D0B_1E44_402B_AD05_6509081B1712_.wvu.PrintArea" localSheetId="25" hidden="1">'26'!$A$1:$J$38</definedName>
    <definedName name="Z_B3797D0B_1E44_402B_AD05_6509081B1712_.wvu.PrintArea" localSheetId="26" hidden="1">'27'!$A$1:$J$38</definedName>
    <definedName name="Z_B3797D0B_1E44_402B_AD05_6509081B1712_.wvu.PrintArea" localSheetId="27" hidden="1">'28'!$A$1:$J$38</definedName>
    <definedName name="Z_B3797D0B_1E44_402B_AD05_6509081B1712_.wvu.PrintArea" localSheetId="28" hidden="1">'29'!$A$1:$J$38</definedName>
    <definedName name="Z_B3797D0B_1E44_402B_AD05_6509081B1712_.wvu.PrintArea" localSheetId="2" hidden="1">'3'!$A$1:$J$27</definedName>
    <definedName name="Z_B3797D0B_1E44_402B_AD05_6509081B1712_.wvu.PrintArea" localSheetId="29" hidden="1">'30'!$A$1:$J$38</definedName>
    <definedName name="Z_B3797D0B_1E44_402B_AD05_6509081B1712_.wvu.PrintArea" localSheetId="30" hidden="1">'31'!$A$1:$J$38</definedName>
    <definedName name="Z_B3797D0B_1E44_402B_AD05_6509081B1712_.wvu.PrintArea" localSheetId="3" hidden="1">'4'!$A$1:$L$26</definedName>
    <definedName name="Z_B3797D0B_1E44_402B_AD05_6509081B1712_.wvu.PrintArea" localSheetId="4" hidden="1">'5'!$A$1:$L$34</definedName>
    <definedName name="Z_B3797D0B_1E44_402B_AD05_6509081B1712_.wvu.PrintArea" localSheetId="5" hidden="1">'6'!$A$1:$L$49</definedName>
    <definedName name="Z_B3797D0B_1E44_402B_AD05_6509081B1712_.wvu.PrintArea" localSheetId="6" hidden="1">'7'!$A$1:$L$37</definedName>
    <definedName name="Z_B3797D0B_1E44_402B_AD05_6509081B1712_.wvu.PrintArea" localSheetId="7" hidden="1">'8'!$A$1:$J$33</definedName>
    <definedName name="Z_B3797D0B_1E44_402B_AD05_6509081B1712_.wvu.PrintArea" localSheetId="8" hidden="1">'9'!$A$1:$J$39</definedName>
  </definedNames>
  <calcPr calcId="162913" calcOnSave="0"/>
  <customWorkbookViews>
    <customWorkbookView name="Assistant DiveCenter Manager - Personal View" guid="{B3797D0B-1E44-402B-AD05-6509081B1712}" mergeInterval="0" personalView="1" maximized="1" xWindow="-9" yWindow="-9" windowWidth="1938" windowHeight="1038" tabRatio="817" activeSheetId="29"/>
    <customWorkbookView name="Dive Centre Office - Personal View" guid="{6222734F-EF03-4A42-A0AF-7421F8747AA6}" mergeInterval="0" personalView="1" maximized="1" xWindow="-9" yWindow="-9" windowWidth="1938" windowHeight="1038" tabRatio="817" activeSheetId="14"/>
    <customWorkbookView name="Dhigurah Water Sports - Personal View" guid="{AF620B39-788E-4983-8793-E9B224213D26}" mergeInterval="0" personalView="1" maximized="1" xWindow="-8" yWindow="-8" windowWidth="1382" windowHeight="736" tabRatio="817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1" i="14" l="1"/>
  <c r="E27" i="14" l="1"/>
  <c r="J19" i="13"/>
  <c r="J14" i="13"/>
  <c r="J12" i="13"/>
  <c r="J7" i="13"/>
  <c r="J13" i="13"/>
  <c r="J9" i="13"/>
  <c r="J17" i="13"/>
  <c r="J16" i="13"/>
  <c r="J15" i="13"/>
  <c r="J10" i="13"/>
  <c r="J8" i="12" l="1"/>
  <c r="J24" i="12"/>
  <c r="J19" i="12"/>
  <c r="J15" i="12"/>
  <c r="J25" i="12"/>
  <c r="J20" i="12"/>
  <c r="J9" i="12"/>
  <c r="J23" i="12"/>
  <c r="J18" i="12"/>
  <c r="J12" i="12"/>
  <c r="F27" i="12" l="1"/>
  <c r="E27" i="12"/>
  <c r="E27" i="11" l="1"/>
  <c r="J17" i="10"/>
  <c r="J18" i="10"/>
  <c r="J15" i="10"/>
  <c r="J14" i="10"/>
  <c r="J8" i="10"/>
  <c r="J12" i="10"/>
  <c r="J9" i="9" l="1"/>
  <c r="J12" i="9" l="1"/>
  <c r="J11" i="9"/>
  <c r="E29" i="9" l="1"/>
  <c r="F23" i="8" l="1"/>
  <c r="E23" i="8"/>
  <c r="G27" i="7" l="1"/>
  <c r="L9" i="6" l="1"/>
  <c r="L10" i="6"/>
  <c r="L11" i="6"/>
  <c r="L13" i="6"/>
  <c r="L14" i="6"/>
  <c r="L15" i="6"/>
  <c r="L16" i="6"/>
  <c r="L17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6" i="6"/>
  <c r="G39" i="6" l="1"/>
  <c r="G24" i="5" l="1"/>
  <c r="H16" i="4" l="1"/>
  <c r="G16" i="4"/>
  <c r="F17" i="3" l="1"/>
  <c r="E17" i="3"/>
  <c r="J16" i="3"/>
  <c r="L35" i="1" l="1"/>
  <c r="L33" i="1"/>
  <c r="L27" i="1"/>
  <c r="L26" i="1"/>
  <c r="L24" i="1"/>
  <c r="L23" i="1"/>
  <c r="L22" i="1"/>
  <c r="L20" i="1"/>
  <c r="L15" i="1"/>
  <c r="L14" i="1"/>
  <c r="L36" i="1"/>
  <c r="G37" i="1" l="1"/>
  <c r="H37" i="1" l="1"/>
  <c r="I5" i="31" l="1"/>
  <c r="I5" i="30"/>
  <c r="I5" i="29"/>
  <c r="I5" i="28"/>
  <c r="I5" i="27"/>
  <c r="I5" i="26"/>
  <c r="I5" i="25"/>
  <c r="I5" i="24"/>
  <c r="I5" i="23"/>
  <c r="I5" i="22"/>
  <c r="I5" i="21"/>
  <c r="I5" i="20"/>
  <c r="I5" i="19"/>
  <c r="I5" i="18"/>
  <c r="I5" i="17"/>
  <c r="I5" i="16"/>
  <c r="I5" i="15"/>
  <c r="I5" i="14"/>
  <c r="I5" i="13"/>
  <c r="I5" i="12"/>
  <c r="I5" i="11"/>
  <c r="I5" i="10"/>
  <c r="I5" i="9"/>
  <c r="I5" i="8"/>
  <c r="K5" i="7"/>
  <c r="K5" i="6"/>
  <c r="K5" i="5"/>
  <c r="K5" i="4"/>
  <c r="I5" i="3"/>
  <c r="K5" i="2"/>
  <c r="K5" i="1"/>
  <c r="J26" i="31" l="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J12" i="31"/>
  <c r="J11" i="31"/>
  <c r="J10" i="31"/>
  <c r="J9" i="31"/>
  <c r="J8" i="31"/>
  <c r="J26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26" i="29"/>
  <c r="J25" i="29"/>
  <c r="J24" i="29"/>
  <c r="J23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8" i="28"/>
  <c r="J7" i="28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26" i="26"/>
  <c r="J25" i="26"/>
  <c r="J24" i="26"/>
  <c r="J23" i="26"/>
  <c r="J22" i="26"/>
  <c r="J21" i="26"/>
  <c r="J20" i="26"/>
  <c r="J19" i="26"/>
  <c r="J18" i="26"/>
  <c r="J17" i="26"/>
  <c r="J16" i="26"/>
  <c r="J15" i="26"/>
  <c r="J14" i="26"/>
  <c r="J13" i="26"/>
  <c r="J12" i="26"/>
  <c r="J11" i="26"/>
  <c r="J10" i="26"/>
  <c r="J9" i="26"/>
  <c r="J8" i="26"/>
  <c r="J7" i="26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J7" i="25"/>
  <c r="J26" i="24"/>
  <c r="J25" i="24"/>
  <c r="J24" i="24"/>
  <c r="J23" i="24"/>
  <c r="J22" i="24"/>
  <c r="J21" i="24"/>
  <c r="J20" i="24"/>
  <c r="J19" i="24"/>
  <c r="J18" i="24"/>
  <c r="J17" i="24"/>
  <c r="J16" i="24"/>
  <c r="J15" i="24"/>
  <c r="J14" i="24"/>
  <c r="J13" i="24"/>
  <c r="J12" i="24"/>
  <c r="J11" i="24"/>
  <c r="J10" i="24"/>
  <c r="J9" i="24"/>
  <c r="J8" i="24"/>
  <c r="J7" i="24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J26" i="22"/>
  <c r="J25" i="22"/>
  <c r="J24" i="22"/>
  <c r="J23" i="22"/>
  <c r="J22" i="22"/>
  <c r="J21" i="22"/>
  <c r="J20" i="22"/>
  <c r="J19" i="22"/>
  <c r="J18" i="22"/>
  <c r="J17" i="22"/>
  <c r="J16" i="22"/>
  <c r="J15" i="22"/>
  <c r="J14" i="22"/>
  <c r="J13" i="22"/>
  <c r="J12" i="22"/>
  <c r="J11" i="22"/>
  <c r="J10" i="22"/>
  <c r="J9" i="22"/>
  <c r="J8" i="22"/>
  <c r="J7" i="22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26" i="14"/>
  <c r="J25" i="14"/>
  <c r="J24" i="14"/>
  <c r="J23" i="14"/>
  <c r="J22" i="14"/>
  <c r="J21" i="14"/>
  <c r="J20" i="14"/>
  <c r="J19" i="14"/>
  <c r="J18" i="14"/>
  <c r="J17" i="14"/>
  <c r="J16" i="14"/>
  <c r="J15" i="14"/>
  <c r="J10" i="14"/>
  <c r="J9" i="14"/>
  <c r="J8" i="14"/>
  <c r="J12" i="14"/>
  <c r="J7" i="14"/>
  <c r="J20" i="13"/>
  <c r="J8" i="13"/>
  <c r="J18" i="13"/>
  <c r="J11" i="13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9" i="11"/>
  <c r="J8" i="11"/>
  <c r="J26" i="10"/>
  <c r="J25" i="10"/>
  <c r="J24" i="10"/>
  <c r="J23" i="10"/>
  <c r="J22" i="10"/>
  <c r="J21" i="10"/>
  <c r="J20" i="10"/>
  <c r="J19" i="10"/>
  <c r="J16" i="10"/>
  <c r="J13" i="10"/>
  <c r="J11" i="10"/>
  <c r="J10" i="10"/>
  <c r="J9" i="10"/>
  <c r="J7" i="10"/>
  <c r="J28" i="9"/>
  <c r="J27" i="9"/>
  <c r="J26" i="9"/>
  <c r="J25" i="9"/>
  <c r="J8" i="9"/>
  <c r="J22" i="8"/>
  <c r="J21" i="8"/>
  <c r="J8" i="8"/>
  <c r="J19" i="8"/>
  <c r="J18" i="8"/>
  <c r="J17" i="8"/>
  <c r="J10" i="8"/>
  <c r="J12" i="8"/>
  <c r="J20" i="8"/>
  <c r="J15" i="8"/>
  <c r="J11" i="8"/>
  <c r="J9" i="8"/>
  <c r="L26" i="7"/>
  <c r="L25" i="7"/>
  <c r="L24" i="7"/>
  <c r="L23" i="7"/>
  <c r="L22" i="7"/>
  <c r="L21" i="7"/>
  <c r="L20" i="7"/>
  <c r="L19" i="7"/>
  <c r="L18" i="7"/>
  <c r="L17" i="7"/>
  <c r="L16" i="7"/>
  <c r="L13" i="7"/>
  <c r="L12" i="7"/>
  <c r="L11" i="7"/>
  <c r="L10" i="7"/>
  <c r="L9" i="7"/>
  <c r="L7" i="6"/>
  <c r="L23" i="5"/>
  <c r="L22" i="5"/>
  <c r="L21" i="5"/>
  <c r="L20" i="5"/>
  <c r="L18" i="5"/>
  <c r="L17" i="5"/>
  <c r="L14" i="5"/>
  <c r="L13" i="5"/>
  <c r="L12" i="5"/>
  <c r="L11" i="5"/>
  <c r="L19" i="5"/>
  <c r="L9" i="5"/>
  <c r="L8" i="5"/>
  <c r="L16" i="5"/>
  <c r="L15" i="4"/>
  <c r="L14" i="4"/>
  <c r="L13" i="4"/>
  <c r="L11" i="4"/>
  <c r="L10" i="4"/>
  <c r="L9" i="4"/>
  <c r="L8" i="4"/>
  <c r="L7" i="4"/>
  <c r="J15" i="3"/>
  <c r="J14" i="3"/>
  <c r="J10" i="3"/>
  <c r="J9" i="3"/>
  <c r="J8" i="3"/>
  <c r="J7" i="3"/>
  <c r="J11" i="3"/>
  <c r="L17" i="2"/>
  <c r="L16" i="2"/>
  <c r="L10" i="2"/>
  <c r="L8" i="2"/>
  <c r="L15" i="2"/>
  <c r="L11" i="2"/>
  <c r="L7" i="2"/>
  <c r="L13" i="2"/>
  <c r="L8" i="1"/>
  <c r="J7" i="30" l="1"/>
  <c r="J7" i="31" l="1"/>
  <c r="E37" i="1" l="1"/>
  <c r="F27" i="31" l="1"/>
  <c r="E27" i="31"/>
  <c r="C27" i="31" s="1"/>
  <c r="F27" i="30"/>
  <c r="E27" i="30"/>
  <c r="C27" i="30" s="1"/>
  <c r="F27" i="29"/>
  <c r="E27" i="29"/>
  <c r="C27" i="29" s="1"/>
  <c r="F27" i="28"/>
  <c r="E27" i="28"/>
  <c r="C27" i="28" s="1"/>
  <c r="F27" i="27"/>
  <c r="E27" i="27"/>
  <c r="C27" i="27" s="1"/>
  <c r="F27" i="26"/>
  <c r="E27" i="26"/>
  <c r="C27" i="26" s="1"/>
  <c r="F27" i="25"/>
  <c r="E27" i="25"/>
  <c r="C27" i="25" s="1"/>
  <c r="F27" i="24"/>
  <c r="E27" i="24"/>
  <c r="C27" i="24" s="1"/>
  <c r="F27" i="23"/>
  <c r="E27" i="23"/>
  <c r="C27" i="23" s="1"/>
  <c r="F27" i="22"/>
  <c r="E27" i="22"/>
  <c r="C27" i="22" s="1"/>
  <c r="F27" i="21"/>
  <c r="E27" i="21"/>
  <c r="C27" i="21" s="1"/>
  <c r="F27" i="20"/>
  <c r="E27" i="20"/>
  <c r="C27" i="20" s="1"/>
  <c r="F27" i="19"/>
  <c r="E27" i="19"/>
  <c r="C27" i="19" s="1"/>
  <c r="F27" i="18"/>
  <c r="E27" i="18"/>
  <c r="C27" i="18" s="1"/>
  <c r="F27" i="17"/>
  <c r="E27" i="17"/>
  <c r="C27" i="17" s="1"/>
  <c r="F27" i="16"/>
  <c r="E27" i="16"/>
  <c r="C27" i="16" s="1"/>
  <c r="F27" i="15"/>
  <c r="E27" i="15"/>
  <c r="C27" i="15" s="1"/>
  <c r="F27" i="14"/>
  <c r="C27" i="14"/>
  <c r="F27" i="13"/>
  <c r="E27" i="13"/>
  <c r="C27" i="13" s="1"/>
  <c r="C27" i="12"/>
  <c r="F27" i="11"/>
  <c r="C27" i="11"/>
  <c r="F27" i="10"/>
  <c r="E27" i="10"/>
  <c r="C27" i="10" s="1"/>
  <c r="F29" i="9"/>
  <c r="C29" i="9"/>
  <c r="C23" i="8"/>
  <c r="H27" i="7"/>
  <c r="E27" i="7"/>
  <c r="H39" i="6"/>
  <c r="E39" i="6"/>
  <c r="H24" i="5"/>
  <c r="E24" i="5"/>
  <c r="E16" i="4"/>
  <c r="C17" i="3"/>
  <c r="H18" i="2"/>
  <c r="G18" i="2"/>
  <c r="E18" i="2" s="1"/>
</calcChain>
</file>

<file path=xl/sharedStrings.xml><?xml version="1.0" encoding="utf-8"?>
<sst xmlns="http://schemas.openxmlformats.org/spreadsheetml/2006/main" count="1552" uniqueCount="313">
  <si>
    <t xml:space="preserve">Note :  we require a booking  of 4 guests minimum </t>
  </si>
  <si>
    <t>Room No:</t>
  </si>
  <si>
    <t>Guest Name</t>
  </si>
  <si>
    <t>Liability</t>
  </si>
  <si>
    <t>Staff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</si>
  <si>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</si>
  <si>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All prices are per person, in US $ and subject to 10% Service Charge and 12% GST </t>
  </si>
  <si>
    <t xml:space="preserve">All activity programs are subject to weather conditions and might be cancelled on short notice </t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</si>
  <si>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</si>
  <si>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</si>
  <si>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 xml:space="preserve">Any lost or damaged equipment will be charged </t>
  </si>
  <si>
    <t xml:space="preserve">Sunset Activities: Please make your booking latest the same day before 12 O'clock </t>
  </si>
  <si>
    <t xml:space="preserve">Please note the following cancellation fees:  </t>
  </si>
  <si>
    <t xml:space="preserve"> A cancellation charge of 100% of the activity price will apply for NO SHOW. </t>
  </si>
  <si>
    <t xml:space="preserve"> Thank you for your understanding </t>
  </si>
  <si>
    <t>SUNSET DOLPHIN EXCURSION  (MAX 20 PAX)  USD$65PP  17:00 TO 18:30</t>
  </si>
  <si>
    <t>Adults</t>
  </si>
  <si>
    <t>Child</t>
  </si>
  <si>
    <t xml:space="preserve">Date:                </t>
  </si>
  <si>
    <t>TOTAL</t>
  </si>
  <si>
    <t>Remarks</t>
  </si>
  <si>
    <t>Departure</t>
  </si>
  <si>
    <t>Prebooking</t>
  </si>
  <si>
    <t>MS. HO, NING-JUI</t>
  </si>
  <si>
    <t>Vifau/Shamrath</t>
  </si>
  <si>
    <t>Mr. WU, HENG-CHENG</t>
  </si>
  <si>
    <t>3014928, 3014930</t>
  </si>
  <si>
    <t>Faiha/Monica</t>
  </si>
  <si>
    <t>MAN/SZE WING MS</t>
  </si>
  <si>
    <t>OLD</t>
  </si>
  <si>
    <t>Mr Isaac KHOO Qi Wen</t>
  </si>
  <si>
    <t>Shamrath/Tarush</t>
  </si>
  <si>
    <t xml:space="preserve">MS.GU/YUEYI </t>
  </si>
  <si>
    <t xml:space="preserve">MS.XIE/YUJUAN </t>
  </si>
  <si>
    <t>ZHANG XIAN Mr</t>
  </si>
  <si>
    <t>Tarush/Shamrath</t>
  </si>
  <si>
    <t>Mr. Ross Wilson</t>
  </si>
  <si>
    <t>Mr. Philip Edward Packman</t>
  </si>
  <si>
    <t>Mr. Abhishek Vijaykumar Gandhi</t>
  </si>
  <si>
    <t>QIAN, YUJIA .MS</t>
  </si>
  <si>
    <t>MR.ZHANG/XIANG</t>
  </si>
  <si>
    <t>MR YOSHIDA/TAIZO</t>
  </si>
  <si>
    <t>Monica/Tarush</t>
  </si>
  <si>
    <t>MS.CAO/LILI</t>
  </si>
  <si>
    <t>Carl/Maaji</t>
  </si>
  <si>
    <t>MS.XUE,KAIWEI</t>
  </si>
  <si>
    <t>MR.ZHANG,PENGLEI</t>
  </si>
  <si>
    <t>3328425, 3328427 (TRMD)</t>
  </si>
  <si>
    <t>Monica/Maaji</t>
  </si>
  <si>
    <t>Lappin\Mrs. Michelle Anne</t>
  </si>
  <si>
    <t>Monica/Faiha</t>
  </si>
  <si>
    <t>CHEN,XINXIN .MS</t>
  </si>
  <si>
    <t>MR.ZHAO/YUFAN</t>
  </si>
  <si>
    <t>MS.HUANG/MIN</t>
  </si>
  <si>
    <t>Mr LOW Lii Rong (DOB: 08 Oct 1981)</t>
  </si>
  <si>
    <t>Mr HEW Chee Siong (DOB: 12 Dec 1981)</t>
  </si>
  <si>
    <t>Mr FOONG Choon Kae (DOB: 30 Nov 1977)</t>
  </si>
  <si>
    <t>MR.TSUGANE/TSUYOSHI</t>
  </si>
  <si>
    <t>Carl/Faiha</t>
  </si>
  <si>
    <t>Ms Shrey Agarwal</t>
  </si>
  <si>
    <t xml:space="preserve">MR.LI/YANG  </t>
  </si>
  <si>
    <t>MS.YUAN/CHENGHUI</t>
  </si>
  <si>
    <t>3330927, 3330928</t>
  </si>
  <si>
    <t>Sharamth/Faiha</t>
  </si>
  <si>
    <t>Miss Victoria Statham</t>
  </si>
  <si>
    <t>Shamrath/Faiha</t>
  </si>
  <si>
    <t>Gavin David Hogg</t>
  </si>
  <si>
    <t>Check if went last Thursday</t>
  </si>
  <si>
    <t>Madina/Rahil</t>
  </si>
  <si>
    <t>Ziyu Qiu</t>
  </si>
  <si>
    <t xml:space="preserve">Mrs. Tinna Berg </t>
  </si>
  <si>
    <t>Sushmita/Tarush</t>
  </si>
  <si>
    <t>Guijun Hwang</t>
  </si>
  <si>
    <t>Rahil</t>
  </si>
  <si>
    <t>SALES ENT</t>
  </si>
  <si>
    <t>Mr.  FAN TONG WEN</t>
  </si>
  <si>
    <t>3357925, 3357927 (TRMD)</t>
  </si>
  <si>
    <t>Carl/Tarush</t>
  </si>
  <si>
    <t>Kitso Lemo</t>
  </si>
  <si>
    <t>2pp</t>
  </si>
  <si>
    <t>Shen/Rahil</t>
  </si>
  <si>
    <t>Puyan Tang</t>
  </si>
  <si>
    <t>Euijin Son</t>
  </si>
  <si>
    <t>Gyeongshin Han</t>
  </si>
  <si>
    <t>UV/Faiha</t>
  </si>
  <si>
    <t>Ishan/Faiha</t>
  </si>
  <si>
    <t>Ko Natsumeda</t>
  </si>
  <si>
    <t>Xing Zhou</t>
  </si>
  <si>
    <t>Bin Wang</t>
  </si>
  <si>
    <t>ALLOCATION</t>
  </si>
  <si>
    <t>Ilyess Aissaui</t>
  </si>
  <si>
    <t>RC $100</t>
  </si>
  <si>
    <t>SAI</t>
  </si>
  <si>
    <t>Win/Faiha</t>
  </si>
  <si>
    <t>868/886</t>
  </si>
  <si>
    <t>Mengmeng Wang</t>
  </si>
  <si>
    <t>Faiha/Win</t>
  </si>
  <si>
    <t>NO POST</t>
  </si>
  <si>
    <t>Lu Sun</t>
  </si>
  <si>
    <t>666/875</t>
  </si>
  <si>
    <t>Hyeongmin Sun</t>
  </si>
  <si>
    <t>ITA(NP)</t>
  </si>
  <si>
    <t>Ulviya/Maaji</t>
  </si>
  <si>
    <t xml:space="preserve">Mellyn Carroll Family (2 Adult 1Kid) </t>
  </si>
  <si>
    <t>Ahalya/Maaji</t>
  </si>
  <si>
    <t>619/881</t>
  </si>
  <si>
    <t>MS.ZHAO/YAN</t>
  </si>
  <si>
    <t>Belyaev, Ivan</t>
  </si>
  <si>
    <t>FB</t>
  </si>
  <si>
    <t>Aiperi/Faiha</t>
  </si>
  <si>
    <t>Shota Ishizawa</t>
  </si>
  <si>
    <t>Xuan</t>
  </si>
  <si>
    <t>Tomoya Kitamoto</t>
  </si>
  <si>
    <t>UV/Tarush</t>
  </si>
  <si>
    <t>Samar Attia</t>
  </si>
  <si>
    <t>Yutaka Mataui</t>
  </si>
  <si>
    <t>Faiha</t>
  </si>
  <si>
    <t>Hojun Jeon</t>
  </si>
  <si>
    <t>Jihyeon Park</t>
  </si>
  <si>
    <t>Changmin Jun</t>
  </si>
  <si>
    <t>Jiayun Lin</t>
  </si>
  <si>
    <t>Darye Lee</t>
  </si>
  <si>
    <t>Jonathon Cavanagh</t>
  </si>
  <si>
    <t>Hao Li</t>
  </si>
  <si>
    <t>HB</t>
  </si>
  <si>
    <t>629/865</t>
  </si>
  <si>
    <t>LeI Zu</t>
  </si>
  <si>
    <t>630/867</t>
  </si>
  <si>
    <t>668/841</t>
  </si>
  <si>
    <t>681/889</t>
  </si>
  <si>
    <t>850/621</t>
  </si>
  <si>
    <t>BOOKING CLOSED</t>
  </si>
  <si>
    <t>SHADHA</t>
  </si>
  <si>
    <t>BOAT 1</t>
  </si>
  <si>
    <t>BAAZ</t>
  </si>
  <si>
    <t>BOAT 2</t>
  </si>
  <si>
    <t>Jun Seo</t>
  </si>
  <si>
    <t>Junyang Ma</t>
  </si>
  <si>
    <t>Wen Mao</t>
  </si>
  <si>
    <t>Ektha/Faiha</t>
  </si>
  <si>
    <t>Habil/Faiha</t>
  </si>
  <si>
    <t>OLD PRICE</t>
  </si>
  <si>
    <t>ALLOCATION 3 PERSON</t>
  </si>
  <si>
    <t>33++</t>
  </si>
  <si>
    <t>ZHANG/YUANWEN MS</t>
  </si>
  <si>
    <t>3085432, 3085433</t>
  </si>
  <si>
    <t>Kotaro Nakanishi</t>
  </si>
  <si>
    <t>Kyosuke Iwai</t>
  </si>
  <si>
    <t>Tianan Liu</t>
  </si>
  <si>
    <t>Seungjo Ko</t>
  </si>
  <si>
    <t>Moohyeon Yoo</t>
  </si>
  <si>
    <t>Mausoom/Faiha</t>
  </si>
  <si>
    <t>PP2</t>
  </si>
  <si>
    <t>Emilio Pena Bonilla</t>
  </si>
  <si>
    <t>Wenqi Sun</t>
  </si>
  <si>
    <t>Zizhao Wu</t>
  </si>
  <si>
    <t>Juan Cui</t>
  </si>
  <si>
    <t>Win/Maaji</t>
  </si>
  <si>
    <t>Weidong Mei</t>
  </si>
  <si>
    <t>Mingxia Zhu</t>
  </si>
  <si>
    <t>Alexandra Abramova</t>
  </si>
  <si>
    <t>Yungpeng he</t>
  </si>
  <si>
    <t>pp2</t>
  </si>
  <si>
    <t>214/301</t>
  </si>
  <si>
    <t>677/849</t>
  </si>
  <si>
    <t>818/877</t>
  </si>
  <si>
    <t>Haabil/Maaji</t>
  </si>
  <si>
    <t>Lixue Zhang</t>
  </si>
  <si>
    <t>Astrid/Maaji</t>
  </si>
  <si>
    <t>Akihide Nagase</t>
  </si>
  <si>
    <t>Xiaming Zhang</t>
  </si>
  <si>
    <t>Yuki Kimura</t>
  </si>
  <si>
    <t>Finian Odriscoll</t>
  </si>
  <si>
    <t xml:space="preserve">Mr. Shoji Matsushima </t>
  </si>
  <si>
    <t xml:space="preserve">Sales ENT </t>
  </si>
  <si>
    <t>Archana /Faiha</t>
  </si>
  <si>
    <t>606/896</t>
  </si>
  <si>
    <t>627/889</t>
  </si>
  <si>
    <t>626/888</t>
  </si>
  <si>
    <t>Dongyoung Lee</t>
  </si>
  <si>
    <t>Soohwan Kim</t>
  </si>
  <si>
    <t>Child charged at 33++</t>
  </si>
  <si>
    <t>Raahil</t>
  </si>
  <si>
    <t>Kihoko Kawai</t>
  </si>
  <si>
    <t>Yufen Zhao</t>
  </si>
  <si>
    <t>Narimichi Mokutani</t>
  </si>
  <si>
    <t>Jinyong Nam</t>
  </si>
  <si>
    <t>Archana/Faiha</t>
  </si>
  <si>
    <t>Kevin Peters</t>
  </si>
  <si>
    <t>Xuzheng Wu</t>
  </si>
  <si>
    <t>CXL 2</t>
  </si>
  <si>
    <t xml:space="preserve">NOH/GEONWOO MR  </t>
  </si>
  <si>
    <t>2778930/2778469</t>
  </si>
  <si>
    <t>PAI</t>
  </si>
  <si>
    <t>685/868</t>
  </si>
  <si>
    <t>uv/Faiha</t>
  </si>
  <si>
    <t>Tarush</t>
  </si>
  <si>
    <t>Mauro Rossetto</t>
  </si>
  <si>
    <t>Subeom Yang</t>
  </si>
  <si>
    <t>Kouji Nishiyama</t>
  </si>
  <si>
    <t>Mrs. Reka Sebok</t>
  </si>
  <si>
    <t>Mrs. Timea Bodrics</t>
  </si>
  <si>
    <t>Maaji</t>
  </si>
  <si>
    <t>Yusuke Yoshikaie</t>
  </si>
  <si>
    <t>C$100</t>
  </si>
  <si>
    <t>Minyoung Kang</t>
  </si>
  <si>
    <t>Laureano Martinez</t>
  </si>
  <si>
    <t>ITA</t>
  </si>
  <si>
    <t>BB</t>
  </si>
  <si>
    <t>Sukyoung Maeng</t>
  </si>
  <si>
    <t>Dongjun Park</t>
  </si>
  <si>
    <t>691/873</t>
  </si>
  <si>
    <t>689/890</t>
  </si>
  <si>
    <t>668/874</t>
  </si>
  <si>
    <t>621/855</t>
  </si>
  <si>
    <t>Yu, Hui</t>
  </si>
  <si>
    <t>Habil/Xuan</t>
  </si>
  <si>
    <t>SUNSET DOLPHIN EXCURSION  (MAX 27 PAX)  USD$65PP  17:00 TO 18:30</t>
  </si>
  <si>
    <t>Hai Li</t>
  </si>
  <si>
    <t>670/840</t>
  </si>
  <si>
    <t>607/846</t>
  </si>
  <si>
    <t>666/852</t>
  </si>
  <si>
    <t>669/888</t>
  </si>
  <si>
    <t>Informed</t>
  </si>
  <si>
    <t>Peirong Ning</t>
  </si>
  <si>
    <t>Yue Liu</t>
  </si>
  <si>
    <t>Koji Horikawa</t>
  </si>
  <si>
    <t>Faiha/UV</t>
  </si>
  <si>
    <t>Leyla/Faiha</t>
  </si>
  <si>
    <t>Sameena Malik</t>
  </si>
  <si>
    <t>2 pax ALLOCATION</t>
  </si>
  <si>
    <t>683/878</t>
  </si>
  <si>
    <t>685/876</t>
  </si>
  <si>
    <t>Andrew Smedley</t>
  </si>
  <si>
    <t>RC $150</t>
  </si>
  <si>
    <t>Hessko Khelo</t>
  </si>
  <si>
    <t>Susmita/Tarush</t>
  </si>
  <si>
    <t>Elizaveta Bordykova</t>
  </si>
  <si>
    <t>Maria Rymarchuk</t>
  </si>
  <si>
    <t>Dmitrii Netuzhilkin</t>
  </si>
  <si>
    <t>Olga Ayazbaeva</t>
  </si>
  <si>
    <t>Anastasia Savina</t>
  </si>
  <si>
    <t>Ekaterina Dobromyslova</t>
  </si>
  <si>
    <t>Igor Boriskin</t>
  </si>
  <si>
    <t>Kristina Zaitseva</t>
  </si>
  <si>
    <t xml:space="preserve">Mr Thasleem </t>
  </si>
  <si>
    <t>689/892</t>
  </si>
  <si>
    <t>CXL2</t>
  </si>
  <si>
    <t>Fuste Fores, Berta</t>
  </si>
  <si>
    <t xml:space="preserve">MS.ZHAO/BO </t>
  </si>
  <si>
    <r>
      <t>3372439,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4F3629"/>
        <rFont val="Arial"/>
        <family val="2"/>
      </rPr>
      <t>3372440</t>
    </r>
  </si>
  <si>
    <t>Usayyu/Faiha</t>
  </si>
  <si>
    <t>Yassir Ioumhan</t>
  </si>
  <si>
    <t>Ng Kok</t>
  </si>
  <si>
    <t>691/819</t>
  </si>
  <si>
    <t>Natsuki Maki</t>
  </si>
  <si>
    <t>ASSEYRI</t>
  </si>
  <si>
    <t>Shang Lee</t>
  </si>
  <si>
    <t>whatsapp</t>
  </si>
  <si>
    <t>PP3</t>
  </si>
  <si>
    <t>Mr. ZHANG SHU HAO</t>
  </si>
  <si>
    <t>3372438, 3372437</t>
  </si>
  <si>
    <t>MR.WANG/TENGBIAO</t>
  </si>
  <si>
    <t>3364427, 3364429</t>
  </si>
  <si>
    <t>Ussayu/Faiha</t>
  </si>
  <si>
    <t>Leyla/Tarush</t>
  </si>
  <si>
    <t>Ms. Fanling Meng</t>
  </si>
  <si>
    <t>309/306</t>
  </si>
  <si>
    <t>Astrid/Faiha</t>
  </si>
  <si>
    <t>Sergei Komar</t>
  </si>
  <si>
    <t>Kwende Monlois</t>
  </si>
  <si>
    <t>Matthew Green</t>
  </si>
  <si>
    <t>Claudio Lino Mirco</t>
  </si>
  <si>
    <t>Shuaicheng Niu</t>
  </si>
  <si>
    <t>Vladimir Medvedchikov</t>
  </si>
  <si>
    <t>Yunqian Cheng</t>
  </si>
  <si>
    <t>Hui Zhi</t>
  </si>
  <si>
    <t>Shunya Kajigaya</t>
  </si>
  <si>
    <t>Yena Lee</t>
  </si>
  <si>
    <t>856/865</t>
  </si>
  <si>
    <t>Xiaoyu Xing</t>
  </si>
  <si>
    <t>cxl2</t>
  </si>
  <si>
    <t>pp3</t>
  </si>
  <si>
    <t>pp1</t>
  </si>
  <si>
    <t>Alexandre Arnaud Banse</t>
  </si>
  <si>
    <t>Eugene Au</t>
  </si>
  <si>
    <t>Yinuo Shi</t>
  </si>
  <si>
    <t>619/862</t>
  </si>
  <si>
    <t>624/860</t>
  </si>
  <si>
    <t>630/864</t>
  </si>
  <si>
    <t>664/810</t>
  </si>
  <si>
    <t>3271928, 3271929</t>
  </si>
  <si>
    <t>CXL1</t>
  </si>
  <si>
    <t>801/665</t>
  </si>
  <si>
    <t xml:space="preserve">Mr. Claudio Asborno &amp; Mr. Marco Zanchin </t>
  </si>
  <si>
    <t xml:space="preserve">Mrs. Barbara Mangione &amp; Mrs. Marina Rossi </t>
  </si>
  <si>
    <t xml:space="preserve">Mrs. Michela Magri &amp; Mrs. Irene Chiesa </t>
  </si>
  <si>
    <t xml:space="preserve">Mrs. Simona Piras &amp; Mrs. Nicoletta Manica </t>
  </si>
  <si>
    <t xml:space="preserve">Mrs. Valentina Ghio &amp; Mrs. Elisa Loriato </t>
  </si>
  <si>
    <t>Mrs. Marinella Baglio (Turkish Airlines)</t>
  </si>
  <si>
    <t>Shintaro Kunitake</t>
  </si>
  <si>
    <t>618/847</t>
  </si>
  <si>
    <t>649/868</t>
  </si>
  <si>
    <t>Whatsapp</t>
  </si>
  <si>
    <t>863/803</t>
  </si>
  <si>
    <t>664/802</t>
  </si>
  <si>
    <t>801/617</t>
  </si>
  <si>
    <t>CXL3</t>
  </si>
  <si>
    <t>Juhwan Kim</t>
  </si>
  <si>
    <t>618/847/885</t>
  </si>
  <si>
    <t>PP 2</t>
  </si>
  <si>
    <t>ZHI YONGYANG  .Mr</t>
  </si>
  <si>
    <t>Hong, 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</si>
</sst>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2"/>
      <name val="Calibri"/>
      <family val="2"/>
    </font>
    <font>
      <sz val="11"/>
      <color rgb="FF321704"/>
      <name val="Calibri"/>
      <family val="2"/>
    </font>
    <font>
      <sz val="11"/>
      <color rgb="FF4F3629"/>
      <name val="Arial"/>
      <family val="2"/>
    </font>
    <font>
      <b/>
      <sz val="11"/>
      <color rgb="FF4F3629"/>
      <name val="Arial"/>
      <family val="2"/>
    </font>
    <font>
      <sz val="11"/>
      <color rgb="FF321704"/>
      <name val="Arial"/>
      <family val="2"/>
    </font>
    <font>
      <b/>
      <sz val="11"/>
      <color rgb="FF321704"/>
      <name val="Arial"/>
      <family val="2"/>
    </font>
    <font>
      <sz val="12"/>
      <color theme="1"/>
      <name val="Verdana"/>
      <family val="2"/>
    </font>
    <font>
      <sz val="14"/>
      <color rgb="FF4F3629"/>
      <name val="Calibri"/>
      <family val="2"/>
      <scheme val="minor"/>
    </font>
    <font>
      <sz val="14"/>
      <name val="Calibri"/>
      <family val="2"/>
      <scheme val="minor"/>
    </font>
    <font>
      <sz val="14"/>
      <color rgb="FF32170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0"/>
      <color theme="1"/>
      <name val="Verdana"/>
      <family val="2"/>
    </font>
    <font>
      <sz val="11"/>
      <color rgb="FF00000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Verdana"/>
      <family val="2"/>
    </font>
    <font>
      <b/>
      <sz val="12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14" fontId="12" fillId="0" borderId="13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14" fontId="12" fillId="0" borderId="16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4" fillId="0" borderId="18" xfId="0" applyFont="1" applyBorder="1" applyAlignment="1">
      <alignment horizontal="center"/>
    </xf>
    <xf numFmtId="14" fontId="12" fillId="0" borderId="19" xfId="0" applyNumberFormat="1" applyFont="1" applyBorder="1" applyAlignment="1">
      <alignment horizontal="center"/>
    </xf>
    <xf numFmtId="14" fontId="2" fillId="2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7" fillId="0" borderId="0" xfId="0" applyNumberFormat="1" applyFont="1" applyAlignment="1">
      <alignment horizontal="center"/>
    </xf>
    <xf numFmtId="14" fontId="8" fillId="2" borderId="0" xfId="0" applyNumberFormat="1" applyFont="1" applyFill="1" applyAlignment="1">
      <alignment horizontal="center"/>
    </xf>
    <xf numFmtId="14" fontId="9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4" fontId="3" fillId="3" borderId="6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14" fontId="11" fillId="3" borderId="0" xfId="0" applyNumberFormat="1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14" fontId="3" fillId="3" borderId="15" xfId="0" applyNumberFormat="1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14" fontId="2" fillId="3" borderId="6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14" fontId="11" fillId="3" borderId="21" xfId="0" applyNumberFormat="1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14" fontId="0" fillId="0" borderId="22" xfId="0" applyNumberFormat="1" applyBorder="1" applyAlignment="1">
      <alignment horizontal="center"/>
    </xf>
    <xf numFmtId="0" fontId="7" fillId="0" borderId="22" xfId="0" applyFont="1" applyBorder="1" applyAlignment="1">
      <alignment horizontal="left"/>
    </xf>
    <xf numFmtId="0" fontId="7" fillId="0" borderId="22" xfId="0" applyFont="1" applyBorder="1" applyAlignment="1">
      <alignment horizontal="center"/>
    </xf>
    <xf numFmtId="14" fontId="7" fillId="0" borderId="2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14" fillId="0" borderId="0" xfId="0" applyFont="1"/>
    <xf numFmtId="3" fontId="2" fillId="3" borderId="1" xfId="0" applyNumberFormat="1" applyFont="1" applyFill="1" applyBorder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justify" vertical="center"/>
    </xf>
    <xf numFmtId="3" fontId="17" fillId="0" borderId="0" xfId="0" applyNumberFormat="1" applyFont="1"/>
    <xf numFmtId="0" fontId="17" fillId="0" borderId="0" xfId="0" applyFont="1"/>
    <xf numFmtId="0" fontId="19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14" fontId="3" fillId="3" borderId="23" xfId="0" applyNumberFormat="1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" fillId="0" borderId="25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14" fontId="2" fillId="3" borderId="25" xfId="0" applyNumberFormat="1" applyFont="1" applyFill="1" applyBorder="1" applyAlignment="1">
      <alignment horizontal="center" vertical="center"/>
    </xf>
    <xf numFmtId="0" fontId="24" fillId="6" borderId="26" xfId="0" applyFont="1" applyFill="1" applyBorder="1" applyAlignment="1">
      <alignment horizontal="center"/>
    </xf>
    <xf numFmtId="0" fontId="24" fillId="6" borderId="27" xfId="0" applyFont="1" applyFill="1" applyBorder="1" applyAlignment="1">
      <alignment horizontal="center" vertical="center"/>
    </xf>
    <xf numFmtId="14" fontId="24" fillId="6" borderId="27" xfId="0" applyNumberFormat="1" applyFont="1" applyFill="1" applyBorder="1" applyAlignment="1">
      <alignment horizontal="center" vertical="center"/>
    </xf>
    <xf numFmtId="0" fontId="24" fillId="6" borderId="28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" fillId="3" borderId="2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14" fontId="2" fillId="3" borderId="6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4" fillId="9" borderId="26" xfId="0" applyFont="1" applyFill="1" applyBorder="1" applyAlignment="1">
      <alignment horizontal="center"/>
    </xf>
    <xf numFmtId="0" fontId="24" fillId="9" borderId="27" xfId="0" applyFont="1" applyFill="1" applyBorder="1" applyAlignment="1">
      <alignment horizontal="center" vertical="center"/>
    </xf>
    <xf numFmtId="14" fontId="24" fillId="9" borderId="27" xfId="0" applyNumberFormat="1" applyFont="1" applyFill="1" applyBorder="1" applyAlignment="1">
      <alignment horizontal="center" vertical="center"/>
    </xf>
    <xf numFmtId="0" fontId="24" fillId="9" borderId="28" xfId="0" applyFont="1" applyFill="1" applyBorder="1" applyAlignment="1">
      <alignment horizontal="center" vertical="center"/>
    </xf>
    <xf numFmtId="0" fontId="25" fillId="9" borderId="27" xfId="0" applyFont="1" applyFill="1" applyBorder="1" applyAlignment="1">
      <alignment horizontal="center"/>
    </xf>
    <xf numFmtId="14" fontId="25" fillId="9" borderId="27" xfId="0" applyNumberFormat="1" applyFont="1" applyFill="1" applyBorder="1" applyAlignment="1">
      <alignment horizontal="center"/>
    </xf>
    <xf numFmtId="0" fontId="24" fillId="9" borderId="27" xfId="0" applyFont="1" applyFill="1" applyBorder="1" applyAlignment="1">
      <alignment horizontal="center"/>
    </xf>
    <xf numFmtId="0" fontId="24" fillId="9" borderId="28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4" fillId="6" borderId="2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14" fontId="22" fillId="3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14" fontId="2" fillId="3" borderId="1" xfId="0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14" fontId="2" fillId="6" borderId="1" xfId="0" applyNumberFormat="1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/>
    </xf>
    <xf numFmtId="10" fontId="2" fillId="0" borderId="0" xfId="0" applyNumberFormat="1" applyFont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4" fillId="6" borderId="27" xfId="0" applyFont="1" applyFill="1" applyBorder="1" applyAlignment="1">
      <alignment horizontal="left" vertical="center"/>
    </xf>
    <xf numFmtId="0" fontId="24" fillId="6" borderId="28" xfId="0" applyFont="1" applyFill="1" applyBorder="1" applyAlignment="1">
      <alignment horizontal="left" vertical="center"/>
    </xf>
    <xf numFmtId="0" fontId="16" fillId="0" borderId="0" xfId="0" applyFont="1"/>
    <xf numFmtId="0" fontId="2" fillId="12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14" fontId="2" fillId="3" borderId="0" xfId="0" applyNumberFormat="1" applyFont="1" applyFill="1" applyBorder="1" applyAlignment="1">
      <alignment horizontal="center" vertical="center"/>
    </xf>
    <xf numFmtId="0" fontId="14" fillId="0" borderId="0" xfId="0" applyFont="1" applyFill="1"/>
    <xf numFmtId="0" fontId="2" fillId="0" borderId="0" xfId="0" applyFont="1" applyFill="1" applyAlignment="1">
      <alignment horizontal="center"/>
    </xf>
    <xf numFmtId="0" fontId="2" fillId="1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4" fontId="9" fillId="6" borderId="1" xfId="0" applyNumberFormat="1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left" vertical="center"/>
    </xf>
    <xf numFmtId="0" fontId="2" fillId="3" borderId="26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14" fontId="11" fillId="3" borderId="27" xfId="0" applyNumberFormat="1" applyFont="1" applyFill="1" applyBorder="1" applyAlignment="1">
      <alignment horizontal="center"/>
    </xf>
    <xf numFmtId="0" fontId="11" fillId="3" borderId="27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7" fillId="0" borderId="0" xfId="0" applyFont="1" applyAlignment="1">
      <alignment vertical="center"/>
    </xf>
    <xf numFmtId="0" fontId="14" fillId="0" borderId="1" xfId="0" applyFont="1" applyBorder="1"/>
    <xf numFmtId="0" fontId="2" fillId="15" borderId="25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2" fillId="14" borderId="26" xfId="0" applyFont="1" applyFill="1" applyBorder="1" applyAlignment="1">
      <alignment horizontal="center"/>
    </xf>
    <xf numFmtId="0" fontId="2" fillId="14" borderId="27" xfId="0" applyFont="1" applyFill="1" applyBorder="1" applyAlignment="1">
      <alignment horizontal="center"/>
    </xf>
    <xf numFmtId="0" fontId="3" fillId="14" borderId="27" xfId="0" applyFont="1" applyFill="1" applyBorder="1" applyAlignment="1">
      <alignment horizontal="center"/>
    </xf>
    <xf numFmtId="0" fontId="2" fillId="14" borderId="28" xfId="0" applyFont="1" applyFill="1" applyBorder="1" applyAlignment="1">
      <alignment horizontal="center"/>
    </xf>
    <xf numFmtId="0" fontId="2" fillId="14" borderId="27" xfId="0" applyFont="1" applyFill="1" applyBorder="1" applyAlignment="1">
      <alignment horizontal="center" vertical="center"/>
    </xf>
    <xf numFmtId="0" fontId="2" fillId="14" borderId="28" xfId="0" applyFont="1" applyFill="1" applyBorder="1" applyAlignment="1">
      <alignment horizontal="center" vertical="center"/>
    </xf>
    <xf numFmtId="0" fontId="25" fillId="14" borderId="27" xfId="0" applyFont="1" applyFill="1" applyBorder="1" applyAlignment="1">
      <alignment horizontal="center"/>
    </xf>
    <xf numFmtId="14" fontId="25" fillId="14" borderId="27" xfId="0" applyNumberFormat="1" applyFont="1" applyFill="1" applyBorder="1" applyAlignment="1">
      <alignment horizontal="center"/>
    </xf>
    <xf numFmtId="14" fontId="24" fillId="14" borderId="27" xfId="0" applyNumberFormat="1" applyFont="1" applyFill="1" applyBorder="1" applyAlignment="1">
      <alignment horizontal="center" vertical="center"/>
    </xf>
    <xf numFmtId="0" fontId="24" fillId="14" borderId="27" xfId="0" applyFont="1" applyFill="1" applyBorder="1" applyAlignment="1">
      <alignment horizontal="center" vertical="center"/>
    </xf>
    <xf numFmtId="0" fontId="14" fillId="6" borderId="0" xfId="0" applyFont="1" applyFill="1"/>
    <xf numFmtId="0" fontId="14" fillId="6" borderId="28" xfId="0" applyFont="1" applyFill="1" applyBorder="1"/>
    <xf numFmtId="0" fontId="14" fillId="0" borderId="28" xfId="0" applyFont="1" applyBorder="1"/>
    <xf numFmtId="0" fontId="2" fillId="0" borderId="28" xfId="0" applyFont="1" applyBorder="1" applyAlignment="1">
      <alignment horizontal="center"/>
    </xf>
    <xf numFmtId="0" fontId="14" fillId="15" borderId="28" xfId="0" applyFont="1" applyFill="1" applyBorder="1"/>
    <xf numFmtId="0" fontId="29" fillId="15" borderId="28" xfId="0" applyFont="1" applyFill="1" applyBorder="1" applyAlignment="1"/>
    <xf numFmtId="0" fontId="14" fillId="4" borderId="0" xfId="0" applyFont="1" applyFill="1"/>
    <xf numFmtId="0" fontId="14" fillId="4" borderId="28" xfId="0" applyFont="1" applyFill="1" applyBorder="1"/>
    <xf numFmtId="3" fontId="2" fillId="3" borderId="1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4" fontId="2" fillId="0" borderId="23" xfId="0" applyNumberFormat="1" applyFont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14" fillId="15" borderId="0" xfId="0" applyFont="1" applyFill="1"/>
    <xf numFmtId="0" fontId="2" fillId="0" borderId="6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32" xfId="0" applyFill="1" applyBorder="1"/>
    <xf numFmtId="0" fontId="2" fillId="0" borderId="1" xfId="0" applyNumberFormat="1" applyFont="1" applyFill="1" applyBorder="1" applyAlignment="1">
      <alignment horizontal="center" vertical="center"/>
    </xf>
    <xf numFmtId="0" fontId="29" fillId="15" borderId="0" xfId="0" applyFont="1" applyFill="1" applyAlignment="1"/>
    <xf numFmtId="0" fontId="0" fillId="0" borderId="1" xfId="0" applyFill="1" applyBorder="1"/>
    <xf numFmtId="0" fontId="6" fillId="0" borderId="0" xfId="0" applyFont="1" applyFill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0" fillId="0" borderId="0" xfId="0" applyFont="1" applyAlignment="1">
      <alignment vertical="center"/>
    </xf>
    <xf numFmtId="0" fontId="6" fillId="0" borderId="2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31" fillId="4" borderId="0" xfId="0" applyFont="1" applyFill="1"/>
  </cellXfs>
  <cellStyles count="1">
    <cellStyle name="Normal" xfId="0" builtinId="0"/>
  </cellStyles>
  <dxfs count="3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usernames" Target="revisions/userNam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revisionHeaders" Target="revisions/revisionHeader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206292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201488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208540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203051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F2B405-16BE-49B7-B61C-295BDEC62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009A74-2D70-4641-A04E-37B05F801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59EE6-D8B2-46AE-A5D4-68CA3F66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3547A8-D3EB-412D-838E-8923203DA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110044-91FC-4AB0-BA12-93F25D7E7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721D01-B117-4415-8096-6E967DDF0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E45B8D-2325-4FE6-80EA-77B9D7683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1A6FFB-E42D-4C48-9AA8-C7EB3A06A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D7981F-8958-488B-A858-53719C6C6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7B1237-DC46-457B-9FFB-2873D6F2E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5977E1-33D0-456C-99CD-A82BB992A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AB4C8A-927F-4091-9CA6-FD231BFDF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53A710-CD30-4BCD-892A-0305AB08C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950457-C379-4505-97CB-B23FE7B7F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F03079-EDEC-4D73-A1A8-CD427721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C11F6E-CC21-4978-B5B2-8E5C7C755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B55471-74A5-4C7F-82A9-D51921924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C890B5-3B36-462A-8549-7D99BC091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B3BEEA-E91A-4F50-9B13-C290B37FB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22F12F-4493-4385-A685-8525F7E40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7BC3ED-3511-4C74-B310-B8F5D99B5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A10410-56CE-475A-B2B6-E35764F8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C382B6-ED10-44CE-9265-81536C17C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B7A7E6-F041-4428-AD2A-B63CA2336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698166-EA10-4BBD-B95B-6DF3DEDE9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42CF6E-A798-48CB-99C5-4DDA20B96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5904A-DD4F-4D76-A1A4-E4C47BFDC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9F8F2B-B7F6-4399-B01D-6023AF7E0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3C040C-4200-4D55-9706-637C4BAFC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BB278A-4483-4E62-A2BD-7C80BD5D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17" Type="http://schemas.openxmlformats.org/officeDocument/2006/relationships/revisionLog" Target="revisionLog117.xml"/><Relationship Id="rId299" Type="http://schemas.openxmlformats.org/officeDocument/2006/relationships/revisionLog" Target="revisionLog299.xml"/><Relationship Id="rId21" Type="http://schemas.openxmlformats.org/officeDocument/2006/relationships/revisionLog" Target="revisionLog21.xml"/><Relationship Id="rId63" Type="http://schemas.openxmlformats.org/officeDocument/2006/relationships/revisionLog" Target="revisionLog63.xml"/><Relationship Id="rId159" Type="http://schemas.openxmlformats.org/officeDocument/2006/relationships/revisionLog" Target="revisionLog159.xml"/><Relationship Id="rId324" Type="http://schemas.openxmlformats.org/officeDocument/2006/relationships/revisionLog" Target="revisionLog324.xml"/><Relationship Id="rId366" Type="http://schemas.openxmlformats.org/officeDocument/2006/relationships/revisionLog" Target="revisionLog366.xml"/><Relationship Id="rId170" Type="http://schemas.openxmlformats.org/officeDocument/2006/relationships/revisionLog" Target="revisionLog170.xml"/><Relationship Id="rId226" Type="http://schemas.openxmlformats.org/officeDocument/2006/relationships/revisionLog" Target="revisionLog226.xml"/><Relationship Id="rId268" Type="http://schemas.openxmlformats.org/officeDocument/2006/relationships/revisionLog" Target="revisionLog268.xml"/><Relationship Id="rId32" Type="http://schemas.openxmlformats.org/officeDocument/2006/relationships/revisionLog" Target="revisionLog32.xml"/><Relationship Id="rId74" Type="http://schemas.openxmlformats.org/officeDocument/2006/relationships/revisionLog" Target="revisionLog74.xml"/><Relationship Id="rId128" Type="http://schemas.openxmlformats.org/officeDocument/2006/relationships/revisionLog" Target="revisionLog128.xml"/><Relationship Id="rId335" Type="http://schemas.openxmlformats.org/officeDocument/2006/relationships/revisionLog" Target="revisionLog335.xml"/><Relationship Id="rId377" Type="http://schemas.openxmlformats.org/officeDocument/2006/relationships/revisionLog" Target="revisionLog377.xml"/><Relationship Id="rId5" Type="http://schemas.openxmlformats.org/officeDocument/2006/relationships/revisionLog" Target="revisionLog5.xml"/><Relationship Id="rId181" Type="http://schemas.openxmlformats.org/officeDocument/2006/relationships/revisionLog" Target="revisionLog181.xml"/><Relationship Id="rId237" Type="http://schemas.openxmlformats.org/officeDocument/2006/relationships/revisionLog" Target="revisionLog237.xml"/><Relationship Id="rId279" Type="http://schemas.openxmlformats.org/officeDocument/2006/relationships/revisionLog" Target="revisionLog279.xml"/><Relationship Id="rId43" Type="http://schemas.openxmlformats.org/officeDocument/2006/relationships/revisionLog" Target="revisionLog43.xml"/><Relationship Id="rId139" Type="http://schemas.openxmlformats.org/officeDocument/2006/relationships/revisionLog" Target="revisionLog139.xml"/><Relationship Id="rId290" Type="http://schemas.openxmlformats.org/officeDocument/2006/relationships/revisionLog" Target="revisionLog290.xml"/><Relationship Id="rId304" Type="http://schemas.openxmlformats.org/officeDocument/2006/relationships/revisionLog" Target="revisionLog304.xml"/><Relationship Id="rId346" Type="http://schemas.openxmlformats.org/officeDocument/2006/relationships/revisionLog" Target="revisionLog346.xml"/><Relationship Id="rId85" Type="http://schemas.openxmlformats.org/officeDocument/2006/relationships/revisionLog" Target="revisionLog85.xml"/><Relationship Id="rId150" Type="http://schemas.openxmlformats.org/officeDocument/2006/relationships/revisionLog" Target="revisionLog150.xml"/><Relationship Id="rId192" Type="http://schemas.openxmlformats.org/officeDocument/2006/relationships/revisionLog" Target="revisionLog192.xml"/><Relationship Id="rId206" Type="http://schemas.openxmlformats.org/officeDocument/2006/relationships/revisionLog" Target="revisionLog206.xml"/><Relationship Id="rId248" Type="http://schemas.openxmlformats.org/officeDocument/2006/relationships/revisionLog" Target="revisionLog248.xml"/><Relationship Id="rId12" Type="http://schemas.openxmlformats.org/officeDocument/2006/relationships/revisionLog" Target="revisionLog12.xml"/><Relationship Id="rId108" Type="http://schemas.openxmlformats.org/officeDocument/2006/relationships/revisionLog" Target="revisionLog108.xml"/><Relationship Id="rId315" Type="http://schemas.openxmlformats.org/officeDocument/2006/relationships/revisionLog" Target="revisionLog315.xml"/><Relationship Id="rId357" Type="http://schemas.openxmlformats.org/officeDocument/2006/relationships/revisionLog" Target="revisionLog357.xml"/><Relationship Id="rId54" Type="http://schemas.openxmlformats.org/officeDocument/2006/relationships/revisionLog" Target="revisionLog54.xml"/><Relationship Id="rId96" Type="http://schemas.openxmlformats.org/officeDocument/2006/relationships/revisionLog" Target="revisionLog96.xml"/><Relationship Id="rId161" Type="http://schemas.openxmlformats.org/officeDocument/2006/relationships/revisionLog" Target="revisionLog161.xml"/><Relationship Id="rId217" Type="http://schemas.openxmlformats.org/officeDocument/2006/relationships/revisionLog" Target="revisionLog217.xml"/><Relationship Id="rId259" Type="http://schemas.openxmlformats.org/officeDocument/2006/relationships/revisionLog" Target="revisionLog259.xml"/><Relationship Id="rId23" Type="http://schemas.openxmlformats.org/officeDocument/2006/relationships/revisionLog" Target="revisionLog23.xml"/><Relationship Id="rId119" Type="http://schemas.openxmlformats.org/officeDocument/2006/relationships/revisionLog" Target="revisionLog119.xml"/><Relationship Id="rId270" Type="http://schemas.openxmlformats.org/officeDocument/2006/relationships/revisionLog" Target="revisionLog270.xml"/><Relationship Id="rId326" Type="http://schemas.openxmlformats.org/officeDocument/2006/relationships/revisionLog" Target="revisionLog326.xml"/><Relationship Id="rId65" Type="http://schemas.openxmlformats.org/officeDocument/2006/relationships/revisionLog" Target="revisionLog65.xml"/><Relationship Id="rId130" Type="http://schemas.openxmlformats.org/officeDocument/2006/relationships/revisionLog" Target="revisionLog130.xml"/><Relationship Id="rId368" Type="http://schemas.openxmlformats.org/officeDocument/2006/relationships/revisionLog" Target="revisionLog368.xml"/><Relationship Id="rId172" Type="http://schemas.openxmlformats.org/officeDocument/2006/relationships/revisionLog" Target="revisionLog172.xml"/><Relationship Id="rId228" Type="http://schemas.openxmlformats.org/officeDocument/2006/relationships/revisionLog" Target="revisionLog228.xml"/><Relationship Id="rId281" Type="http://schemas.openxmlformats.org/officeDocument/2006/relationships/revisionLog" Target="revisionLog281.xml"/><Relationship Id="rId337" Type="http://schemas.openxmlformats.org/officeDocument/2006/relationships/revisionLog" Target="revisionLog337.xml"/><Relationship Id="rId34" Type="http://schemas.openxmlformats.org/officeDocument/2006/relationships/revisionLog" Target="revisionLog34.xml"/><Relationship Id="rId76" Type="http://schemas.openxmlformats.org/officeDocument/2006/relationships/revisionLog" Target="revisionLog76.xml"/><Relationship Id="rId141" Type="http://schemas.openxmlformats.org/officeDocument/2006/relationships/revisionLog" Target="revisionLog141.xml"/><Relationship Id="rId379" Type="http://schemas.openxmlformats.org/officeDocument/2006/relationships/revisionLog" Target="revisionLog379.xml"/><Relationship Id="rId7" Type="http://schemas.openxmlformats.org/officeDocument/2006/relationships/revisionLog" Target="revisionLog7.xml"/><Relationship Id="rId183" Type="http://schemas.openxmlformats.org/officeDocument/2006/relationships/revisionLog" Target="revisionLog183.xml"/><Relationship Id="rId239" Type="http://schemas.openxmlformats.org/officeDocument/2006/relationships/revisionLog" Target="revisionLog239.xml"/><Relationship Id="rId250" Type="http://schemas.openxmlformats.org/officeDocument/2006/relationships/revisionLog" Target="revisionLog250.xml"/><Relationship Id="rId292" Type="http://schemas.openxmlformats.org/officeDocument/2006/relationships/revisionLog" Target="revisionLog292.xml"/><Relationship Id="rId306" Type="http://schemas.openxmlformats.org/officeDocument/2006/relationships/revisionLog" Target="revisionLog306.xml"/><Relationship Id="rId45" Type="http://schemas.openxmlformats.org/officeDocument/2006/relationships/revisionLog" Target="revisionLog45.xml"/><Relationship Id="rId87" Type="http://schemas.openxmlformats.org/officeDocument/2006/relationships/revisionLog" Target="revisionLog87.xml"/><Relationship Id="rId110" Type="http://schemas.openxmlformats.org/officeDocument/2006/relationships/revisionLog" Target="revisionLog110.xml"/><Relationship Id="rId348" Type="http://schemas.openxmlformats.org/officeDocument/2006/relationships/revisionLog" Target="revisionLog348.xml"/><Relationship Id="rId152" Type="http://schemas.openxmlformats.org/officeDocument/2006/relationships/revisionLog" Target="revisionLog152.xml"/><Relationship Id="rId194" Type="http://schemas.openxmlformats.org/officeDocument/2006/relationships/revisionLog" Target="revisionLog194.xml"/><Relationship Id="rId208" Type="http://schemas.openxmlformats.org/officeDocument/2006/relationships/revisionLog" Target="revisionLog208.xml"/><Relationship Id="rId261" Type="http://schemas.openxmlformats.org/officeDocument/2006/relationships/revisionLog" Target="revisionLog261.xml"/><Relationship Id="rId14" Type="http://schemas.openxmlformats.org/officeDocument/2006/relationships/revisionLog" Target="revisionLog14.xml"/><Relationship Id="rId56" Type="http://schemas.openxmlformats.org/officeDocument/2006/relationships/revisionLog" Target="revisionLog56.xml"/><Relationship Id="rId317" Type="http://schemas.openxmlformats.org/officeDocument/2006/relationships/revisionLog" Target="revisionLog317.xml"/><Relationship Id="rId359" Type="http://schemas.openxmlformats.org/officeDocument/2006/relationships/revisionLog" Target="revisionLog359.xml"/><Relationship Id="rId98" Type="http://schemas.openxmlformats.org/officeDocument/2006/relationships/revisionLog" Target="revisionLog98.xml"/><Relationship Id="rId121" Type="http://schemas.openxmlformats.org/officeDocument/2006/relationships/revisionLog" Target="revisionLog121.xml"/><Relationship Id="rId163" Type="http://schemas.openxmlformats.org/officeDocument/2006/relationships/revisionLog" Target="revisionLog163.xml"/><Relationship Id="rId219" Type="http://schemas.openxmlformats.org/officeDocument/2006/relationships/revisionLog" Target="revisionLog219.xml"/><Relationship Id="rId370" Type="http://schemas.openxmlformats.org/officeDocument/2006/relationships/revisionLog" Target="revisionLog370.xml"/><Relationship Id="rId230" Type="http://schemas.openxmlformats.org/officeDocument/2006/relationships/revisionLog" Target="revisionLog230.xml"/><Relationship Id="rId25" Type="http://schemas.openxmlformats.org/officeDocument/2006/relationships/revisionLog" Target="revisionLog25.xml"/><Relationship Id="rId67" Type="http://schemas.openxmlformats.org/officeDocument/2006/relationships/revisionLog" Target="revisionLog67.xml"/><Relationship Id="rId272" Type="http://schemas.openxmlformats.org/officeDocument/2006/relationships/revisionLog" Target="revisionLog272.xml"/><Relationship Id="rId328" Type="http://schemas.openxmlformats.org/officeDocument/2006/relationships/revisionLog" Target="revisionLog328.xml"/><Relationship Id="rId132" Type="http://schemas.openxmlformats.org/officeDocument/2006/relationships/revisionLog" Target="revisionLog132.xml"/><Relationship Id="rId174" Type="http://schemas.openxmlformats.org/officeDocument/2006/relationships/revisionLog" Target="revisionLog174.xml"/><Relationship Id="rId381" Type="http://schemas.openxmlformats.org/officeDocument/2006/relationships/revisionLog" Target="revisionLog381.xml"/><Relationship Id="rId241" Type="http://schemas.openxmlformats.org/officeDocument/2006/relationships/revisionLog" Target="revisionLog241.xml"/><Relationship Id="rId36" Type="http://schemas.openxmlformats.org/officeDocument/2006/relationships/revisionLog" Target="revisionLog36.xml"/><Relationship Id="rId283" Type="http://schemas.openxmlformats.org/officeDocument/2006/relationships/revisionLog" Target="revisionLog283.xml"/><Relationship Id="rId339" Type="http://schemas.openxmlformats.org/officeDocument/2006/relationships/revisionLog" Target="revisionLog339.xml"/><Relationship Id="rId78" Type="http://schemas.openxmlformats.org/officeDocument/2006/relationships/revisionLog" Target="revisionLog78.xml"/><Relationship Id="rId101" Type="http://schemas.openxmlformats.org/officeDocument/2006/relationships/revisionLog" Target="revisionLog101.xml"/><Relationship Id="rId143" Type="http://schemas.openxmlformats.org/officeDocument/2006/relationships/revisionLog" Target="revisionLog143.xml"/><Relationship Id="rId185" Type="http://schemas.openxmlformats.org/officeDocument/2006/relationships/revisionLog" Target="revisionLog185.xml"/><Relationship Id="rId350" Type="http://schemas.openxmlformats.org/officeDocument/2006/relationships/revisionLog" Target="revisionLog350.xml"/><Relationship Id="rId9" Type="http://schemas.openxmlformats.org/officeDocument/2006/relationships/revisionLog" Target="revisionLog9.xml"/><Relationship Id="rId210" Type="http://schemas.openxmlformats.org/officeDocument/2006/relationships/revisionLog" Target="revisionLog210.xml"/><Relationship Id="rId252" Type="http://schemas.openxmlformats.org/officeDocument/2006/relationships/revisionLog" Target="revisionLog252.xml"/><Relationship Id="rId294" Type="http://schemas.openxmlformats.org/officeDocument/2006/relationships/revisionLog" Target="revisionLog294.xml"/><Relationship Id="rId308" Type="http://schemas.openxmlformats.org/officeDocument/2006/relationships/revisionLog" Target="revisionLog308.xml"/><Relationship Id="rId47" Type="http://schemas.openxmlformats.org/officeDocument/2006/relationships/revisionLog" Target="revisionLog47.xml"/><Relationship Id="rId68" Type="http://schemas.openxmlformats.org/officeDocument/2006/relationships/revisionLog" Target="revisionLog68.xml"/><Relationship Id="rId89" Type="http://schemas.openxmlformats.org/officeDocument/2006/relationships/revisionLog" Target="revisionLog89.xml"/><Relationship Id="rId112" Type="http://schemas.openxmlformats.org/officeDocument/2006/relationships/revisionLog" Target="revisionLog112.xml"/><Relationship Id="rId133" Type="http://schemas.openxmlformats.org/officeDocument/2006/relationships/revisionLog" Target="revisionLog133.xml"/><Relationship Id="rId154" Type="http://schemas.openxmlformats.org/officeDocument/2006/relationships/revisionLog" Target="revisionLog154.xml"/><Relationship Id="rId175" Type="http://schemas.openxmlformats.org/officeDocument/2006/relationships/revisionLog" Target="revisionLog175.xml"/><Relationship Id="rId340" Type="http://schemas.openxmlformats.org/officeDocument/2006/relationships/revisionLog" Target="revisionLog340.xml"/><Relationship Id="rId361" Type="http://schemas.openxmlformats.org/officeDocument/2006/relationships/revisionLog" Target="revisionLog361.xml"/><Relationship Id="rId196" Type="http://schemas.openxmlformats.org/officeDocument/2006/relationships/revisionLog" Target="revisionLog196.xml"/><Relationship Id="rId200" Type="http://schemas.openxmlformats.org/officeDocument/2006/relationships/revisionLog" Target="revisionLog200.xml"/><Relationship Id="rId382" Type="http://schemas.openxmlformats.org/officeDocument/2006/relationships/revisionLog" Target="revisionLog382.xml"/><Relationship Id="rId16" Type="http://schemas.openxmlformats.org/officeDocument/2006/relationships/revisionLog" Target="revisionLog16.xml"/><Relationship Id="rId221" Type="http://schemas.openxmlformats.org/officeDocument/2006/relationships/revisionLog" Target="revisionLog221.xml"/><Relationship Id="rId242" Type="http://schemas.openxmlformats.org/officeDocument/2006/relationships/revisionLog" Target="revisionLog242.xml"/><Relationship Id="rId263" Type="http://schemas.openxmlformats.org/officeDocument/2006/relationships/revisionLog" Target="revisionLog263.xml"/><Relationship Id="rId284" Type="http://schemas.openxmlformats.org/officeDocument/2006/relationships/revisionLog" Target="revisionLog284.xml"/><Relationship Id="rId319" Type="http://schemas.openxmlformats.org/officeDocument/2006/relationships/revisionLog" Target="revisionLog319.xml"/><Relationship Id="rId37" Type="http://schemas.openxmlformats.org/officeDocument/2006/relationships/revisionLog" Target="revisionLog37.xml"/><Relationship Id="rId58" Type="http://schemas.openxmlformats.org/officeDocument/2006/relationships/revisionLog" Target="revisionLog58.xml"/><Relationship Id="rId79" Type="http://schemas.openxmlformats.org/officeDocument/2006/relationships/revisionLog" Target="revisionLog79.xml"/><Relationship Id="rId102" Type="http://schemas.openxmlformats.org/officeDocument/2006/relationships/revisionLog" Target="revisionLog102.xml"/><Relationship Id="rId123" Type="http://schemas.openxmlformats.org/officeDocument/2006/relationships/revisionLog" Target="revisionLog123.xml"/><Relationship Id="rId144" Type="http://schemas.openxmlformats.org/officeDocument/2006/relationships/revisionLog" Target="revisionLog144.xml"/><Relationship Id="rId330" Type="http://schemas.openxmlformats.org/officeDocument/2006/relationships/revisionLog" Target="revisionLog330.xml"/><Relationship Id="rId90" Type="http://schemas.openxmlformats.org/officeDocument/2006/relationships/revisionLog" Target="revisionLog90.xml"/><Relationship Id="rId165" Type="http://schemas.openxmlformats.org/officeDocument/2006/relationships/revisionLog" Target="revisionLog165.xml"/><Relationship Id="rId186" Type="http://schemas.openxmlformats.org/officeDocument/2006/relationships/revisionLog" Target="revisionLog186.xml"/><Relationship Id="rId351" Type="http://schemas.openxmlformats.org/officeDocument/2006/relationships/revisionLog" Target="revisionLog351.xml"/><Relationship Id="rId372" Type="http://schemas.openxmlformats.org/officeDocument/2006/relationships/revisionLog" Target="revisionLog372.xml"/><Relationship Id="rId211" Type="http://schemas.openxmlformats.org/officeDocument/2006/relationships/revisionLog" Target="revisionLog211.xml"/><Relationship Id="rId232" Type="http://schemas.openxmlformats.org/officeDocument/2006/relationships/revisionLog" Target="revisionLog232.xml"/><Relationship Id="rId253" Type="http://schemas.openxmlformats.org/officeDocument/2006/relationships/revisionLog" Target="revisionLog253.xml"/><Relationship Id="rId274" Type="http://schemas.openxmlformats.org/officeDocument/2006/relationships/revisionLog" Target="revisionLog274.xml"/><Relationship Id="rId295" Type="http://schemas.openxmlformats.org/officeDocument/2006/relationships/revisionLog" Target="revisionLog295.xml"/><Relationship Id="rId309" Type="http://schemas.openxmlformats.org/officeDocument/2006/relationships/revisionLog" Target="revisionLog309.xml"/><Relationship Id="rId27" Type="http://schemas.openxmlformats.org/officeDocument/2006/relationships/revisionLog" Target="revisionLog27.xml"/><Relationship Id="rId48" Type="http://schemas.openxmlformats.org/officeDocument/2006/relationships/revisionLog" Target="revisionLog48.xml"/><Relationship Id="rId69" Type="http://schemas.openxmlformats.org/officeDocument/2006/relationships/revisionLog" Target="revisionLog69.xml"/><Relationship Id="rId113" Type="http://schemas.openxmlformats.org/officeDocument/2006/relationships/revisionLog" Target="revisionLog113.xml"/><Relationship Id="rId134" Type="http://schemas.openxmlformats.org/officeDocument/2006/relationships/revisionLog" Target="revisionLog134.xml"/><Relationship Id="rId320" Type="http://schemas.openxmlformats.org/officeDocument/2006/relationships/revisionLog" Target="revisionLog320.xml"/><Relationship Id="rId80" Type="http://schemas.openxmlformats.org/officeDocument/2006/relationships/revisionLog" Target="revisionLog80.xml"/><Relationship Id="rId155" Type="http://schemas.openxmlformats.org/officeDocument/2006/relationships/revisionLog" Target="revisionLog155.xml"/><Relationship Id="rId176" Type="http://schemas.openxmlformats.org/officeDocument/2006/relationships/revisionLog" Target="revisionLog176.xml"/><Relationship Id="rId197" Type="http://schemas.openxmlformats.org/officeDocument/2006/relationships/revisionLog" Target="revisionLog197.xml"/><Relationship Id="rId341" Type="http://schemas.openxmlformats.org/officeDocument/2006/relationships/revisionLog" Target="revisionLog341.xml"/><Relationship Id="rId362" Type="http://schemas.openxmlformats.org/officeDocument/2006/relationships/revisionLog" Target="revisionLog362.xml"/><Relationship Id="rId383" Type="http://schemas.openxmlformats.org/officeDocument/2006/relationships/revisionLog" Target="revisionLog383.xml"/><Relationship Id="rId201" Type="http://schemas.openxmlformats.org/officeDocument/2006/relationships/revisionLog" Target="revisionLog201.xml"/><Relationship Id="rId222" Type="http://schemas.openxmlformats.org/officeDocument/2006/relationships/revisionLog" Target="revisionLog222.xml"/><Relationship Id="rId243" Type="http://schemas.openxmlformats.org/officeDocument/2006/relationships/revisionLog" Target="revisionLog243.xml"/><Relationship Id="rId264" Type="http://schemas.openxmlformats.org/officeDocument/2006/relationships/revisionLog" Target="revisionLog264.xml"/><Relationship Id="rId285" Type="http://schemas.openxmlformats.org/officeDocument/2006/relationships/revisionLog" Target="revisionLog285.xml"/><Relationship Id="rId17" Type="http://schemas.openxmlformats.org/officeDocument/2006/relationships/revisionLog" Target="revisionLog17.xml"/><Relationship Id="rId38" Type="http://schemas.openxmlformats.org/officeDocument/2006/relationships/revisionLog" Target="revisionLog38.xml"/><Relationship Id="rId59" Type="http://schemas.openxmlformats.org/officeDocument/2006/relationships/revisionLog" Target="revisionLog59.xml"/><Relationship Id="rId103" Type="http://schemas.openxmlformats.org/officeDocument/2006/relationships/revisionLog" Target="revisionLog103.xml"/><Relationship Id="rId124" Type="http://schemas.openxmlformats.org/officeDocument/2006/relationships/revisionLog" Target="revisionLog124.xml"/><Relationship Id="rId310" Type="http://schemas.openxmlformats.org/officeDocument/2006/relationships/revisionLog" Target="revisionLog310.xml"/><Relationship Id="rId70" Type="http://schemas.openxmlformats.org/officeDocument/2006/relationships/revisionLog" Target="revisionLog70.xml"/><Relationship Id="rId91" Type="http://schemas.openxmlformats.org/officeDocument/2006/relationships/revisionLog" Target="revisionLog91.xml"/><Relationship Id="rId145" Type="http://schemas.openxmlformats.org/officeDocument/2006/relationships/revisionLog" Target="revisionLog145.xml"/><Relationship Id="rId166" Type="http://schemas.openxmlformats.org/officeDocument/2006/relationships/revisionLog" Target="revisionLog166.xml"/><Relationship Id="rId187" Type="http://schemas.openxmlformats.org/officeDocument/2006/relationships/revisionLog" Target="revisionLog187.xml"/><Relationship Id="rId331" Type="http://schemas.openxmlformats.org/officeDocument/2006/relationships/revisionLog" Target="revisionLog331.xml"/><Relationship Id="rId352" Type="http://schemas.openxmlformats.org/officeDocument/2006/relationships/revisionLog" Target="revisionLog352.xml"/><Relationship Id="rId373" Type="http://schemas.openxmlformats.org/officeDocument/2006/relationships/revisionLog" Target="revisionLog373.xml"/><Relationship Id="rId1" Type="http://schemas.openxmlformats.org/officeDocument/2006/relationships/revisionLog" Target="revisionLog1.xml"/><Relationship Id="rId212" Type="http://schemas.openxmlformats.org/officeDocument/2006/relationships/revisionLog" Target="revisionLog212.xml"/><Relationship Id="rId233" Type="http://schemas.openxmlformats.org/officeDocument/2006/relationships/revisionLog" Target="revisionLog233.xml"/><Relationship Id="rId254" Type="http://schemas.openxmlformats.org/officeDocument/2006/relationships/revisionLog" Target="revisionLog254.xml"/><Relationship Id="rId28" Type="http://schemas.openxmlformats.org/officeDocument/2006/relationships/revisionLog" Target="revisionLog28.xml"/><Relationship Id="rId49" Type="http://schemas.openxmlformats.org/officeDocument/2006/relationships/revisionLog" Target="revisionLog49.xml"/><Relationship Id="rId114" Type="http://schemas.openxmlformats.org/officeDocument/2006/relationships/revisionLog" Target="revisionLog114.xml"/><Relationship Id="rId275" Type="http://schemas.openxmlformats.org/officeDocument/2006/relationships/revisionLog" Target="revisionLog275.xml"/><Relationship Id="rId296" Type="http://schemas.openxmlformats.org/officeDocument/2006/relationships/revisionLog" Target="revisionLog296.xml"/><Relationship Id="rId300" Type="http://schemas.openxmlformats.org/officeDocument/2006/relationships/revisionLog" Target="revisionLog300.xml"/><Relationship Id="rId60" Type="http://schemas.openxmlformats.org/officeDocument/2006/relationships/revisionLog" Target="revisionLog60.xml"/><Relationship Id="rId81" Type="http://schemas.openxmlformats.org/officeDocument/2006/relationships/revisionLog" Target="revisionLog81.xml"/><Relationship Id="rId135" Type="http://schemas.openxmlformats.org/officeDocument/2006/relationships/revisionLog" Target="revisionLog135.xml"/><Relationship Id="rId156" Type="http://schemas.openxmlformats.org/officeDocument/2006/relationships/revisionLog" Target="revisionLog156.xml"/><Relationship Id="rId177" Type="http://schemas.openxmlformats.org/officeDocument/2006/relationships/revisionLog" Target="revisionLog177.xml"/><Relationship Id="rId198" Type="http://schemas.openxmlformats.org/officeDocument/2006/relationships/revisionLog" Target="revisionLog198.xml"/><Relationship Id="rId321" Type="http://schemas.openxmlformats.org/officeDocument/2006/relationships/revisionLog" Target="revisionLog321.xml"/><Relationship Id="rId342" Type="http://schemas.openxmlformats.org/officeDocument/2006/relationships/revisionLog" Target="revisionLog342.xml"/><Relationship Id="rId363" Type="http://schemas.openxmlformats.org/officeDocument/2006/relationships/revisionLog" Target="revisionLog363.xml"/><Relationship Id="rId384" Type="http://schemas.openxmlformats.org/officeDocument/2006/relationships/revisionLog" Target="revisionLog384.xml"/><Relationship Id="rId202" Type="http://schemas.openxmlformats.org/officeDocument/2006/relationships/revisionLog" Target="revisionLog202.xml"/><Relationship Id="rId223" Type="http://schemas.openxmlformats.org/officeDocument/2006/relationships/revisionLog" Target="revisionLog223.xml"/><Relationship Id="rId244" Type="http://schemas.openxmlformats.org/officeDocument/2006/relationships/revisionLog" Target="revisionLog244.xml"/><Relationship Id="rId18" Type="http://schemas.openxmlformats.org/officeDocument/2006/relationships/revisionLog" Target="revisionLog18.xml"/><Relationship Id="rId39" Type="http://schemas.openxmlformats.org/officeDocument/2006/relationships/revisionLog" Target="revisionLog39.xml"/><Relationship Id="rId265" Type="http://schemas.openxmlformats.org/officeDocument/2006/relationships/revisionLog" Target="revisionLog265.xml"/><Relationship Id="rId286" Type="http://schemas.openxmlformats.org/officeDocument/2006/relationships/revisionLog" Target="revisionLog286.xml"/><Relationship Id="rId50" Type="http://schemas.openxmlformats.org/officeDocument/2006/relationships/revisionLog" Target="revisionLog50.xml"/><Relationship Id="rId104" Type="http://schemas.openxmlformats.org/officeDocument/2006/relationships/revisionLog" Target="revisionLog104.xml"/><Relationship Id="rId125" Type="http://schemas.openxmlformats.org/officeDocument/2006/relationships/revisionLog" Target="revisionLog125.xml"/><Relationship Id="rId146" Type="http://schemas.openxmlformats.org/officeDocument/2006/relationships/revisionLog" Target="revisionLog146.xml"/><Relationship Id="rId167" Type="http://schemas.openxmlformats.org/officeDocument/2006/relationships/revisionLog" Target="revisionLog167.xml"/><Relationship Id="rId188" Type="http://schemas.openxmlformats.org/officeDocument/2006/relationships/revisionLog" Target="revisionLog188.xml"/><Relationship Id="rId311" Type="http://schemas.openxmlformats.org/officeDocument/2006/relationships/revisionLog" Target="revisionLog311.xml"/><Relationship Id="rId332" Type="http://schemas.openxmlformats.org/officeDocument/2006/relationships/revisionLog" Target="revisionLog332.xml"/><Relationship Id="rId353" Type="http://schemas.openxmlformats.org/officeDocument/2006/relationships/revisionLog" Target="revisionLog353.xml"/><Relationship Id="rId374" Type="http://schemas.openxmlformats.org/officeDocument/2006/relationships/revisionLog" Target="revisionLog374.xml"/><Relationship Id="rId71" Type="http://schemas.openxmlformats.org/officeDocument/2006/relationships/revisionLog" Target="revisionLog71.xml"/><Relationship Id="rId92" Type="http://schemas.openxmlformats.org/officeDocument/2006/relationships/revisionLog" Target="revisionLog92.xml"/><Relationship Id="rId213" Type="http://schemas.openxmlformats.org/officeDocument/2006/relationships/revisionLog" Target="revisionLog213.xml"/><Relationship Id="rId234" Type="http://schemas.openxmlformats.org/officeDocument/2006/relationships/revisionLog" Target="revisionLog234.xml"/><Relationship Id="rId2" Type="http://schemas.openxmlformats.org/officeDocument/2006/relationships/revisionLog" Target="revisionLog2.xml"/><Relationship Id="rId29" Type="http://schemas.openxmlformats.org/officeDocument/2006/relationships/revisionLog" Target="revisionLog29.xml"/><Relationship Id="rId255" Type="http://schemas.openxmlformats.org/officeDocument/2006/relationships/revisionLog" Target="revisionLog255.xml"/><Relationship Id="rId276" Type="http://schemas.openxmlformats.org/officeDocument/2006/relationships/revisionLog" Target="revisionLog276.xml"/><Relationship Id="rId297" Type="http://schemas.openxmlformats.org/officeDocument/2006/relationships/revisionLog" Target="revisionLog297.xml"/><Relationship Id="rId40" Type="http://schemas.openxmlformats.org/officeDocument/2006/relationships/revisionLog" Target="revisionLog40.xml"/><Relationship Id="rId115" Type="http://schemas.openxmlformats.org/officeDocument/2006/relationships/revisionLog" Target="revisionLog115.xml"/><Relationship Id="rId136" Type="http://schemas.openxmlformats.org/officeDocument/2006/relationships/revisionLog" Target="revisionLog136.xml"/><Relationship Id="rId157" Type="http://schemas.openxmlformats.org/officeDocument/2006/relationships/revisionLog" Target="revisionLog157.xml"/><Relationship Id="rId178" Type="http://schemas.openxmlformats.org/officeDocument/2006/relationships/revisionLog" Target="revisionLog178.xml"/><Relationship Id="rId301" Type="http://schemas.openxmlformats.org/officeDocument/2006/relationships/revisionLog" Target="revisionLog301.xml"/><Relationship Id="rId322" Type="http://schemas.openxmlformats.org/officeDocument/2006/relationships/revisionLog" Target="revisionLog322.xml"/><Relationship Id="rId343" Type="http://schemas.openxmlformats.org/officeDocument/2006/relationships/revisionLog" Target="revisionLog343.xml"/><Relationship Id="rId364" Type="http://schemas.openxmlformats.org/officeDocument/2006/relationships/revisionLog" Target="revisionLog364.xml"/><Relationship Id="rId61" Type="http://schemas.openxmlformats.org/officeDocument/2006/relationships/revisionLog" Target="revisionLog61.xml"/><Relationship Id="rId82" Type="http://schemas.openxmlformats.org/officeDocument/2006/relationships/revisionLog" Target="revisionLog82.xml"/><Relationship Id="rId199" Type="http://schemas.openxmlformats.org/officeDocument/2006/relationships/revisionLog" Target="revisionLog199.xml"/><Relationship Id="rId203" Type="http://schemas.openxmlformats.org/officeDocument/2006/relationships/revisionLog" Target="revisionLog203.xml"/><Relationship Id="rId385" Type="http://schemas.openxmlformats.org/officeDocument/2006/relationships/revisionLog" Target="revisionLog385.xml"/><Relationship Id="rId19" Type="http://schemas.openxmlformats.org/officeDocument/2006/relationships/revisionLog" Target="revisionLog19.xml"/><Relationship Id="rId224" Type="http://schemas.openxmlformats.org/officeDocument/2006/relationships/revisionLog" Target="revisionLog224.xml"/><Relationship Id="rId245" Type="http://schemas.openxmlformats.org/officeDocument/2006/relationships/revisionLog" Target="revisionLog245.xml"/><Relationship Id="rId266" Type="http://schemas.openxmlformats.org/officeDocument/2006/relationships/revisionLog" Target="revisionLog266.xml"/><Relationship Id="rId287" Type="http://schemas.openxmlformats.org/officeDocument/2006/relationships/revisionLog" Target="revisionLog287.xml"/><Relationship Id="rId30" Type="http://schemas.openxmlformats.org/officeDocument/2006/relationships/revisionLog" Target="revisionLog30.xml"/><Relationship Id="rId105" Type="http://schemas.openxmlformats.org/officeDocument/2006/relationships/revisionLog" Target="revisionLog105.xml"/><Relationship Id="rId126" Type="http://schemas.openxmlformats.org/officeDocument/2006/relationships/revisionLog" Target="revisionLog126.xml"/><Relationship Id="rId147" Type="http://schemas.openxmlformats.org/officeDocument/2006/relationships/revisionLog" Target="revisionLog147.xml"/><Relationship Id="rId168" Type="http://schemas.openxmlformats.org/officeDocument/2006/relationships/revisionLog" Target="revisionLog168.xml"/><Relationship Id="rId312" Type="http://schemas.openxmlformats.org/officeDocument/2006/relationships/revisionLog" Target="revisionLog312.xml"/><Relationship Id="rId333" Type="http://schemas.openxmlformats.org/officeDocument/2006/relationships/revisionLog" Target="revisionLog333.xml"/><Relationship Id="rId354" Type="http://schemas.openxmlformats.org/officeDocument/2006/relationships/revisionLog" Target="revisionLog354.xml"/><Relationship Id="rId51" Type="http://schemas.openxmlformats.org/officeDocument/2006/relationships/revisionLog" Target="revisionLog51.xml"/><Relationship Id="rId72" Type="http://schemas.openxmlformats.org/officeDocument/2006/relationships/revisionLog" Target="revisionLog72.xml"/><Relationship Id="rId93" Type="http://schemas.openxmlformats.org/officeDocument/2006/relationships/revisionLog" Target="revisionLog93.xml"/><Relationship Id="rId189" Type="http://schemas.openxmlformats.org/officeDocument/2006/relationships/revisionLog" Target="revisionLog189.xml"/><Relationship Id="rId375" Type="http://schemas.openxmlformats.org/officeDocument/2006/relationships/revisionLog" Target="revisionLog375.xml"/><Relationship Id="rId3" Type="http://schemas.openxmlformats.org/officeDocument/2006/relationships/revisionLog" Target="revisionLog3.xml"/><Relationship Id="rId214" Type="http://schemas.openxmlformats.org/officeDocument/2006/relationships/revisionLog" Target="revisionLog214.xml"/><Relationship Id="rId235" Type="http://schemas.openxmlformats.org/officeDocument/2006/relationships/revisionLog" Target="revisionLog235.xml"/><Relationship Id="rId256" Type="http://schemas.openxmlformats.org/officeDocument/2006/relationships/revisionLog" Target="revisionLog256.xml"/><Relationship Id="rId277" Type="http://schemas.openxmlformats.org/officeDocument/2006/relationships/revisionLog" Target="revisionLog277.xml"/><Relationship Id="rId298" Type="http://schemas.openxmlformats.org/officeDocument/2006/relationships/revisionLog" Target="revisionLog298.xml"/><Relationship Id="rId116" Type="http://schemas.openxmlformats.org/officeDocument/2006/relationships/revisionLog" Target="revisionLog116.xml"/><Relationship Id="rId137" Type="http://schemas.openxmlformats.org/officeDocument/2006/relationships/revisionLog" Target="revisionLog137.xml"/><Relationship Id="rId158" Type="http://schemas.openxmlformats.org/officeDocument/2006/relationships/revisionLog" Target="revisionLog158.xml"/><Relationship Id="rId302" Type="http://schemas.openxmlformats.org/officeDocument/2006/relationships/revisionLog" Target="revisionLog302.xml"/><Relationship Id="rId323" Type="http://schemas.openxmlformats.org/officeDocument/2006/relationships/revisionLog" Target="revisionLog323.xml"/><Relationship Id="rId344" Type="http://schemas.openxmlformats.org/officeDocument/2006/relationships/revisionLog" Target="revisionLog344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62" Type="http://schemas.openxmlformats.org/officeDocument/2006/relationships/revisionLog" Target="revisionLog62.xml"/><Relationship Id="rId83" Type="http://schemas.openxmlformats.org/officeDocument/2006/relationships/revisionLog" Target="revisionLog83.xml"/><Relationship Id="rId179" Type="http://schemas.openxmlformats.org/officeDocument/2006/relationships/revisionLog" Target="revisionLog179.xml"/><Relationship Id="rId365" Type="http://schemas.openxmlformats.org/officeDocument/2006/relationships/revisionLog" Target="revisionLog365.xml"/><Relationship Id="rId190" Type="http://schemas.openxmlformats.org/officeDocument/2006/relationships/revisionLog" Target="revisionLog190.xml"/><Relationship Id="rId204" Type="http://schemas.openxmlformats.org/officeDocument/2006/relationships/revisionLog" Target="revisionLog204.xml"/><Relationship Id="rId225" Type="http://schemas.openxmlformats.org/officeDocument/2006/relationships/revisionLog" Target="revisionLog225.xml"/><Relationship Id="rId246" Type="http://schemas.openxmlformats.org/officeDocument/2006/relationships/revisionLog" Target="revisionLog246.xml"/><Relationship Id="rId267" Type="http://schemas.openxmlformats.org/officeDocument/2006/relationships/revisionLog" Target="revisionLog267.xml"/><Relationship Id="rId288" Type="http://schemas.openxmlformats.org/officeDocument/2006/relationships/revisionLog" Target="revisionLog288.xml"/><Relationship Id="rId106" Type="http://schemas.openxmlformats.org/officeDocument/2006/relationships/revisionLog" Target="revisionLog106.xml"/><Relationship Id="rId127" Type="http://schemas.openxmlformats.org/officeDocument/2006/relationships/revisionLog" Target="revisionLog127.xml"/><Relationship Id="rId313" Type="http://schemas.openxmlformats.org/officeDocument/2006/relationships/revisionLog" Target="revisionLog313.xml"/><Relationship Id="rId10" Type="http://schemas.openxmlformats.org/officeDocument/2006/relationships/revisionLog" Target="revisionLog10.xml"/><Relationship Id="rId31" Type="http://schemas.openxmlformats.org/officeDocument/2006/relationships/revisionLog" Target="revisionLog31.xml"/><Relationship Id="rId52" Type="http://schemas.openxmlformats.org/officeDocument/2006/relationships/revisionLog" Target="revisionLog52.xml"/><Relationship Id="rId73" Type="http://schemas.openxmlformats.org/officeDocument/2006/relationships/revisionLog" Target="revisionLog73.xml"/><Relationship Id="rId94" Type="http://schemas.openxmlformats.org/officeDocument/2006/relationships/revisionLog" Target="revisionLog94.xml"/><Relationship Id="rId148" Type="http://schemas.openxmlformats.org/officeDocument/2006/relationships/revisionLog" Target="revisionLog148.xml"/><Relationship Id="rId169" Type="http://schemas.openxmlformats.org/officeDocument/2006/relationships/revisionLog" Target="revisionLog169.xml"/><Relationship Id="rId334" Type="http://schemas.openxmlformats.org/officeDocument/2006/relationships/revisionLog" Target="revisionLog334.xml"/><Relationship Id="rId355" Type="http://schemas.openxmlformats.org/officeDocument/2006/relationships/revisionLog" Target="revisionLog355.xml"/><Relationship Id="rId376" Type="http://schemas.openxmlformats.org/officeDocument/2006/relationships/revisionLog" Target="revisionLog376.xml"/><Relationship Id="rId4" Type="http://schemas.openxmlformats.org/officeDocument/2006/relationships/revisionLog" Target="revisionLog4.xml"/><Relationship Id="rId180" Type="http://schemas.openxmlformats.org/officeDocument/2006/relationships/revisionLog" Target="revisionLog180.xml"/><Relationship Id="rId215" Type="http://schemas.openxmlformats.org/officeDocument/2006/relationships/revisionLog" Target="revisionLog215.xml"/><Relationship Id="rId236" Type="http://schemas.openxmlformats.org/officeDocument/2006/relationships/revisionLog" Target="revisionLog236.xml"/><Relationship Id="rId257" Type="http://schemas.openxmlformats.org/officeDocument/2006/relationships/revisionLog" Target="revisionLog257.xml"/><Relationship Id="rId278" Type="http://schemas.openxmlformats.org/officeDocument/2006/relationships/revisionLog" Target="revisionLog278.xml"/><Relationship Id="rId303" Type="http://schemas.openxmlformats.org/officeDocument/2006/relationships/revisionLog" Target="revisionLog303.xml"/><Relationship Id="rId42" Type="http://schemas.openxmlformats.org/officeDocument/2006/relationships/revisionLog" Target="revisionLog42.xml"/><Relationship Id="rId84" Type="http://schemas.openxmlformats.org/officeDocument/2006/relationships/revisionLog" Target="revisionLog84.xml"/><Relationship Id="rId138" Type="http://schemas.openxmlformats.org/officeDocument/2006/relationships/revisionLog" Target="revisionLog138.xml"/><Relationship Id="rId345" Type="http://schemas.openxmlformats.org/officeDocument/2006/relationships/revisionLog" Target="revisionLog345.xml"/><Relationship Id="rId191" Type="http://schemas.openxmlformats.org/officeDocument/2006/relationships/revisionLog" Target="revisionLog191.xml"/><Relationship Id="rId205" Type="http://schemas.openxmlformats.org/officeDocument/2006/relationships/revisionLog" Target="revisionLog205.xml"/><Relationship Id="rId247" Type="http://schemas.openxmlformats.org/officeDocument/2006/relationships/revisionLog" Target="revisionLog247.xml"/><Relationship Id="rId107" Type="http://schemas.openxmlformats.org/officeDocument/2006/relationships/revisionLog" Target="revisionLog107.xml"/><Relationship Id="rId289" Type="http://schemas.openxmlformats.org/officeDocument/2006/relationships/revisionLog" Target="revisionLog289.xml"/><Relationship Id="rId11" Type="http://schemas.openxmlformats.org/officeDocument/2006/relationships/revisionLog" Target="revisionLog11.xml"/><Relationship Id="rId53" Type="http://schemas.openxmlformats.org/officeDocument/2006/relationships/revisionLog" Target="revisionLog53.xml"/><Relationship Id="rId149" Type="http://schemas.openxmlformats.org/officeDocument/2006/relationships/revisionLog" Target="revisionLog149.xml"/><Relationship Id="rId314" Type="http://schemas.openxmlformats.org/officeDocument/2006/relationships/revisionLog" Target="revisionLog314.xml"/><Relationship Id="rId356" Type="http://schemas.openxmlformats.org/officeDocument/2006/relationships/revisionLog" Target="revisionLog356.xml"/><Relationship Id="rId95" Type="http://schemas.openxmlformats.org/officeDocument/2006/relationships/revisionLog" Target="revisionLog95.xml"/><Relationship Id="rId160" Type="http://schemas.openxmlformats.org/officeDocument/2006/relationships/revisionLog" Target="revisionLog160.xml"/><Relationship Id="rId216" Type="http://schemas.openxmlformats.org/officeDocument/2006/relationships/revisionLog" Target="revisionLog216.xml"/><Relationship Id="rId258" Type="http://schemas.openxmlformats.org/officeDocument/2006/relationships/revisionLog" Target="revisionLog258.xml"/><Relationship Id="rId22" Type="http://schemas.openxmlformats.org/officeDocument/2006/relationships/revisionLog" Target="revisionLog22.xml"/><Relationship Id="rId64" Type="http://schemas.openxmlformats.org/officeDocument/2006/relationships/revisionLog" Target="revisionLog64.xml"/><Relationship Id="rId118" Type="http://schemas.openxmlformats.org/officeDocument/2006/relationships/revisionLog" Target="revisionLog118.xml"/><Relationship Id="rId325" Type="http://schemas.openxmlformats.org/officeDocument/2006/relationships/revisionLog" Target="revisionLog325.xml"/><Relationship Id="rId367" Type="http://schemas.openxmlformats.org/officeDocument/2006/relationships/revisionLog" Target="revisionLog367.xml"/><Relationship Id="rId171" Type="http://schemas.openxmlformats.org/officeDocument/2006/relationships/revisionLog" Target="revisionLog171.xml"/><Relationship Id="rId227" Type="http://schemas.openxmlformats.org/officeDocument/2006/relationships/revisionLog" Target="revisionLog227.xml"/><Relationship Id="rId269" Type="http://schemas.openxmlformats.org/officeDocument/2006/relationships/revisionLog" Target="revisionLog269.xml"/><Relationship Id="rId33" Type="http://schemas.openxmlformats.org/officeDocument/2006/relationships/revisionLog" Target="revisionLog33.xml"/><Relationship Id="rId129" Type="http://schemas.openxmlformats.org/officeDocument/2006/relationships/revisionLog" Target="revisionLog129.xml"/><Relationship Id="rId280" Type="http://schemas.openxmlformats.org/officeDocument/2006/relationships/revisionLog" Target="revisionLog280.xml"/><Relationship Id="rId336" Type="http://schemas.openxmlformats.org/officeDocument/2006/relationships/revisionLog" Target="revisionLog336.xml"/><Relationship Id="rId75" Type="http://schemas.openxmlformats.org/officeDocument/2006/relationships/revisionLog" Target="revisionLog75.xml"/><Relationship Id="rId140" Type="http://schemas.openxmlformats.org/officeDocument/2006/relationships/revisionLog" Target="revisionLog140.xml"/><Relationship Id="rId182" Type="http://schemas.openxmlformats.org/officeDocument/2006/relationships/revisionLog" Target="revisionLog182.xml"/><Relationship Id="rId378" Type="http://schemas.openxmlformats.org/officeDocument/2006/relationships/revisionLog" Target="revisionLog378.xml"/><Relationship Id="rId6" Type="http://schemas.openxmlformats.org/officeDocument/2006/relationships/revisionLog" Target="revisionLog6.xml"/><Relationship Id="rId238" Type="http://schemas.openxmlformats.org/officeDocument/2006/relationships/revisionLog" Target="revisionLog238.xml"/><Relationship Id="rId291" Type="http://schemas.openxmlformats.org/officeDocument/2006/relationships/revisionLog" Target="revisionLog291.xml"/><Relationship Id="rId305" Type="http://schemas.openxmlformats.org/officeDocument/2006/relationships/revisionLog" Target="revisionLog305.xml"/><Relationship Id="rId347" Type="http://schemas.openxmlformats.org/officeDocument/2006/relationships/revisionLog" Target="revisionLog347.xml"/><Relationship Id="rId44" Type="http://schemas.openxmlformats.org/officeDocument/2006/relationships/revisionLog" Target="revisionLog44.xml"/><Relationship Id="rId86" Type="http://schemas.openxmlformats.org/officeDocument/2006/relationships/revisionLog" Target="revisionLog86.xml"/><Relationship Id="rId151" Type="http://schemas.openxmlformats.org/officeDocument/2006/relationships/revisionLog" Target="revisionLog151.xml"/><Relationship Id="rId193" Type="http://schemas.openxmlformats.org/officeDocument/2006/relationships/revisionLog" Target="revisionLog193.xml"/><Relationship Id="rId207" Type="http://schemas.openxmlformats.org/officeDocument/2006/relationships/revisionLog" Target="revisionLog207.xml"/><Relationship Id="rId249" Type="http://schemas.openxmlformats.org/officeDocument/2006/relationships/revisionLog" Target="revisionLog249.xml"/><Relationship Id="rId13" Type="http://schemas.openxmlformats.org/officeDocument/2006/relationships/revisionLog" Target="revisionLog13.xml"/><Relationship Id="rId109" Type="http://schemas.openxmlformats.org/officeDocument/2006/relationships/revisionLog" Target="revisionLog109.xml"/><Relationship Id="rId260" Type="http://schemas.openxmlformats.org/officeDocument/2006/relationships/revisionLog" Target="revisionLog260.xml"/><Relationship Id="rId316" Type="http://schemas.openxmlformats.org/officeDocument/2006/relationships/revisionLog" Target="revisionLog316.xml"/><Relationship Id="rId55" Type="http://schemas.openxmlformats.org/officeDocument/2006/relationships/revisionLog" Target="revisionLog55.xml"/><Relationship Id="rId97" Type="http://schemas.openxmlformats.org/officeDocument/2006/relationships/revisionLog" Target="revisionLog97.xml"/><Relationship Id="rId120" Type="http://schemas.openxmlformats.org/officeDocument/2006/relationships/revisionLog" Target="revisionLog120.xml"/><Relationship Id="rId358" Type="http://schemas.openxmlformats.org/officeDocument/2006/relationships/revisionLog" Target="revisionLog358.xml"/><Relationship Id="rId162" Type="http://schemas.openxmlformats.org/officeDocument/2006/relationships/revisionLog" Target="revisionLog162.xml"/><Relationship Id="rId218" Type="http://schemas.openxmlformats.org/officeDocument/2006/relationships/revisionLog" Target="revisionLog218.xml"/><Relationship Id="rId271" Type="http://schemas.openxmlformats.org/officeDocument/2006/relationships/revisionLog" Target="revisionLog271.xml"/><Relationship Id="rId24" Type="http://schemas.openxmlformats.org/officeDocument/2006/relationships/revisionLog" Target="revisionLog24.xml"/><Relationship Id="rId66" Type="http://schemas.openxmlformats.org/officeDocument/2006/relationships/revisionLog" Target="revisionLog66.xml"/><Relationship Id="rId131" Type="http://schemas.openxmlformats.org/officeDocument/2006/relationships/revisionLog" Target="revisionLog131.xml"/><Relationship Id="rId327" Type="http://schemas.openxmlformats.org/officeDocument/2006/relationships/revisionLog" Target="revisionLog327.xml"/><Relationship Id="rId369" Type="http://schemas.openxmlformats.org/officeDocument/2006/relationships/revisionLog" Target="revisionLog369.xml"/><Relationship Id="rId173" Type="http://schemas.openxmlformats.org/officeDocument/2006/relationships/revisionLog" Target="revisionLog173.xml"/><Relationship Id="rId229" Type="http://schemas.openxmlformats.org/officeDocument/2006/relationships/revisionLog" Target="revisionLog229.xml"/><Relationship Id="rId380" Type="http://schemas.openxmlformats.org/officeDocument/2006/relationships/revisionLog" Target="revisionLog380.xml"/><Relationship Id="rId240" Type="http://schemas.openxmlformats.org/officeDocument/2006/relationships/revisionLog" Target="revisionLog240.xml"/><Relationship Id="rId35" Type="http://schemas.openxmlformats.org/officeDocument/2006/relationships/revisionLog" Target="revisionLog35.xml"/><Relationship Id="rId77" Type="http://schemas.openxmlformats.org/officeDocument/2006/relationships/revisionLog" Target="revisionLog77.xml"/><Relationship Id="rId100" Type="http://schemas.openxmlformats.org/officeDocument/2006/relationships/revisionLog" Target="revisionLog100.xml"/><Relationship Id="rId282" Type="http://schemas.openxmlformats.org/officeDocument/2006/relationships/revisionLog" Target="revisionLog282.xml"/><Relationship Id="rId338" Type="http://schemas.openxmlformats.org/officeDocument/2006/relationships/revisionLog" Target="revisionLog338.xml"/><Relationship Id="rId8" Type="http://schemas.openxmlformats.org/officeDocument/2006/relationships/revisionLog" Target="revisionLog8.xml"/><Relationship Id="rId142" Type="http://schemas.openxmlformats.org/officeDocument/2006/relationships/revisionLog" Target="revisionLog142.xml"/><Relationship Id="rId184" Type="http://schemas.openxmlformats.org/officeDocument/2006/relationships/revisionLog" Target="revisionLog184.xml"/><Relationship Id="rId251" Type="http://schemas.openxmlformats.org/officeDocument/2006/relationships/revisionLog" Target="revisionLog251.xml"/><Relationship Id="rId46" Type="http://schemas.openxmlformats.org/officeDocument/2006/relationships/revisionLog" Target="revisionLog46.xml"/><Relationship Id="rId293" Type="http://schemas.openxmlformats.org/officeDocument/2006/relationships/revisionLog" Target="revisionLog293.xml"/><Relationship Id="rId307" Type="http://schemas.openxmlformats.org/officeDocument/2006/relationships/revisionLog" Target="revisionLog307.xml"/><Relationship Id="rId349" Type="http://schemas.openxmlformats.org/officeDocument/2006/relationships/revisionLog" Target="revisionLog349.xml"/><Relationship Id="rId88" Type="http://schemas.openxmlformats.org/officeDocument/2006/relationships/revisionLog" Target="revisionLog88.xml"/><Relationship Id="rId111" Type="http://schemas.openxmlformats.org/officeDocument/2006/relationships/revisionLog" Target="revisionLog111.xml"/><Relationship Id="rId153" Type="http://schemas.openxmlformats.org/officeDocument/2006/relationships/revisionLog" Target="revisionLog153.xml"/><Relationship Id="rId195" Type="http://schemas.openxmlformats.org/officeDocument/2006/relationships/revisionLog" Target="revisionLog195.xml"/><Relationship Id="rId209" Type="http://schemas.openxmlformats.org/officeDocument/2006/relationships/revisionLog" Target="revisionLog209.xml"/><Relationship Id="rId360" Type="http://schemas.openxmlformats.org/officeDocument/2006/relationships/revisionLog" Target="revisionLog360.xml"/><Relationship Id="rId220" Type="http://schemas.openxmlformats.org/officeDocument/2006/relationships/revisionLog" Target="revisionLog220.xml"/><Relationship Id="rId15" Type="http://schemas.openxmlformats.org/officeDocument/2006/relationships/revisionLog" Target="revisionLog15.xml"/><Relationship Id="rId57" Type="http://schemas.openxmlformats.org/officeDocument/2006/relationships/revisionLog" Target="revisionLog57.xml"/><Relationship Id="rId262" Type="http://schemas.openxmlformats.org/officeDocument/2006/relationships/revisionLog" Target="revisionLog262.xml"/><Relationship Id="rId318" Type="http://schemas.openxmlformats.org/officeDocument/2006/relationships/revisionLog" Target="revisionLog318.xml"/><Relationship Id="rId99" Type="http://schemas.openxmlformats.org/officeDocument/2006/relationships/revisionLog" Target="revisionLog99.xml"/><Relationship Id="rId122" Type="http://schemas.openxmlformats.org/officeDocument/2006/relationships/revisionLog" Target="revisionLog122.xml"/><Relationship Id="rId164" Type="http://schemas.openxmlformats.org/officeDocument/2006/relationships/revisionLog" Target="revisionLog164.xml"/><Relationship Id="rId371" Type="http://schemas.openxmlformats.org/officeDocument/2006/relationships/revisionLog" Target="revisionLog371.xml"/><Relationship Id="rId26" Type="http://schemas.openxmlformats.org/officeDocument/2006/relationships/revisionLog" Target="revisionLog26.xml"/><Relationship Id="rId231" Type="http://schemas.openxmlformats.org/officeDocument/2006/relationships/revisionLog" Target="revisionLog231.xml"/><Relationship Id="rId273" Type="http://schemas.openxmlformats.org/officeDocument/2006/relationships/revisionLog" Target="revisionLog273.xml"/><Relationship Id="rId329" Type="http://schemas.openxmlformats.org/officeDocument/2006/relationships/revisionLog" Target="revisionLog32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1270F62-204A-44D1-9A3E-0CF4C9570FBC}" diskRevisions="1" revisionId="3971" version="385">
  <header guid="{B885EAC7-20B3-4E13-9672-AB41FCD900F0}" dateTime="2026-04-29T15:17:14" maxSheetId="32" userName="Dive Centre Office" r:id="rId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8C1032E-A798-44E6-9100-CF7F7FD2EB51}" dateTime="2026-04-29T15:17:25" maxSheetId="32" userName="Dive Centre Office" r:id="rId2" minRId="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96CF0DB-E0AA-40D2-9898-2E0D4F548B62}" dateTime="2026-04-29T15:17:58" maxSheetId="32" userName="Dive Centre Office" r:id="rId3" minRId="2" maxRId="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387A306-72F9-4230-A10A-4CBDD09ED1D9}" dateTime="2026-04-29T15:18:54" maxSheetId="32" userName="Assistant DiveCenter Manager" r:id="rId4" minRId="5" maxRId="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546E8B9-1EB2-4C08-B40F-640F116A600B}" dateTime="2026-04-29T15:22:43" maxSheetId="32" userName="Assistant DiveCenter Manager" r:id="rId5" minRId="4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D051098-A3DD-417F-9DBA-16653CA9F55E}" dateTime="2026-04-29T15:25:21" maxSheetId="32" userName="Assistant DiveCenter Manager" r:id="rId6" minRId="41" maxRId="4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FB599C2-30B0-45DF-BF16-F0EEED16B123}" dateTime="2026-04-29T15:45:46" maxSheetId="32" userName="Dive Centre Office" r:id="rId7" minRId="47" maxRId="5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35431D9-361B-436A-8BF8-F158DB72EC52}" dateTime="2026-04-29T16:04:35" maxSheetId="32" userName="Dive Centre Office" r:id="rId8" minRId="53" maxRId="5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58CAA4A-125C-443C-BF1B-D46B9C999D6B}" dateTime="2026-04-29T17:01:45" maxSheetId="32" userName="Dive Centre Office" r:id="rId9" minRId="56" maxRId="5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B61329B-7067-4E18-B3A2-B5BC0A19A49D}" dateTime="2026-04-30T08:08:11" maxSheetId="32" userName="Dive Centre Office" r:id="rId10" minRId="60" maxRId="6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A601C9C-AA06-434C-8FD4-F3F895422635}" dateTime="2026-04-30T08:08:38" maxSheetId="32" userName="Dive Centre Office" r:id="rId11" minRId="64" maxRId="6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5B81BE0-B6F8-4189-A895-898A095C0658}" dateTime="2026-04-30T13:06:16" maxSheetId="32" userName="Dive Centre Office" r:id="rId12" minRId="66" maxRId="7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80C6380-5B1E-4679-96E9-EF4F4D703E37}" dateTime="2026-04-30T14:37:45" maxSheetId="32" userName="Dive Centre Office" r:id="rId13" minRId="75" maxRId="7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349D083-9561-4508-9C2B-186EEFF1A919}" dateTime="2026-04-30T15:30:43" maxSheetId="32" userName="Dive Centre Office" r:id="rId14" minRId="80" maxRId="8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2A8EAB0-20A0-49CA-B7B2-336161AC00FE}" dateTime="2026-04-30T15:34:19" maxSheetId="32" userName="Dhigurah Water Sports" r:id="rId15" minRId="90" maxRId="9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20C47FD-2C10-4386-8EF5-BED184C322E3}" dateTime="2026-04-30T16:00:50" maxSheetId="32" userName="Dive Centre Office" r:id="rId16" minRId="128" maxRId="13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91E5428-AC73-4D23-A44C-ADE86CE6C39F}" dateTime="2026-04-30T16:03:56" maxSheetId="32" userName="Dive Centre Office" r:id="rId17" minRId="136" maxRId="14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E7747A6-BED1-4627-B7EB-F7BABC1F3895}" dateTime="2026-04-30T16:04:33" maxSheetId="32" userName="Dive Centre Office" r:id="rId1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15217F5-177B-4B28-A69C-45488ACB719F}" dateTime="2026-04-30T16:07:03" maxSheetId="32" userName="Dive Centre Office" r:id="rId19" minRId="150" maxRId="15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756C682-1762-479C-9D89-D9172BBF1300}" dateTime="2026-04-30T16:14:50" maxSheetId="32" userName="Dive Centre Office" r:id="rId20" minRId="158" maxRId="17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659EB6E-B671-421B-95F3-E28F9A7AB94A}" dateTime="2026-04-30T16:18:59" maxSheetId="32" userName="Dive Centre Office" r:id="rId21" minRId="173" maxRId="17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A34235F-EDE5-4ABB-A10C-5B02E011E5B2}" dateTime="2026-04-30T16:19:49" maxSheetId="32" userName="Dive Centre Office" r:id="rId22" minRId="179" maxRId="18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5EA1DBB-A4FE-4ED5-9AF2-427172494B88}" dateTime="2026-04-30T16:30:23" maxSheetId="32" userName="Dive Centre Office" r:id="rId23" minRId="185" maxRId="19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A941E4F-B4B8-4576-A24B-385AF2642D10}" dateTime="2026-04-30T16:51:05" maxSheetId="32" userName="Dive Centre Office" r:id="rId24" minRId="192" maxRId="22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3D8AB22-6453-44F1-80A1-DBAD36F12F2C}" dateTime="2026-04-30T16:51:29" maxSheetId="32" userName="Dive Centre Office" r:id="rId25" minRId="226" maxRId="23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4EB3BCA-842B-4A5E-BDC1-299438B2D18F}" dateTime="2026-05-01T09:21:36" maxSheetId="32" userName="Dive Centre Office" r:id="rId26" minRId="233" maxRId="24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D5D7B1A-A013-45BA-A49E-0732F5370F44}" dateTime="2026-05-01T09:23:35" maxSheetId="32" userName="Dive Centre Office" r:id="rId27" minRId="244" maxRId="24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FBD28B7-9CE8-46A9-8907-CDD16CF30250}" dateTime="2026-05-01T10:48:56" maxSheetId="32" userName="Dive Centre Office" r:id="rId28" minRId="250" maxRId="25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02DA3A7-DF05-486C-AF77-865DADDF9EE6}" dateTime="2026-05-01T11:15:51" maxSheetId="32" userName="Dive Centre Office" r:id="rId29" minRId="253" maxRId="25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78BA68B-FD30-41B9-8726-2CBBF09ABE13}" dateTime="2026-05-01T11:16:59" maxSheetId="32" userName="Dive Centre Office" r:id="rId30" minRId="259" maxRId="26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2E0469E-F9DF-4BAF-ADF4-1E206448322B}" dateTime="2026-05-01T11:17:19" maxSheetId="32" userName="Dive Centre Office" r:id="rId31" minRId="263" maxRId="26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44AC8C2-E473-4345-9596-CEFF0E912022}" dateTime="2026-05-01T11:17:49" maxSheetId="32" userName="Dive Centre Office" r:id="rId32" minRId="266" maxRId="26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1878639-0690-4EC6-AAEE-C9B9C260265B}" dateTime="2026-05-01T11:18:21" maxSheetId="32" userName="Dive Centre Office" r:id="rId33" minRId="268" maxRId="27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52EEC06-FC15-44B1-866C-F7BE532EBD59}" dateTime="2026-05-01T13:33:42" maxSheetId="32" userName="Dive Centre Office" r:id="rId34" minRId="271" maxRId="29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A49C936-A9CD-43F7-B4D4-BDF3B24C982F}" dateTime="2026-05-01T13:36:07" maxSheetId="32" userName="Dive Centre Office" r:id="rId35" minRId="298" maxRId="43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62142B4-0EC7-4005-99BD-A92415D31EC4}" dateTime="2026-05-01T14:53:47" maxSheetId="32" userName="Dive Centre Office" r:id="rId36" minRId="435" maxRId="44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C7942C5-D771-497F-B832-F3743980D7EA}" dateTime="2026-05-01T15:40:23" maxSheetId="32" userName="Dive Centre Office" r:id="rId37" minRId="445" maxRId="44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C6F7938-6D4B-4602-8BFB-AEF8EDF8836A}" dateTime="2026-05-01T16:11:08" maxSheetId="32" userName="Dive Centre Office" r:id="rId38" minRId="447" maxRId="44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8CB1889-966D-4466-AFDD-F835A553D8A1}" dateTime="2026-05-01T16:24:07" maxSheetId="32" userName="Dive Centre Office" r:id="rId39" minRId="481" maxRId="48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6A5D7D0-9EBA-4F97-BB53-0220A062995A}" dateTime="2026-05-01T16:27:47" maxSheetId="32" userName="Dive Centre Office" r:id="rId4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84F2F77-1D4D-45E6-A9C5-6AE42DD5440B}" dateTime="2026-05-01T17:20:58" maxSheetId="32" userName="Dive Centre Office" r:id="rId41" minRId="546" maxRId="55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9E94BF6-CE0E-46BB-A861-ECEB78D017D4}" dateTime="2026-05-01T17:43:13" maxSheetId="32" userName="Assistant DiveCenter Manager" r:id="rId42" minRId="554" maxRId="55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C886B4A-773A-4907-B67A-0F86EFDA1792}" dateTime="2026-05-02T08:16:48" maxSheetId="32" userName="Dive Centre Office" r:id="rId43" minRId="556" maxRId="56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B802DAB-47EA-4C92-BCD0-76A99DB33D52}" dateTime="2026-05-02T08:17:41" maxSheetId="32" userName="Dive Centre Office" r:id="rId44" minRId="562" maxRId="56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3E8D8BF-7065-4EE1-9ADE-3C5B78960EC9}" dateTime="2026-05-02T08:19:57" maxSheetId="32" userName="Dive Centre Office" r:id="rId45" minRId="564" maxRId="56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3BA0558-E73E-4495-B516-B8BD2EFCFAD2}" dateTime="2026-05-02T08:20:28" maxSheetId="32" userName="Dive Centre Office" r:id="rId4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BFB3379-1DC8-4F49-AD39-C43926D1D40F}" dateTime="2026-05-02T08:46:21" maxSheetId="32" userName="Dive Centre Office" r:id="rId47" minRId="569" maxRId="57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2583ED6-F059-4DE1-853E-0D72BBD71518}" dateTime="2026-05-02T10:19:08" maxSheetId="32" userName="Dive Centre Office" r:id="rId48" minRId="572" maxRId="57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7467BAA-14EB-475A-843A-F6DFB95264B1}" dateTime="2026-05-02T10:19:52" maxSheetId="32" userName="Dive Centre Office" r:id="rId49" minRId="575" maxRId="57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C19915E-6E67-4A5E-9838-2349481EFBED}" dateTime="2026-05-02T10:20:34" maxSheetId="32" userName="Dive Centre Office" r:id="rId50" minRId="579" maxRId="58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87E82B3-CC5A-4D41-A00F-1B97159E1251}" dateTime="2026-05-02T10:52:58" maxSheetId="32" userName="Dive Centre Office" r:id="rId51" minRId="583" maxRId="58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1720374-5831-42E8-855F-00BEB51A1530}" dateTime="2026-05-02T10:55:56" maxSheetId="32" userName="Dive Centre Office" r:id="rId52" minRId="586" maxRId="58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BAE26F5-C1C6-4E31-B746-046381F5D654}" dateTime="2026-05-02T15:14:05" maxSheetId="32" userName="Dive Centre Office" r:id="rId53" minRId="589" maxRId="59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3679D9E-D563-4FF2-9A83-EBF460603EC3}" dateTime="2026-05-02T15:29:06" maxSheetId="32" userName="Dive Centre Office" r:id="rId54" minRId="592" maxRId="60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E7EF853-A862-45E1-9425-4E1794DC32F2}" dateTime="2026-05-02T16:36:01" maxSheetId="32" userName="Dive Centre Office" r:id="rId55" minRId="634" maxRId="64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6BE32D3-6CC6-47AE-A333-C3F840A73A3B}" dateTime="2026-05-02T16:36:42" maxSheetId="32" userName="Dive Centre Office" r:id="rId56" minRId="644" maxRId="64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38643A9-EF18-4AC2-9DF4-B5B2709338DC}" dateTime="2026-05-02T16:37:02" maxSheetId="32" userName="Dive Centre Office" r:id="rId57" minRId="650" maxRId="65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49036D6-7124-4E96-AB7A-9E68C26909DD}" dateTime="2026-05-02T16:38:16" maxSheetId="32" userName="Dive Centre Office" r:id="rId58" minRId="657" maxRId="66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4D6A8E2-5305-4B76-9562-BED92CD5DD47}" dateTime="2026-05-02T16:41:49" maxSheetId="32" userName="Dive Centre Office" r:id="rId5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47089EC-8C7F-4031-A175-B6878C1D24E3}" dateTime="2026-05-02T16:48:46" maxSheetId="32" userName="Dive Centre Office" r:id="rId6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654B5EF-6E50-4E32-B4D8-4F0DD2E977BC}" dateTime="2026-05-02T16:52:18" maxSheetId="32" userName="Dive Centre Office" r:id="rId6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78AD45F-B52B-42BC-86F7-7F1AFCCFBD9D}" dateTime="2026-05-02T17:01:41" maxSheetId="32" userName="Dive Centre Office" r:id="rId6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B98C582-4FD6-4FBF-B09B-38BBA0D25C20}" dateTime="2026-05-02T17:06:04" maxSheetId="32" userName="Dive Centre Office" r:id="rId63" minRId="664" maxRId="66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72E429A-BA82-4B44-8CEF-57FA2293E8A5}" dateTime="2026-05-03T08:44:08" maxSheetId="32" userName="Dive Centre Office" r:id="rId64" minRId="668" maxRId="67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C6109CB-93F4-47BA-A0B5-5763ACC2C7C6}" dateTime="2026-05-03T08:45:45" maxSheetId="32" userName="Dive Centre Office" r:id="rId65" minRId="705" maxRId="70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3EF1834-A2EF-43DB-BBA7-37D0E7E3E45D}" dateTime="2026-05-03T08:56:34" maxSheetId="32" userName="Dive Centre Office" r:id="rId66" minRId="707" maxRId="70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DC4C4A9-432C-4310-8A0B-38EA52A08D83}" dateTime="2026-05-03T08:57:32" maxSheetId="32" userName="Dive Centre Office" r:id="rId67" minRId="710" maxRId="71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E1D757A-E02E-4199-BCA1-AA7435542BD9}" dateTime="2026-05-03T09:06:00" maxSheetId="32" userName="Dive Centre Office" r:id="rId68" minRId="712" maxRId="71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2318871-2C6E-44DB-A61B-9FF25B2B7E95}" dateTime="2026-05-03T09:06:21" maxSheetId="32" userName="Dive Centre Office" r:id="rId69" minRId="715" maxRId="71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3D92A1B-A9BD-485F-9FC9-A698CA6EAD3C}" dateTime="2026-05-03T10:08:14" maxSheetId="32" userName="Dive Centre Office" r:id="rId70" minRId="717" maxRId="72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EC287AD-F232-4378-B570-69C91A33BD83}" dateTime="2026-05-03T10:36:43" maxSheetId="32" userName="Dive Centre Office" r:id="rId71" minRId="727" maxRId="73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6F22DFD-9373-4AFC-810B-EDB3D460D02F}" dateTime="2026-05-03T10:38:39" maxSheetId="32" userName="Dive Centre Office" r:id="rId72" minRId="732" maxRId="73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790217C-CD94-4831-BE2B-D510D7FFCE82}" dateTime="2026-05-03T13:43:38" maxSheetId="32" userName="Dive Centre Office" r:id="rId73" minRId="735" maxRId="73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80E5CD4-005B-490E-8E3A-2D93FE04336C}" dateTime="2026-05-03T13:48:22" maxSheetId="32" userName="Dive Centre Office" r:id="rId74" minRId="769" maxRId="77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01A1EBD-227E-4AEB-AE4E-114671E2ED19}" dateTime="2026-05-03T14:21:14" maxSheetId="32" userName="Dive Centre Office" r:id="rId75" minRId="772" maxRId="77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F7FDC28-8FD6-4642-8868-667D35733971}" dateTime="2026-05-03T15:09:17" maxSheetId="32" userName="Dive Centre Office" r:id="rId76" minRId="776" maxRId="77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95E013A-B71F-4515-8FDA-48D5BDCF3459}" dateTime="2026-05-03T15:09:55" maxSheetId="32" userName="Dive Centre Office" r:id="rId77" minRId="778" maxRId="78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3FABC84-8A37-4C2F-8B59-14AE9AF3AD15}" dateTime="2026-05-03T15:41:56" maxSheetId="32" userName="Dive Centre Office" r:id="rId78" minRId="781" maxRId="79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840E215-2AFE-4FC7-B14C-078AA4392498}" dateTime="2026-05-03T16:08:43" maxSheetId="32" userName="Dive Centre Office" r:id="rId79" minRId="829" maxRId="84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C8B5E9F-D268-42DB-B4AA-B473E77D6BEF}" dateTime="2026-05-03T17:17:07" maxSheetId="32" userName="Dive Centre Office" r:id="rId80" minRId="873" maxRId="87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DFDC529-DADA-429D-8E8A-C0E3C63C0FA1}" dateTime="2026-05-04T08:24:43" maxSheetId="32" userName="Dive Centre Office" r:id="rId81" minRId="878" maxRId="88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4D33F89-6FAC-4483-BAA8-60DD22D80A4F}" dateTime="2026-05-04T09:29:30" maxSheetId="32" userName="Dive Centre Office" r:id="rId82" minRId="883" maxRId="88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3193C56-C4D9-45FB-ADEA-84B16327FB8F}" dateTime="2026-05-04T09:33:41" maxSheetId="32" userName="Dive Centre Office" r:id="rId83" minRId="885" maxRId="89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8C9A184-71EB-4CA3-9EA0-AC4BF72291E5}" dateTime="2026-05-04T09:34:14" maxSheetId="32" userName="Dive Centre Office" r:id="rId84" minRId="891" maxRId="89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735BB46-B393-4D50-AF94-1E95F5192331}" dateTime="2026-05-04T09:35:37" maxSheetId="32" userName="Dive Centre Office" r:id="rId85" minRId="89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26383BE-1704-4EAB-B342-3C0EDB1F0105}" dateTime="2026-05-04T10:10:01" maxSheetId="32" userName="Dive Centre Office" r:id="rId86" minRId="896" maxRId="89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1374506-86AA-4274-9569-9AF6642F60F2}" dateTime="2026-05-04T10:10:25" maxSheetId="32" userName="Dive Centre Office" r:id="rId87" minRId="899" maxRId="90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D7B7882-E943-4CC5-8609-E9E4A253F77D}" dateTime="2026-05-04T10:19:29" maxSheetId="32" userName="Dive Centre Office" r:id="rId88" minRId="901" maxRId="90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508C244-3885-4333-ADD9-D6ABAF95B7E1}" dateTime="2026-05-04T12:00:28" maxSheetId="32" userName="Dive Centre Office" r:id="rId8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ECF891D-8859-4C78-90C3-88CF068E7187}" dateTime="2026-05-04T14:13:33" maxSheetId="32" userName="Dive Centre Office" r:id="rId90" minRId="937" maxRId="94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65CA593-0164-4F58-ABFB-6C6003DC94D6}" dateTime="2026-05-04T14:55:14" maxSheetId="32" userName="Assistant DiveCenter Manager" r:id="rId91" minRId="943" maxRId="94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A4F821F-9C89-4AC4-A952-BA2D20D724CD}" dateTime="2026-05-04T15:22:43" maxSheetId="32" userName="Dive Centre Office" r:id="rId92" minRId="949" maxRId="95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BFBFBF7-AED7-4393-8531-7C24DA18E53E}" dateTime="2026-05-04T15:58:47" maxSheetId="32" userName="Dive Centre Office" r:id="rId93" minRId="952" maxRId="100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0B0E900-E31C-4AC8-ADCB-E9BF63475D0F}" dateTime="2026-05-04T16:05:33" maxSheetId="32" userName="Dive Centre Office" r:id="rId9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0668371-9FC0-4CE3-9A79-5F2E3BA76129}" dateTime="2026-05-04T16:07:12" maxSheetId="32" userName="Dive Centre Office" r:id="rId95" minRId="1004" maxRId="100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6D6F299-11AB-4530-B2BE-04A3FA7500ED}" dateTime="2026-05-04T16:40:25" maxSheetId="32" userName="Dive Centre Office" r:id="rId9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C03A354-B54B-4892-8680-C8265494F6B0}" dateTime="2026-05-04T16:49:22" maxSheetId="32" userName="Dive Centre Office" r:id="rId9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714CE23-4A35-4176-93DE-0F2EA718AEDC}" dateTime="2026-05-04T16:52:06" maxSheetId="32" userName="Dive Centre Office" r:id="rId9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C4AA2E2-C9D8-4533-8E22-9B98708CFA15}" dateTime="2026-05-04T17:00:14" maxSheetId="32" userName="Dive Centre Office" r:id="rId9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D218C8B-89D3-467D-8FF6-81E284E37FEB}" dateTime="2026-05-04T17:04:26" maxSheetId="32" userName="Assistant DiveCenter Manager" r:id="rId100" minRId="1008" maxRId="100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24150C8-9809-4FCF-9DC4-2DAABCA3F110}" dateTime="2026-05-04T17:09:56" maxSheetId="32" userName="Assistant DiveCenter Manager" r:id="rId101" minRId="101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165FBC6-45A9-4F1C-8672-78F790295596}" dateTime="2026-05-04T17:35:36" maxSheetId="32" userName="Assistant DiveCenter Manager" r:id="rId102" minRId="104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B7AC9EF-77A2-487B-A562-0D70B0FE573D}" dateTime="2026-05-04T17:38:57" maxSheetId="32" userName="Dive Centre Office" r:id="rId103" minRId="1043" maxRId="104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1328473-82DC-4460-983C-34E0A1079C0F}" dateTime="2026-05-05T08:35:46" maxSheetId="32" userName="Assistant DiveCenter Manager" r:id="rId104" minRId="1046" maxRId="105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C8A14E2-6FE8-483E-A560-EEEEA5F9F83D}" dateTime="2026-05-05T08:51:27" maxSheetId="32" userName="Dive Centre Office" r:id="rId105" minRId="1059" maxRId="106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AD2DC91-30E4-4627-AB57-98228BB1D1CC}" dateTime="2026-05-05T08:52:27" maxSheetId="32" userName="Dive Centre Office" r:id="rId10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C6E6468-606B-4B51-A1E7-5F717FA8AAFD}" dateTime="2026-05-05T09:51:38" maxSheetId="32" userName="Dive Centre Office" r:id="rId107" minRId="1061" maxRId="106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3A93F5E-54D2-4EE4-A7D0-AC2A567C2713}" dateTime="2026-05-05T10:28:54" maxSheetId="32" userName="Dive Centre Office" r:id="rId108" minRId="1068" maxRId="107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29FBA52-0E6D-4337-BC6C-9683D04D3147}" dateTime="2026-05-05T10:43:42" maxSheetId="32" userName="Dive Centre Office" r:id="rId109" minRId="1104" maxRId="110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AD7B192-7679-4EDD-A4AA-431337ED5E45}" dateTime="2026-05-05T11:10:44" maxSheetId="32" userName="Dive Centre Office" r:id="rId110" minRId="1110" maxRId="111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F806A44-50A4-42C8-BFE4-C48DBF09020B}" dateTime="2026-05-05T11:20:52" maxSheetId="32" userName="Dive Centre Office" r:id="rId111" minRId="1146" maxRId="114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76B7135-D1FC-4BC6-9DCE-FDD67E750522}" dateTime="2026-05-05T11:40:22" maxSheetId="32" userName="Dive Centre Office" r:id="rId112" minRId="1148" maxRId="114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9506DEE-CE71-4195-ADD0-5BAC5344013B}" dateTime="2026-05-05T13:38:30" maxSheetId="32" userName="Dive Centre Office" r:id="rId113" minRId="1150" maxRId="119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6CDFBC3-565D-43CC-BCD2-0BEC6222EAEF}" dateTime="2026-05-05T13:40:36" maxSheetId="32" userName="Assistant DiveCenter Manager" r:id="rId11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F4A688A-90FE-4531-8054-5B57257030B5}" dateTime="2026-05-05T13:41:12" maxSheetId="32" userName="Assistant DiveCenter Manager" r:id="rId115" minRId="126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0F4F07F-0CDD-45D1-89FD-8CC54CBBBD7B}" dateTime="2026-05-05T13:41:52" maxSheetId="32" userName="Dive Centre Office" r:id="rId11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DEB32C4-9674-4BC2-A2D5-8D13BCC5ACC2}" dateTime="2026-05-05T13:45:13" maxSheetId="32" userName="Dive Centre Office" r:id="rId117" minRId="1263" maxRId="126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F122616-5BBD-4A04-B123-A4AB98CAEEF3}" dateTime="2026-05-05T13:59:49" maxSheetId="32" userName="Dive Centre Office" r:id="rId118" minRId="1269" maxRId="128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A2FA159-8C65-48A6-9293-737705DC7C22}" dateTime="2026-05-05T13:59:55" maxSheetId="32" userName="Dive Centre Office" r:id="rId119" minRId="1317" maxRId="131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8953711-1110-47C5-B2D9-2910D021A2F2}" dateTime="2026-05-05T14:05:33" maxSheetId="32" userName="Assistant DiveCenter Manager" r:id="rId12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7CBAC13-C4A8-4B9F-A0CC-7C698A075BEF}" dateTime="2026-05-05T14:30:55" maxSheetId="32" userName="Dive Centre Office" r:id="rId121" minRId="1350" maxRId="135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C98FD1C-09CB-472E-8757-A2B356342933}" dateTime="2026-05-05T15:51:35" maxSheetId="32" userName="Dive Centre Office" r:id="rId12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0ABAEEC-CCA6-4883-91C1-A03AFDFCFA8E}" dateTime="2026-05-05T15:55:20" maxSheetId="32" userName="Dive Centre Office" r:id="rId123" minRId="1384" maxRId="139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60A7A7F-279D-48DD-BB2B-2BA4540D2CF9}" dateTime="2026-05-05T16:00:26" maxSheetId="32" userName="Dive Centre Office" r:id="rId124" minRId="1428" maxRId="143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1A61B6A-4454-48C8-A57F-B8CAF0E288AE}" dateTime="2026-05-05T16:02:32" maxSheetId="32" userName="Dive Centre Office" r:id="rId125" minRId="1435" maxRId="144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882E78B-D3D7-405C-9348-4CE934AF2A2A}" dateTime="2026-05-05T16:06:03" maxSheetId="32" userName="Dive Centre Office" r:id="rId126" minRId="1447" maxRId="146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F8DBB1D-3AFE-43F7-8C10-AFD54ABA628B}" dateTime="2026-05-05T16:10:18" maxSheetId="32" userName="Dive Centre Office" r:id="rId12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3F3A20E-6AB9-465B-AC6C-89AFF7815765}" dateTime="2026-05-05T16:26:06" maxSheetId="32" userName="Dive Centre Office" r:id="rId128" minRId="1465" maxRId="147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129945C-996E-4A93-8D57-853BFA03550D}" dateTime="2026-05-05T16:39:10" maxSheetId="32" userName="Dive Centre Office" r:id="rId129" minRId="1471" maxRId="147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F5A3452-9006-496B-B883-6A9B48FAFDEB}" dateTime="2026-05-05T16:39:29" maxSheetId="32" userName="Dive Centre Office" r:id="rId130" minRId="1477" maxRId="148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6FEF8C1-CC5A-4A6D-BD66-E1A0ADDF1B18}" dateTime="2026-05-05T16:46:23" maxSheetId="32" userName="Assistant DiveCenter Manager" r:id="rId131" minRId="148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CC3C2F6-7B04-421A-B4AC-44F2A6912979}" dateTime="2026-05-05T17:32:50" maxSheetId="32" userName="Dive Centre Office" r:id="rId132" minRId="1485" maxRId="148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BE5B71E-ED39-43AD-9C71-A91B55D63AA2}" dateTime="2026-05-05T17:33:48" maxSheetId="32" userName="Dive Centre Office" r:id="rId133" minRId="1488" maxRId="149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B34BA58-0FE3-47E1-A894-853571403A60}" dateTime="2026-05-06T07:43:15" maxSheetId="32" userName="Dive Centre Office" r:id="rId134" minRId="1492" maxRId="150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7105CB9-BC7D-44C8-879C-48B4E7C0612F}" dateTime="2026-05-06T08:48:45" maxSheetId="32" userName="Dive Centre Office" r:id="rId135" minRId="1506" maxRId="151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85A941A-A184-4091-B9D4-2BA032C8C616}" dateTime="2026-05-06T09:02:55" maxSheetId="32" userName="Assistant DiveCenter Manager" r:id="rId136" minRId="1511" maxRId="151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67B86E5-8878-4577-B564-EE10A754CC43}" dateTime="2026-05-06T10:10:46" maxSheetId="32" userName="Dive Centre Office" r:id="rId137" minRId="1550" maxRId="155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F049811-4E7F-4F79-B1E9-A00167E72FFF}" dateTime="2026-05-06T10:11:56" maxSheetId="32" userName="Dive Centre Office" r:id="rId138" minRId="1553" maxRId="155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7AB446E-FB3C-426C-B098-E6C03BE61BE2}" dateTime="2026-05-06T10:37:56" maxSheetId="32" userName="Dive Centre Office" r:id="rId139" minRId="1555" maxRId="155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FEE3A8D-4DEF-493F-97A1-3E625F644F82}" dateTime="2026-05-06T11:01:19" maxSheetId="32" userName="Dive Centre Office" r:id="rId140" minRId="1560" maxRId="157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270E64A-4348-47F7-B314-4A6CC4B91BD6}" dateTime="2026-05-06T11:02:28" maxSheetId="32" userName="Dive Centre Office" r:id="rId141" minRId="157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C0597B3-C9DD-4F19-B255-083295F78720}" dateTime="2026-05-06T11:14:05" maxSheetId="32" userName="Dive Centre Office" r:id="rId142" minRId="1574" maxRId="160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2E699C8-059F-4BBE-BF95-69953D9AD94D}" dateTime="2026-05-06T11:20:17" maxSheetId="32" userName="Dive Centre Office" r:id="rId143" minRId="1603" maxRId="160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F6E8096-5AE8-4EDA-B543-6F90D8291696}" dateTime="2026-05-06T14:08:23" maxSheetId="32" userName="Dive Centre Office" r:id="rId144" minRId="1609" maxRId="163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0099525-55D6-42D1-B600-96240A8E0BA9}" dateTime="2026-05-06T14:08:42" maxSheetId="32" userName="Dive Centre Office" r:id="rId145" minRId="1636" maxRId="163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B88804C-8854-415F-A5A5-63EEA6F7664C}" dateTime="2026-05-06T14:09:46" maxSheetId="32" userName="Dive Centre Office" r:id="rId146" minRId="1640" maxRId="164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1612CF4-93C1-4260-93F7-A9BF84FEEEEE}" dateTime="2026-05-06T15:43:01" maxSheetId="32" userName="Dive Centre Office" r:id="rId147" minRId="1644" maxRId="164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9A39F5B-B176-4652-B3E2-F5332FC9FFB0}" dateTime="2026-05-06T15:48:16" maxSheetId="32" userName="Dive Centre Office" r:id="rId148" minRId="164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55AFCD5-7594-4467-9185-04EA08A79850}" dateTime="2026-05-06T15:50:14" maxSheetId="32" userName="Dive Centre Office" r:id="rId149" minRId="164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4DA6D2F-2F4B-4F85-A641-77F49AC9D598}" dateTime="2026-05-06T16:02:22" maxSheetId="32" userName="Dive Centre Office" r:id="rId150" minRId="1648" maxRId="167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33DABD3-6060-4856-92EA-923EAF4FEA9A}" dateTime="2026-05-06T16:16:15" maxSheetId="32" userName="Dive Centre Office" r:id="rId15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5B7C53C-55AE-4E95-AF6A-253AE75E419C}" dateTime="2026-05-06T16:40:20" maxSheetId="32" userName="Dive Centre Office" r:id="rId152" minRId="1680" maxRId="170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C0A6091-904C-4C3A-857A-C07A11830937}" dateTime="2026-05-06T16:41:30" maxSheetId="32" userName="Dive Centre Office" r:id="rId153" minRId="170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27AA600-945C-416D-A9C1-7902FEE60391}" dateTime="2026-05-06T16:42:18" maxSheetId="32" userName="Dive Centre Office" r:id="rId15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F9B28C6-10FB-4F93-A21A-BE933CDFCA9F}" dateTime="2026-05-06T16:43:45" maxSheetId="32" userName="Dive Centre Office" r:id="rId15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2C5D537-0B57-4E43-B5A6-640AD17070C3}" dateTime="2026-05-06T16:47:11" maxSheetId="32" userName="Dive Centre Office" r:id="rId156" minRId="1703" maxRId="171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731C909-EE65-4D16-9DE6-215D67579F9C}" dateTime="2026-05-06T16:48:09" maxSheetId="32" userName="Dive Centre Office" r:id="rId15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A1FBA4D-517E-49FB-9F67-1EFA4F4EEE80}" dateTime="2026-05-06T16:52:14" maxSheetId="32" userName="Dive Centre Office" r:id="rId158" minRId="1711" maxRId="171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DEE167F-DEB3-4426-9F2A-2A19C9E819CB}" dateTime="2026-05-06T16:54:04" maxSheetId="32" userName="Dive Centre Office" r:id="rId159" minRId="1716" maxRId="171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8F82AAB-44E2-4936-8456-87D63923B33D}" dateTime="2026-05-06T16:57:02" maxSheetId="32" userName="Dive Centre Office" r:id="rId16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0F8E328-289B-4809-AD27-AE02E5DBC713}" dateTime="2026-05-06T16:57:29" maxSheetId="32" userName="Dive Centre Office" r:id="rId161" minRId="171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6DB99B6-856A-419C-86D3-71D81D18E873}" dateTime="2026-05-06T17:04:12" maxSheetId="32" userName="Dive Centre Office" r:id="rId162" minRId="1720" maxRId="172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48863A6-5B66-44D7-82AC-7EB54C200C90}" dateTime="2026-05-07T09:19:24" maxSheetId="32" userName="Dive Centre Office" r:id="rId163" minRId="172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F51A5F4-4468-4C0E-8C2B-955AECC263B2}" dateTime="2026-05-07T09:19:53" maxSheetId="32" userName="Dive Centre Office" r:id="rId164" minRId="1723" maxRId="172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FEACCD9-A52F-44BF-9B11-1F7A199F6687}" dateTime="2026-05-07T09:20:01" maxSheetId="32" userName="Assistant DiveCenter Manager" r:id="rId165" minRId="172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2278469-D180-4D60-BD81-E0F9AC4D98B8}" dateTime="2026-05-07T09:20:38" maxSheetId="32" userName="Dive Centre Office" r:id="rId166" minRId="1726" maxRId="172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6B375EA-0165-44A5-8745-4680C7F33D8D}" dateTime="2026-05-07T09:21:23" maxSheetId="32" userName="Dive Centre Office" r:id="rId167" minRId="172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B919E8A-9143-4768-90FC-83C98FFB1748}" dateTime="2026-05-07T13:57:24" maxSheetId="32" userName="Dive Centre Office" r:id="rId168" minRId="1730" maxRId="173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4A7B1B4-5A98-421C-927C-614AA3454478}" dateTime="2026-05-07T14:02:13" maxSheetId="32" userName="Dive Centre Office" r:id="rId169" minRId="1736" maxRId="173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FF57D7A-FF5F-4353-B865-3E4C3143DF73}" dateTime="2026-05-07T14:07:56" maxSheetId="32" userName="Dive Centre Office" r:id="rId170" minRId="1738" maxRId="174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1DD55F4-2BC2-45A6-A83B-5361C473C2CB}" dateTime="2026-05-07T14:08:05" maxSheetId="32" userName="Dive Centre Office" r:id="rId171" minRId="174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A1656E8-1B96-4C46-A4D9-D1D06D86C9EA}" dateTime="2026-05-07T14:14:54" maxSheetId="32" userName="Dive Centre Office" r:id="rId172" minRId="1744" maxRId="177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F1E3C06-99C8-4FBA-8DEC-A9FE1244BDF3}" dateTime="2026-05-07T14:18:03" maxSheetId="32" userName="Dive Centre Office" r:id="rId173" minRId="1810" maxRId="181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C25CC0D-9F30-47C2-A3F1-E9ED5022E15F}" dateTime="2026-05-07T14:20:12" maxSheetId="32" userName="Dive Centre Office" r:id="rId174" minRId="1815" maxRId="181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B18297C-F710-4AA2-88A8-47B7CE22E046}" dateTime="2026-05-07T14:20:28" maxSheetId="32" userName="Dive Centre Office" r:id="rId17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33A27B7-F2AD-4071-8CB0-CDD3A9DA752C}" dateTime="2026-05-07T14:21:11" maxSheetId="32" userName="Dive Centre Office" r:id="rId176" minRId="1819" maxRId="182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A1D85B6-7EA2-4CC7-8E78-A9C120E3FB07}" dateTime="2026-05-07T14:21:21" maxSheetId="32" userName="Dive Centre Office" r:id="rId17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3273F12-28F9-479A-92E0-2F907A38D9C0}" dateTime="2026-05-07T14:22:00" maxSheetId="32" userName="Dive Centre Office" r:id="rId17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AA8A575-35A3-4C4B-AE71-EA555F014D50}" dateTime="2026-05-07T15:10:28" maxSheetId="32" userName="Dive Centre Office" r:id="rId179" minRId="1822" maxRId="182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C990401-C652-4D65-8A24-AA1E496F31F1}" dateTime="2026-05-07T15:10:36" maxSheetId="32" userName="Dive Centre Office" r:id="rId180" minRId="182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B0BAE6B-FF09-43B7-A8CB-3B1D577F2079}" dateTime="2026-05-07T15:41:02" maxSheetId="32" userName="Dive Centre Office" r:id="rId181" minRId="1829" maxRId="184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359AF2A-9D79-41B2-BEE3-C6B610CEF74F}" dateTime="2026-05-07T15:42:36" maxSheetId="32" userName="Dive Centre Office" r:id="rId182" minRId="1841" maxRId="184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AF510DD-1AC6-4F1F-A9AD-6378A7477934}" dateTime="2026-05-07T15:43:32" maxSheetId="32" userName="Dive Centre Office" r:id="rId18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292F1A0-BA25-4001-83D1-4DEC407B4FFB}" dateTime="2026-05-07T15:45:32" maxSheetId="32" userName="Dive Centre Office" r:id="rId18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4E676AB-359D-4D74-831C-F0E755C82BBC}" dateTime="2026-05-07T15:46:05" maxSheetId="32" userName="Dive Centre Office" r:id="rId185" minRId="1849" maxRId="185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87464BC-8227-4244-8296-5C56D4B9D9F1}" dateTime="2026-05-07T15:46:55" maxSheetId="32" userName="Dive Centre Office" r:id="rId186" minRId="185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50A70F4-5922-4767-A007-43B2FB3D0584}" dateTime="2026-05-07T15:48:21" maxSheetId="32" userName="Dive Centre Office" r:id="rId187" minRId="1857" maxRId="186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14C8678-3126-4FFD-B5B3-246E9E558212}" dateTime="2026-05-07T15:48:28" maxSheetId="32" userName="Dive Centre Office" r:id="rId18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4F15804-A97D-4DF3-A049-00287AB23060}" dateTime="2026-05-07T15:48:37" maxSheetId="32" userName="Dive Centre Office" r:id="rId18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D2B254E-C6D7-499C-8D5E-EC3E09CE1665}" dateTime="2026-05-07T15:49:30" maxSheetId="32" userName="Dive Centre Office" r:id="rId190" minRId="1863" maxRId="187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52EE363-3C2E-49F7-97E3-12433295E86D}" dateTime="2026-05-07T15:51:45" maxSheetId="32" userName="Dive Centre Office" r:id="rId191" minRId="1904" maxRId="190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35B8EBE-DF3A-419F-AB6B-1B17EE779C37}" dateTime="2026-05-07T15:51:56" maxSheetId="32" userName="Dive Centre Office" r:id="rId192" minRId="191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C862F9D-B329-4AE7-956E-4D1924D4AF48}" dateTime="2026-05-07T16:09:10" maxSheetId="32" userName="Dive Centre Office" r:id="rId19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8741F83-F993-46B1-B8DA-01B1097C75CB}" dateTime="2026-05-07T16:10:14" maxSheetId="32" userName="Dive Centre Office" r:id="rId194" minRId="1911" maxRId="191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7411CE3-639A-4D8C-8510-F332BFFCF08D}" dateTime="2026-05-07T16:11:31" maxSheetId="32" userName="Dive Centre Office" r:id="rId195" minRId="1917" maxRId="192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D269CC9-3603-4D23-B10E-30518B85DA1D}" dateTime="2026-05-07T16:11:52" maxSheetId="32" userName="Dive Centre Office" r:id="rId196" minRId="192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019C6CC-A6CF-4F77-8FE0-B76BA9EB2901}" dateTime="2026-05-07T16:45:38" maxSheetId="32" userName="Dive Centre Office" r:id="rId197" minRId="1926" maxRId="193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5B10331-C117-4322-9868-6C64517B4F51}" dateTime="2026-05-07T16:45:48" maxSheetId="32" userName="Dive Centre Office" r:id="rId198" minRId="193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470400B-A630-42CA-B8D7-6B8FF30BC04D}" dateTime="2026-05-07T17:04:03" maxSheetId="32" userName="Dive Centre Office" r:id="rId199" minRId="1935" maxRId="194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59C47C2-8A09-4A5F-9B46-2F11B943455A}" dateTime="2026-05-08T07:48:34" maxSheetId="32" userName="Dive Centre Office" r:id="rId200" minRId="1946" maxRId="195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7F920AF-642B-4A34-BCB7-365480135F66}" dateTime="2026-05-08T07:49:19" maxSheetId="32" userName="Dive Centre Office" r:id="rId201" minRId="1951" maxRId="195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316FD45-4649-41AE-BDEC-69622D3A6B09}" dateTime="2026-05-08T09:53:17" maxSheetId="32" userName="Assistant DiveCenter Manager" r:id="rId202" minRId="1956" maxRId="195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BBBF77E-95B1-461D-A7EC-4251BE9941BE}" dateTime="2026-05-08T10:00:09" maxSheetId="32" userName="Dive Centre Office" r:id="rId203" minRId="1958" maxRId="196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5B504CA-9619-49D2-A513-D6C86E1857AA}" dateTime="2026-05-08T10:06:18" maxSheetId="32" userName="Dive Centre Office" r:id="rId204" minRId="1963" maxRId="196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0FBB5A9-10C3-456B-AF81-3D210A53CB00}" dateTime="2026-05-08T10:07:19" maxSheetId="32" userName="Dive Centre Office" r:id="rId205" minRId="196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4D7ED50-CD4E-49A2-B277-06456FD80C6C}" dateTime="2026-05-08T10:08:19" maxSheetId="32" userName="Dive Centre Office" r:id="rId206" minRId="1970" maxRId="197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F0719C5-6B11-45B4-9843-74D779D6DBE0}" dateTime="2026-05-08T10:10:15" maxSheetId="32" userName="Dive Centre Office" r:id="rId207" minRId="1976" maxRId="197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92EFEBD-19DF-47F0-B797-68EC42DB5237}" dateTime="2026-05-08T10:11:07" maxSheetId="32" userName="Dive Centre Office" r:id="rId208" minRId="1979" maxRId="198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100B24F-1306-4BD5-9E1F-646F4D4E7966}" dateTime="2026-05-08T10:45:57" maxSheetId="32" userName="Dive Centre Office" r:id="rId209" minRId="1982" maxRId="198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72B28A5-0810-4C4D-B23E-C9612FF5ECE0}" dateTime="2026-05-08T10:46:17" maxSheetId="32" userName="Dive Centre Office" r:id="rId210" minRId="1984" maxRId="198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DC6FB7F-A28C-478C-841F-56816DAA7170}" dateTime="2026-05-08T11:55:01" maxSheetId="32" userName="Dive Centre Office" r:id="rId211" minRId="1986" maxRId="198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8661BFE-EF09-4549-850B-A11206B6A64F}" dateTime="2026-05-08T13:00:50" maxSheetId="32" userName="Dive Centre Office" r:id="rId212" minRId="1990" maxRId="199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EE93015-5A92-432E-A8A0-E8F2A5E2603D}" dateTime="2026-05-08T13:32:22" maxSheetId="32" userName="Assistant DiveCenter Manager" r:id="rId213" minRId="1993" maxRId="204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FBAC612-632B-4680-A5DC-B6206040137D}" dateTime="2026-05-08T13:35:00" maxSheetId="32" userName="Dive Centre Office" r:id="rId214" minRId="2041" maxRId="204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C19F247-1613-4B70-B2B4-0D474B93C7CF}" dateTime="2026-05-08T13:35:13" maxSheetId="32" userName="Dive Centre Office" r:id="rId215" minRId="204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0DE9740-0298-4175-A15A-2FAE05E2E6E0}" dateTime="2026-05-08T15:00:27" maxSheetId="32" userName="Dive Centre Office" r:id="rId216" minRId="2044" maxRId="204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B8E21BA-E419-4B87-8FBB-5D3F5EF5AC9D}" dateTime="2026-05-08T15:29:22" maxSheetId="32" userName="Dive Centre Office" r:id="rId21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798D219-086D-4097-9522-5924B3A60FB4}" dateTime="2026-05-08T15:42:41" maxSheetId="32" userName="Dive Centre Office" r:id="rId218" minRId="2049" maxRId="205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6CB8533-1D74-4AC9-89F8-84EA2F60F0C2}" dateTime="2026-05-08T15:45:17" maxSheetId="32" userName="Assistant DiveCenter Manager" r:id="rId219" minRId="2055" maxRId="206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FC1149A-10B0-48E0-8851-229D90D07861}" dateTime="2026-05-08T15:45:24" maxSheetId="32" userName="Dive Centre Office" r:id="rId220" minRId="2061" maxRId="206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B9317C5-ACA9-4416-9E4F-30EBFFB28048}" dateTime="2026-05-08T15:45:34" maxSheetId="32" userName="Dive Centre Office" r:id="rId22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8BDD770-98D8-474E-B940-0287F73605F5}" dateTime="2026-05-08T15:47:58" maxSheetId="32" userName="Dive Centre Office" r:id="rId222" minRId="2067" maxRId="207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E0C6CCD-E16E-437A-A1C9-011E9B56F093}" dateTime="2026-05-08T15:48:26" maxSheetId="32" userName="Dive Centre Office" r:id="rId223" minRId="2073" maxRId="207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2D73B8C-0BDD-4B7B-AED6-A1FE4975EB52}" dateTime="2026-05-08T15:50:12" maxSheetId="32" userName="Dive Centre Office" r:id="rId224" minRId="2079" maxRId="208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1DDD173-F32C-4D82-89FB-B52C3FF023E5}" dateTime="2026-05-08T15:53:18" maxSheetId="32" userName="Dive Centre Office" r:id="rId225" minRId="208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5F7BE44-9332-4AC2-BB90-A7098D20CC7D}" dateTime="2026-05-08T15:54:05" maxSheetId="32" userName="Dive Centre Office" r:id="rId226" minRId="2087" maxRId="209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FB25632-CA02-4919-B9EF-240596FEB0FB}" dateTime="2026-05-08T16:00:48" maxSheetId="32" userName="Dive Centre Office" r:id="rId227" minRId="209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7B48369-C813-4157-9F88-3B6C0DACE6A6}" dateTime="2026-05-08T16:06:30" maxSheetId="32" userName="Dive Centre Office" r:id="rId228" minRId="209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46A4C48-AD5C-4FB5-ABAE-3EE17B7FD810}" dateTime="2026-05-08T16:06:59" maxSheetId="32" userName="Dive Centre Office" r:id="rId229" minRId="2095" maxRId="210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CC56516-2AEE-491F-945F-8B33D30D983B}" dateTime="2026-05-08T16:13:41" maxSheetId="32" userName="Dive Centre Office" r:id="rId230" minRId="2101" maxRId="210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D1F1B98-1CC4-4F71-9C06-8A0EF1A813E4}" dateTime="2026-05-08T16:43:52" maxSheetId="32" userName="Dive Centre Office" r:id="rId231" minRId="2104" maxRId="211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4762CC9-BCFC-46F0-AD42-E78B9FB18775}" dateTime="2026-05-08T17:23:51" maxSheetId="32" userName="Dive Centre Office" r:id="rId232" minRId="2117" maxRId="212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C578443-D3A8-4A53-98F2-FAC71C96CA5C}" dateTime="2026-05-09T08:00:16" maxSheetId="32" userName="Dive Centre Office" r:id="rId23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2E90041-A0A8-4CCD-8C23-441EA7947B55}" dateTime="2026-05-09T11:55:39" maxSheetId="32" userName="Assistant DiveCenter Manager" r:id="rId23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20856AE-8AB4-4082-9E2E-E952FCD1F8E6}" dateTime="2026-05-09T13:28:11" maxSheetId="32" userName="Dive Centre Office" r:id="rId23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FB8068F-CCEA-41FB-A4F2-89F7F4BA9208}" dateTime="2026-05-09T13:28:29" maxSheetId="32" userName="Dive Centre Office" r:id="rId236" minRId="2155" maxRId="216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4C87CD5-2666-4C39-ACFE-37EC36B2FE18}" dateTime="2026-05-09T13:30:49" maxSheetId="32" userName="Dive Centre Office" r:id="rId237" minRId="2201" maxRId="220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B917CC4-7809-43BC-B486-CD88524FA69E}" dateTime="2026-05-09T13:39:22" maxSheetId="32" userName="Dive Centre Office" r:id="rId238" minRId="2204" maxRId="220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E609F3B-DD2F-4AE5-B4A1-ABD3DBD4A84C}" dateTime="2026-05-09T13:49:41" maxSheetId="32" userName="Dive Centre Office" r:id="rId239" minRId="2209" maxRId="221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CB6AA43-11A7-4AB0-BA08-871323E4163E}" dateTime="2026-05-09T13:50:55" maxSheetId="32" userName="Dive Centre Office" r:id="rId240" minRId="2214" maxRId="227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8F5AE89-43B5-4601-950C-021F2DBA50A2}" dateTime="2026-05-09T14:09:33" maxSheetId="32" userName="Dive Centre Office" r:id="rId241" minRId="2311" maxRId="232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FF25FAD-0199-4446-A2AD-301167F5AFBE}" dateTime="2026-05-09T14:10:52" maxSheetId="32" userName="Dive Centre Office" r:id="rId242" minRId="232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A279681-34B9-4887-BCE8-42DD209F3BEB}" dateTime="2026-05-09T14:11:43" maxSheetId="32" userName="Dive Centre Office" r:id="rId243" minRId="2330" maxRId="233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7B490E4-0573-4269-AA2B-54B8E55DC80C}" dateTime="2026-05-09T14:11:49" maxSheetId="32" userName="Dive Centre Office" r:id="rId244" minRId="2332" maxRId="233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363CBEA-67A3-434E-933B-EFC7C1EBDA9C}" dateTime="2026-05-09T14:12:05" maxSheetId="32" userName="Dive Centre Office" r:id="rId24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CB5B5FD-4710-44D5-93A3-8A0CB637F484}" dateTime="2026-05-09T14:13:19" maxSheetId="32" userName="Dive Centre Office" r:id="rId246" minRId="2334" maxRId="233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994B791-E9DB-4F51-8E03-072F798B1E69}" dateTime="2026-05-09T14:58:35" maxSheetId="32" userName="Dive Centre Office" r:id="rId247" minRId="2338" maxRId="234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28E664B-F480-4E6E-9B87-98279A22C678}" dateTime="2026-05-09T15:33:53" maxSheetId="32" userName="Dive Centre Office" r:id="rId248" minRId="2342" maxRId="236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09512DA-90A8-4506-9BAF-3A4752097BEE}" dateTime="2026-05-09T15:40:43" maxSheetId="32" userName="Dive Centre Office" r:id="rId249" minRId="2361" maxRId="237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4662673-39BE-4A32-9B05-BC93FFA70DC6}" dateTime="2026-05-09T15:41:18" maxSheetId="32" userName="Dive Centre Office" r:id="rId250" minRId="2373" maxRId="237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5678620-521D-4697-A1DF-7E938E2BF609}" dateTime="2026-05-09T15:41:39" maxSheetId="32" userName="Dive Centre Office" r:id="rId251" minRId="2380" maxRId="238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F3F1E1C-9E59-4531-B820-FBDCD03DA3F8}" dateTime="2026-05-09T15:47:00" maxSheetId="32" userName="Dive Centre Office" r:id="rId252" minRId="2388" maxRId="239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CA71AD1-73D5-45BE-96C7-745D10CB721C}" dateTime="2026-05-09T15:47:07" maxSheetId="32" userName="Dive Centre Office" r:id="rId253" minRId="239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8D6AEBC-640E-46B6-9A6E-5D3917E1F496}" dateTime="2026-05-09T15:56:08" maxSheetId="32" userName="Dive Centre Office" r:id="rId254" minRId="2395" maxRId="240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2749380-CFBE-425E-A2BC-81154F615E18}" dateTime="2026-05-09T16:06:04" maxSheetId="32" userName="Dive Centre Office" r:id="rId255" minRId="2402" maxRId="240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6854D01-69E1-4572-A70F-F916035690A3}" dateTime="2026-05-09T16:06:14" maxSheetId="32" userName="Dive Centre Office" r:id="rId256" minRId="241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86E2AFF-A862-41F9-A34F-0C1A1DBF2504}" dateTime="2026-05-09T16:10:25" maxSheetId="32" userName="Dive Centre Office" r:id="rId257" minRId="2411" maxRId="241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9264705-8FA5-42EB-8157-D59A27B7F375}" dateTime="2026-05-09T16:12:12" maxSheetId="32" userName="Dive Centre Office" r:id="rId258" minRId="2417" maxRId="242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E800030-F6E1-42DE-A4E3-5AD633A0874A}" dateTime="2026-05-09T16:20:26" maxSheetId="32" userName="Dive Centre Office" r:id="rId25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3C2DB25-55A8-4BF6-B399-FC9358E1390C}" dateTime="2026-05-09T16:22:35" maxSheetId="32" userName="Dive Centre Office" r:id="rId260" minRId="2423" maxRId="242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FAE4EBB-8B64-4A18-977E-31E49EC358FF}" dateTime="2026-05-09T16:22:57" maxSheetId="32" userName="Dive Centre Office" r:id="rId261" minRId="243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0CF041D-E953-4DA4-86D5-1D1DA28BF3E4}" dateTime="2026-05-09T16:24:16" maxSheetId="32" userName="Dive Centre Office" r:id="rId26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E95F2AC-C277-4C41-8EBE-FBC9023ABA85}" dateTime="2026-05-09T16:30:34" maxSheetId="32" userName="Dive Centre Office" r:id="rId26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89522B6-484E-4511-A2A5-09644B37CCF9}" dateTime="2026-05-09T16:58:44" maxSheetId="32" userName="Assistant DiveCenter Manager" r:id="rId264" minRId="2431" maxRId="243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3E86D48-8BE3-4E85-A215-7AEB33E14FC7}" dateTime="2026-05-09T16:59:11" maxSheetId="32" userName="Assistant DiveCenter Manager" r:id="rId265" minRId="243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BF6E094-B896-4397-A898-26A36FB8E506}" dateTime="2026-05-09T17:01:19" maxSheetId="32" userName="Dive Centre Office" r:id="rId266" minRId="2435" maxRId="243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75431DF-5283-42D3-801E-6EE6C5000B67}" dateTime="2026-05-09T17:01:31" maxSheetId="32" userName="Dive Centre Office" r:id="rId267" minRId="2437" maxRId="244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1A94474-5DCD-4917-8B4A-108D0727B669}" dateTime="2026-05-09T17:01:37" maxSheetId="32" userName="Dive Centre Office" r:id="rId268" minRId="244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80C3F77-37E6-487F-B691-D55FB3D9921A}" dateTime="2026-05-09T17:05:42" maxSheetId="32" userName="Assistant DiveCenter Manager" r:id="rId269" minRId="244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91EAC46-62C8-41E4-85BF-1FA2A48FACCA}" dateTime="2026-05-10T09:11:02" maxSheetId="32" userName="Dive Centre Office" r:id="rId270" minRId="2445" maxRId="245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119D936-8C52-4A3D-A714-D3D0E3460F10}" dateTime="2026-05-10T10:27:43" maxSheetId="32" userName="Dive Centre Office" r:id="rId271" minRId="2451" maxRId="245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BBFCE94-C33B-4692-AFFF-6D3703D9E7B2}" dateTime="2026-05-10T10:31:34" maxSheetId="32" userName="Dive Centre Office" r:id="rId272" minRId="2454" maxRId="245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354EE8D-EC00-494C-B9FE-1E6522BC61B8}" dateTime="2026-05-10T10:33:13" maxSheetId="32" userName="Dive Centre Office" r:id="rId273" minRId="2459" maxRId="246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C7121E4-6F09-4DEF-8E8B-6FEF24FEDE41}" dateTime="2026-05-10T10:33:43" maxSheetId="32" userName="Dive Centre Office" r:id="rId274" minRId="2462" maxRId="246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0BD8A5D-856E-4E33-8D84-2F15DBD4E731}" dateTime="2026-05-10T15:00:00" maxSheetId="32" userName="Dive Centre Office" r:id="rId275" minRId="2464" maxRId="246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CC88687-7113-4D3B-9689-7DF3C34E2F36}" dateTime="2026-05-10T15:00:15" maxSheetId="32" userName="Dive Centre Office" r:id="rId276" minRId="2502" maxRId="251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2162C58-C090-4D03-A145-CC2FC8F23655}" dateTime="2026-05-10T15:18:08" maxSheetId="32" userName="Dive Centre Office" r:id="rId277" minRId="2514" maxRId="251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BF4A53B-A085-4E51-AB95-B7344A19FE53}" dateTime="2026-05-10T15:20:44" maxSheetId="32" userName="Dive Centre Office" r:id="rId278" minRId="251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CD3EB11-35EE-4704-9AE8-2FA4635021A9}" dateTime="2026-05-10T15:23:51" maxSheetId="32" userName="Dive Centre Office" r:id="rId279" minRId="2517" maxRId="252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F222B7F-DBD4-4106-8C55-F7B82639D7B6}" dateTime="2026-05-10T15:25:13" maxSheetId="32" userName="Dive Centre Office" r:id="rId280" minRId="2524" maxRId="252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30FB0BC-D5A2-40A2-9B51-BF2E20F90682}" dateTime="2026-05-10T15:52:16" maxSheetId="32" userName="Dive Centre Office" r:id="rId281" minRId="252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59805A4-3B2F-4FBD-926A-1FE238BB9871}" dateTime="2026-05-10T15:52:48" maxSheetId="32" userName="Dive Centre Office" r:id="rId282" minRId="2529" maxRId="253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697F29C-0E93-4F7A-B7EB-BC87CCE7C677}" dateTime="2026-05-10T15:56:46" maxSheetId="32" userName="Dive Centre Office" r:id="rId28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9310CFD-9363-414A-913D-C2CC60DFD7D0}" dateTime="2026-05-10T15:57:12" maxSheetId="32" userName="Dive Centre Office" r:id="rId284" minRId="2531" maxRId="253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ECA282A-FB0A-4446-836E-A868DD6B062B}" dateTime="2026-05-10T16:13:08" maxSheetId="32" userName="Dive Centre Office" r:id="rId285" minRId="2537" maxRId="254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5CA227F-9902-4781-B885-0A008571084C}" dateTime="2026-05-10T16:13:17" maxSheetId="32" userName="Dive Centre Office" r:id="rId28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F167790-C0B4-4D46-AF1B-F36DDB64AE29}" dateTime="2026-05-10T16:35:28" maxSheetId="32" userName="Dive Centre Office" r:id="rId287" minRId="2543" maxRId="254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7D6B520-C5DC-43F0-A61A-8DF097711DA3}" dateTime="2026-05-10T16:51:00" maxSheetId="32" userName="Dive Centre Office" r:id="rId288" minRId="2545" maxRId="255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263B20E-A5DB-42CA-9CD9-2607827000B2}" dateTime="2026-05-10T16:51:05" maxSheetId="32" userName="Dive Centre Office" r:id="rId28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26D1249-C23D-426B-AE25-F957D9C8C760}" dateTime="2026-05-10T16:51:35" maxSheetId="32" userName="Dive Centre Office" r:id="rId290" minRId="255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563F7D9-4189-463F-B018-E372269E38CB}" dateTime="2026-05-10T16:51:42" maxSheetId="32" userName="Dive Centre Office" r:id="rId291" minRId="255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49EB01C-D589-4970-8EEF-1F9DB1CCB4FF}" dateTime="2026-05-10T16:51:52" maxSheetId="32" userName="Dive Centre Office" r:id="rId292" minRId="255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A829B77-E00D-4A58-B0F1-83C0F74EE960}" dateTime="2026-05-11T09:10:42" maxSheetId="32" userName="Dive Centre Office" r:id="rId293" minRId="2554" maxRId="255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6628496-BD09-45CE-B099-FB586225339E}" dateTime="2026-05-11T09:35:04" maxSheetId="32" userName="Dive Centre Office" r:id="rId294" minRId="2559" maxRId="256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A87F2F2-2B0D-4AC2-BBBA-3EC6AB3FF7A8}" dateTime="2026-05-11T09:41:02" maxSheetId="32" userName="Dive Centre Office" r:id="rId295" minRId="2562" maxRId="256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F447FC2-41A8-4A3A-87FE-B0673812602D}" dateTime="2026-05-11T09:41:34" maxSheetId="32" userName="Dive Centre Office" r:id="rId296" minRId="2564" maxRId="256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29BA823-6781-43C6-B03A-E3CDA6C77F21}" dateTime="2026-05-11T09:53:41" maxSheetId="32" userName="Dive Centre Office" r:id="rId297" minRId="2567" maxRId="256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A5141D7-078C-4C7D-8BF9-F3D2EC03099D}" dateTime="2026-05-11T10:36:16" maxSheetId="32" userName="Dive Centre Office" r:id="rId298" minRId="257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16F8B82-C9FA-4FB4-A6F5-BD799D1A283B}" dateTime="2026-05-11T10:36:24" maxSheetId="32" userName="Dive Centre Office" r:id="rId299" minRId="2571" maxRId="257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35AB838-F6EA-42EF-8594-3500BF20024F}" dateTime="2026-05-11T10:52:06" maxSheetId="32" userName="Dive Centre Office" r:id="rId300" minRId="2573" maxRId="258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2A75F18-3EC4-48D9-863F-E9E830A32793}" dateTime="2026-05-11T10:59:59" maxSheetId="32" userName="Dive Centre Office" r:id="rId301" minRId="2582" maxRId="258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25DFC5F-6620-4FB7-B3A0-EAFB56C6CD2B}" dateTime="2026-05-11T13:37:20" maxSheetId="32" userName="Dive Centre Office" r:id="rId30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7A02F12-3708-47C6-9243-A873AD5E6179}" dateTime="2026-05-11T13:48:54" maxSheetId="32" userName="Dive Centre Office" r:id="rId30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89EB4BC-3590-4970-8189-C0EF3A874F37}" dateTime="2026-05-11T14:19:25" maxSheetId="32" userName="Dive Centre Office" r:id="rId304" minRId="2587" maxRId="259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530EC52-3FEB-4DBB-A796-5504F9167084}" dateTime="2026-05-11T15:00:12" maxSheetId="32" userName="Dive Centre Office" r:id="rId305" minRId="2591" maxRId="259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F1A9ECE-E396-422F-AB2D-376661DD8709}" dateTime="2026-05-11T15:05:38" maxSheetId="32" userName="Dive Centre Office" r:id="rId306" minRId="259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BAD9D9F-14C4-4CE3-B9F4-272EACDD9B28}" dateTime="2026-05-11T15:07:51" maxSheetId="32" userName="Dive Centre Office" r:id="rId307" minRId="2594" maxRId="260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A42FAEA-004D-4D61-8C1A-F68748DFB21D}" dateTime="2026-05-11T15:08:30" maxSheetId="32" userName="Dive Centre Office" r:id="rId308" minRId="2601" maxRId="260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675129D-F637-4E49-BFC3-CBBA7C320413}" dateTime="2026-05-11T15:19:12" maxSheetId="32" userName="Dive Centre Office" r:id="rId309" minRId="2604" maxRId="262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B88FA07-4F89-473C-95D3-0FAE97D0B550}" dateTime="2026-05-11T15:23:44" maxSheetId="32" userName="Dive Centre Office" r:id="rId310" minRId="2621" maxRId="264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632C749-6525-4BA7-9097-8D1AEE6BCDE6}" dateTime="2026-05-11T15:27:03" maxSheetId="32" userName="Dive Centre Office" r:id="rId311" minRId="2643" maxRId="264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0EEFADF-2007-4067-8584-916DDCEAE979}" dateTime="2026-05-11T15:28:04" maxSheetId="32" userName="Dive Centre Office" r:id="rId312" minRId="2648" maxRId="264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74A4608-B375-41E5-BECD-45E89B36FE24}" dateTime="2026-05-11T15:49:38" maxSheetId="32" userName="Dive Centre Office" r:id="rId313" minRId="2650" maxRId="265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1A17F51-7CC4-4C37-AA2F-803A21A39880}" dateTime="2026-05-11T16:03:36" maxSheetId="32" userName="Dive Centre Office" r:id="rId314" minRId="2652" maxRId="265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1472567-353A-489A-AFF0-C6B0239A2696}" dateTime="2026-05-11T16:04:05" maxSheetId="32" userName="Dive Centre Office" r:id="rId315" minRId="265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145CBF4-4983-4DB7-BC92-44DC1D08D6E1}" dateTime="2026-05-11T16:07:21" maxSheetId="32" userName="Dive Centre Office" r:id="rId316" minRId="265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8F978B4-436D-44D9-802C-1CE4B9FF383B}" dateTime="2026-05-11T16:19:42" maxSheetId="32" userName="Dive Centre Office" r:id="rId317" minRId="2660" maxRId="266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0EE7226-C5B8-4A65-87EF-E2C2DF077E29}" dateTime="2026-05-11T16:20:38" maxSheetId="32" userName="Dive Centre Office" r:id="rId318" minRId="2666" maxRId="267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E37CC5C-3DB7-4113-AE4A-2A2D83C188B1}" dateTime="2026-05-12T09:45:50" maxSheetId="32" userName="Dive Centre Office" r:id="rId319" minRId="2672" maxRId="268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07CA3F3-B784-47C4-8E6A-881A9C9B1385}" dateTime="2026-05-12T09:46:51" maxSheetId="32" userName="Dive Centre Office" r:id="rId320" minRId="2682" maxRId="268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C73E8BE-B030-4C0E-B8AF-519E16DACB6A}" dateTime="2026-05-12T10:09:21" maxSheetId="32" userName="Dive Centre Office" r:id="rId321" minRId="2684" maxRId="268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F9E8B6C-47AA-4668-8FDD-B74A413487EB}" dateTime="2026-05-12T10:40:13" maxSheetId="32" userName="Dive Centre Office" r:id="rId322" minRId="2689" maxRId="269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B89316F-D6BC-4291-8229-DE84019793B6}" dateTime="2026-05-12T10:48:09" maxSheetId="32" userName="Assistant DiveCenter Manager" r:id="rId323" minRId="2692" maxRId="278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C4ABD0F-E0EB-4B42-8ACA-74B86F8287C1}" dateTime="2026-05-12T10:50:46" maxSheetId="32" userName="Dive Centre Office" r:id="rId324" minRId="2788" maxRId="279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7C62EDC-07BB-4A0F-A087-120E228AF967}" dateTime="2026-05-12T11:08:03" maxSheetId="32" userName="Dive Centre Office" r:id="rId325" minRId="2791" maxRId="279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5818794-071C-4C05-B331-C4B63F64B1BA}" dateTime="2026-05-12T14:02:20" maxSheetId="32" userName="Dive Centre Office" r:id="rId326" minRId="2797" maxRId="287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B6784CD-E0B3-40D8-8B77-F74C95C7E8F4}" dateTime="2026-05-12T14:04:05" maxSheetId="32" userName="Dive Centre Office" r:id="rId327" minRId="287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D3D3238-D102-401D-9952-4EB06DE8DCFD}" dateTime="2026-05-12T14:08:55" maxSheetId="32" userName="Dive Centre Office" r:id="rId328" minRId="2873" maxRId="288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719D5A3-69DD-433A-B940-175078927EAE}" dateTime="2026-05-12T14:15:53" maxSheetId="32" userName="Dive Centre Office" r:id="rId329" minRId="2887" maxRId="290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68CA863-0BF8-42F8-BE41-1D40BC89574C}" dateTime="2026-05-12T14:17:05" maxSheetId="32" userName="Dive Centre Office" r:id="rId330" minRId="2905" maxRId="291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D7864F3-E48A-431E-B210-B8941CE112E5}" dateTime="2026-05-12T14:17:24" maxSheetId="32" userName="Dive Centre Office" r:id="rId331" minRId="2917" maxRId="292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F4EDCB2-1D17-437B-A4DF-190E37D473D1}" dateTime="2026-05-12T14:18:35" maxSheetId="32" userName="Dive Centre Office" r:id="rId332" minRId="2921" maxRId="299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A33ED12-00A2-4591-A87B-85B47E6B13B4}" dateTime="2026-05-12T14:19:21" maxSheetId="32" userName="Dive Centre Office" r:id="rId333" minRId="3000" maxRId="310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AABC00D-BF0C-471B-8D8A-A38EE0B34CD5}" dateTime="2026-05-12T14:19:25" maxSheetId="32" userName="Dive Centre Office" r:id="rId33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E96C1AE-0E46-4A3C-AB59-C1293E7A3D17}" dateTime="2026-05-12T14:57:12" maxSheetId="32" userName="Dive Centre Office" r:id="rId335" minRId="3108" maxRId="311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4B83222-4899-4014-BC4E-5BA81F448B25}" dateTime="2026-05-12T15:15:46" maxSheetId="32" userName="Dive Centre Office" r:id="rId336" minRId="311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6B08C11-6DC0-4B69-BF08-14534F536102}" dateTime="2026-05-12T15:15:49" maxSheetId="32" userName="Dive Centre Office" r:id="rId33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E835C42-3564-402C-AD66-B26A27B1987C}" dateTime="2026-05-12T15:16:25" maxSheetId="32" userName="Dive Centre Office" r:id="rId338" minRId="3148" maxRId="325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B2B3B21-25E5-4C80-993A-6827BFD86221}" dateTime="2026-05-12T15:22:07" maxSheetId="32" userName="Dive Centre Office" r:id="rId339" minRId="3287" maxRId="328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AC53AC6-BE86-42AD-B863-2F5E50842221}" dateTime="2026-05-12T15:26:12" maxSheetId="32" userName="Dive Centre Office" r:id="rId340" minRId="3290" maxRId="329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36BA744-87F5-44E2-BC5B-685E71013FD8}" dateTime="2026-05-12T15:54:04" maxSheetId="32" userName="Dive Centre Office" r:id="rId341" minRId="3296" maxRId="340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6584B76-10CC-4867-A213-D560466A985B}" dateTime="2026-05-12T15:55:36" maxSheetId="32" userName="Dive Centre Office" r:id="rId342" minRId="3409" maxRId="342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48C8866-18A8-449B-9E6D-BE9154973C51}" dateTime="2026-05-12T15:57:35" maxSheetId="32" userName="Dive Centre Office" r:id="rId343" minRId="3457" maxRId="347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B6D75E1-3D04-4C40-83FC-C644E8818823}" dateTime="2026-05-12T16:34:35" maxSheetId="32" userName="Dive Centre Office" r:id="rId344" minRId="3510" maxRId="351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D168E28-073F-414E-968E-60CB94CBA8BC}" dateTime="2026-05-12T16:38:05" maxSheetId="32" userName="Dive Centre Office" r:id="rId345" minRId="3515" maxRId="351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D977A36-6640-4A79-B7EF-F60CB5D5B90C}" dateTime="2026-05-12T16:38:22" maxSheetId="32" userName="Dive Centre Office" r:id="rId346" minRId="352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4E267AC-7EC7-45B8-8F01-1FDA55129041}" dateTime="2026-05-12T16:39:10" maxSheetId="32" userName="Dive Centre Office" r:id="rId347" minRId="352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0FD0199-98BB-4BC7-83A5-D46F4429E1AC}" dateTime="2026-05-13T08:01:54" maxSheetId="32" userName="Assistant DiveCenter Manager" r:id="rId348" minRId="3522" maxRId="355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C647FE8-14A5-4305-97E3-B780087CD8EA}" dateTime="2026-05-13T08:21:29" maxSheetId="32" userName="Dive Centre Office" r:id="rId349" minRId="355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69FE5AD-2D85-496F-86E6-DCB2226F3AAF}" dateTime="2026-05-13T09:09:57" maxSheetId="32" userName="Dive Centre Office" r:id="rId350" minRId="3553" maxRId="355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8298CBB-2767-4841-B4CA-6513FC1031E4}" dateTime="2026-05-13T10:52:10" maxSheetId="32" userName="Dive Centre Office" r:id="rId351" minRId="3556" maxRId="356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5842068-7A6E-419E-A15A-49FD0EA7663D}" dateTime="2026-05-13T13:49:25" maxSheetId="32" userName="Dive Centre Office" r:id="rId352" minRId="356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316F863-249A-43F6-A42F-A9F1C0600B72}" dateTime="2026-05-13T13:50:56" maxSheetId="32" userName="Dive Centre Office" r:id="rId353" minRId="356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F79243D-542E-4537-BAB2-A03177C71E6F}" dateTime="2026-05-13T13:51:59" maxSheetId="32" userName="Dive Centre Office" r:id="rId354" minRId="3598" maxRId="360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E0D7678-7C6F-463E-9C7B-B349C00D9EB5}" dateTime="2026-05-13T13:59:01" maxSheetId="32" userName="Dive Centre Office" r:id="rId355" minRId="3601" maxRId="361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D4B79F1-FF1C-4593-AB95-B26C5A18DDBB}" dateTime="2026-05-13T14:03:55" maxSheetId="32" userName="Dive Centre Office" r:id="rId356" minRId="3612" maxRId="361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70E8141-3912-4DBF-9E79-BFFCD19DB8D3}" dateTime="2026-05-13T14:04:04" maxSheetId="32" userName="Dive Centre Office" r:id="rId357" minRId="3616" maxRId="361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784C3C9-21EB-414E-8031-447EE13ECB53}" dateTime="2026-05-13T14:32:25" maxSheetId="32" userName="Dive Centre Office" r:id="rId358" minRId="361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33D5F70-1115-4638-A86C-309FA7F002A2}" dateTime="2026-05-13T15:05:56" maxSheetId="32" userName="Dive Centre Office" r:id="rId359" minRId="3619" maxRId="363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2127A81-A9CA-40B0-BEDD-047A04B47B8E}" dateTime="2026-05-13T15:07:55" maxSheetId="32" userName="Dive Centre Office" r:id="rId360" minRId="3672" maxRId="367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59FEB03-2A27-47C3-862A-161FF67CC4C3}" dateTime="2026-05-13T15:08:28" maxSheetId="32" userName="Dive Centre Office" r:id="rId361" minRId="3677" maxRId="3703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03D7163-E785-46E2-BAE5-2B8789B7CF74}" dateTime="2026-05-13T15:13:12" maxSheetId="32" userName="Dive Centre Office" r:id="rId362" minRId="3736" maxRId="376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C27D509-D894-4448-A036-24738D60B2A4}" dateTime="2026-05-13T15:54:52" maxSheetId="32" userName="Dive Centre Office" r:id="rId363" minRId="376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3835A3E-B269-4398-9F19-B05D6E6BCC4E}" dateTime="2026-05-13T16:17:06" maxSheetId="32" userName="Dive Centre Office" r:id="rId364" minRId="3768" maxRId="377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679B18C-1883-48B4-A0E3-13D4F061B4C4}" dateTime="2026-05-13T17:18:32" maxSheetId="32" userName="Dive Centre Office" r:id="rId365" minRId="3778" maxRId="378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8B79AAE-AA61-4D7D-979B-D5F9A0371FED}" dateTime="2026-05-14T08:22:25" maxSheetId="32" userName="Assistant DiveCenter Manager" r:id="rId366" minRId="378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4D3E29D-419A-4369-94F7-33CADC952E90}" dateTime="2026-05-14T09:07:31" maxSheetId="32" userName="Dive Centre Office" r:id="rId367" minRId="3782" maxRId="378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D8720A9-14D4-4798-91F2-90CB6EF5AEB7}" dateTime="2026-05-14T09:07:40" maxSheetId="32" userName="Dive Centre Office" r:id="rId368" minRId="381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797B7C8-C593-4F5A-AB5B-933174D5C864}" dateTime="2026-05-14T09:08:07" maxSheetId="32" userName="Dive Centre Office" r:id="rId369" minRId="3820" maxRId="382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E4E8756-4509-4BC4-8512-D05098FF5C6F}" dateTime="2026-05-14T09:14:55" maxSheetId="32" userName="Dive Centre Office" r:id="rId37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56F32FFF-5D2F-4435-B4DE-D14F794B104C}" dateTime="2026-05-14T09:16:40" maxSheetId="32" userName="Dive Centre Office" r:id="rId371" minRId="3822" maxRId="382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01C88DD-A4E3-48BF-89A1-93FEB27BFD38}" dateTime="2026-05-14T09:17:01" maxSheetId="32" userName="Dive Centre Office" r:id="rId372" minRId="3825" maxRId="382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EE6E7F5-51EB-4765-9EB0-0F2971372008}" dateTime="2026-05-14T09:17:09" maxSheetId="32" userName="Dive Centre Office" r:id="rId373" minRId="3827" maxRId="382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C71328B-B32F-4EAD-A256-7E9E66D68B57}" dateTime="2026-05-14T10:41:51" maxSheetId="32" userName="Dive Centre Office" r:id="rId374" minRId="3829" maxRId="383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1D6D691B-E7B7-42D5-92CB-1CFDC4022319}" dateTime="2026-05-14T14:28:13" maxSheetId="32" userName="Dive Centre Office" r:id="rId375" minRId="3835" maxRId="384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20ACF5A-3406-4B7A-A9C9-4056300BC4D7}" dateTime="2026-05-14T14:28:21" maxSheetId="32" userName="Dive Centre Office" r:id="rId376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F6D7DD84-4F04-4C44-8D3A-9F02660A8E9C}" dateTime="2026-05-14T14:28:56" maxSheetId="32" userName="Dive Centre Office" r:id="rId377" minRId="384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71A180B-0F33-4B30-9787-43AB6433B9C7}" dateTime="2026-05-14T14:29:03" maxSheetId="32" userName="Dive Centre Office" r:id="rId37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445CD327-4D96-49D7-9382-D6A3A61F50E5}" dateTime="2026-05-14T14:29:56" maxSheetId="32" userName="Dive Centre Office" r:id="rId379" minRId="3843" maxRId="385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7FFF15B6-4858-4B51-A74F-D9C1C930470B}" dateTime="2026-05-14T16:14:18" maxSheetId="32" userName="Dive Centre Office" r:id="rId380" minRId="388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C9D75838-70A7-41B4-8DB1-34676E709EB6}" dateTime="2026-05-14T16:14:52" maxSheetId="32" userName="Dive Centre Office" r:id="rId381" minRId="3889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6857E23-65A1-44DB-BE11-942C8EA14721}" dateTime="2026-05-14T16:15:44" maxSheetId="32" userName="Dive Centre Office" r:id="rId38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3B582B6A-A2E8-4758-80CA-85A2AFDD8529}" dateTime="2026-05-15T08:02:29" maxSheetId="32" userName="Assistant DiveCenter Manager" r:id="rId383" minRId="3890" maxRId="389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818ECA89-FC1F-4D09-9F30-E1EA758935F2}" dateTime="2026-05-15T09:09:00" maxSheetId="32" userName="Assistant DiveCenter Manager" r:id="rId384" minRId="3930" maxRId="393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1270F62-204A-44D1-9A3E-0CF4C9570FBC}" dateTime="2026-05-15T10:01:46" maxSheetId="32" userName="Dive Centre Office" r:id="rId385" minRId="3967" maxRId="397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E10">
      <v>2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" sId="1">
    <nc r="C10" t="inlineStr">
      <is>
        <t>Guijun Hwang</t>
      </is>
    </nc>
  </rcc>
  <rcc rId="3" sId="1" numFmtId="19">
    <nc r="D10">
      <v>46145</v>
    </nc>
  </rcc>
  <rcc rId="4" sId="1">
    <nc r="I10" t="inlineStr">
      <is>
        <t>Rahil</t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C11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cc rId="5" sId="5" xfDxf="1" dxf="1">
    <nc r="C11" t="inlineStr">
      <is>
        <t xml:space="preserve">Mrs. Tinna Berg </t>
      </is>
    </nc>
    <ndxf>
      <font>
        <sz val="12"/>
        <name val="Verdana"/>
        <scheme val="none"/>
      </font>
    </ndxf>
  </rcc>
  <rcc rId="6" sId="5">
    <nc r="B11" t="inlineStr">
      <is>
        <t>Prebooking</t>
      </is>
    </nc>
  </rcc>
  <rcc rId="7" sId="5">
    <nc r="E11">
      <v>2</v>
    </nc>
  </rcc>
  <rcc rId="8" sId="5">
    <nc r="I11" t="inlineStr">
      <is>
        <t>Sushmita/Tarush</t>
      </is>
    </nc>
  </rcc>
  <rdn rId="0" localSheetId="1" customView="1" name="Z_B3797D0B_1E44_402B_AD05_6509081B1712_.wvu.PrintArea" hidden="1" oldHidden="1">
    <formula>'1'!$A$1:$J$38</formula>
  </rdn>
  <rdn rId="0" localSheetId="2" customView="1" name="Z_B3797D0B_1E44_402B_AD05_6509081B1712_.wvu.PrintArea" hidden="1" oldHidden="1">
    <formula>'2'!$A$1:$J$38</formula>
  </rdn>
  <rdn rId="0" localSheetId="3" customView="1" name="Z_B3797D0B_1E44_402B_AD05_6509081B1712_.wvu.PrintArea" hidden="1" oldHidden="1">
    <formula>'3'!$A$1:$J$37</formula>
  </rdn>
  <rdn rId="0" localSheetId="4" customView="1" name="Z_B3797D0B_1E44_402B_AD05_6509081B1712_.wvu.PrintArea" hidden="1" oldHidden="1">
    <formula>'4'!$A$1:$J$37</formula>
  </rdn>
  <rdn rId="0" localSheetId="5" customView="1" name="Z_B3797D0B_1E44_402B_AD05_6509081B1712_.wvu.PrintArea" hidden="1" oldHidden="1">
    <formula>'5'!$A$1:$J$37</formula>
  </rdn>
  <rdn rId="0" localSheetId="6" customView="1" name="Z_B3797D0B_1E44_402B_AD05_6509081B1712_.wvu.PrintArea" hidden="1" oldHidden="1">
    <formula>'6'!$A$1:$J$37</formula>
  </rdn>
  <rdn rId="0" localSheetId="7" customView="1" name="Z_B3797D0B_1E44_402B_AD05_6509081B1712_.wvu.PrintArea" hidden="1" oldHidden="1">
    <formula>'7'!$A$1:$J$37</formula>
  </rdn>
  <rdn rId="0" localSheetId="8" customView="1" name="Z_B3797D0B_1E44_402B_AD05_6509081B1712_.wvu.PrintArea" hidden="1" oldHidden="1">
    <formula>'8'!$A$1:$J$37</formula>
  </rdn>
  <rdn rId="0" localSheetId="9" customView="1" name="Z_B3797D0B_1E44_402B_AD05_6509081B1712_.wvu.PrintArea" hidden="1" oldHidden="1">
    <formula>'9'!$A$1:$J$37</formula>
  </rdn>
  <rdn rId="0" localSheetId="10" customView="1" name="Z_B3797D0B_1E44_402B_AD05_6509081B1712_.wvu.PrintArea" hidden="1" oldHidden="1">
    <formula>'10'!$A$1:$J$37</formula>
  </rdn>
  <rdn rId="0" localSheetId="11" customView="1" name="Z_B3797D0B_1E44_402B_AD05_6509081B1712_.wvu.PrintArea" hidden="1" oldHidden="1">
    <formula>'11'!$A$1:$J$40</formula>
  </rdn>
  <rdn rId="0" localSheetId="12" customView="1" name="Z_B3797D0B_1E44_402B_AD05_6509081B1712_.wvu.PrintArea" hidden="1" oldHidden="1">
    <formula>'12'!$A$1:$J$38</formula>
  </rdn>
  <rdn rId="0" localSheetId="13" customView="1" name="Z_B3797D0B_1E44_402B_AD05_6509081B1712_.wvu.PrintArea" hidden="1" oldHidden="1">
    <formula>'13'!$A$1:$J$38</formula>
  </rdn>
  <rdn rId="0" localSheetId="14" customView="1" name="Z_B3797D0B_1E44_402B_AD05_6509081B1712_.wvu.PrintArea" hidden="1" oldHidden="1">
    <formula>'14'!$A$1:$J$38</formula>
  </rdn>
  <rdn rId="0" localSheetId="15" customView="1" name="Z_B3797D0B_1E44_402B_AD05_6509081B1712_.wvu.PrintArea" hidden="1" oldHidden="1">
    <formula>'15'!$A$1:$J$38</formula>
  </rdn>
  <rdn rId="0" localSheetId="16" customView="1" name="Z_B3797D0B_1E44_402B_AD05_6509081B1712_.wvu.PrintArea" hidden="1" oldHidden="1">
    <formula>'16'!$A$1:$J$38</formula>
  </rdn>
  <rdn rId="0" localSheetId="17" customView="1" name="Z_B3797D0B_1E44_402B_AD05_6509081B1712_.wvu.PrintArea" hidden="1" oldHidden="1">
    <formula>'17'!$A$1:$J$38</formula>
  </rdn>
  <rdn rId="0" localSheetId="18" customView="1" name="Z_B3797D0B_1E44_402B_AD05_6509081B1712_.wvu.PrintArea" hidden="1" oldHidden="1">
    <formula>'18'!$A$1:$J$38</formula>
  </rdn>
  <rdn rId="0" localSheetId="19" customView="1" name="Z_B3797D0B_1E44_402B_AD05_6509081B1712_.wvu.PrintArea" hidden="1" oldHidden="1">
    <formula>'19'!$A$1:$J$38</formula>
  </rdn>
  <rdn rId="0" localSheetId="20" customView="1" name="Z_B3797D0B_1E44_402B_AD05_6509081B1712_.wvu.PrintArea" hidden="1" oldHidden="1">
    <formula>'20'!$A$1:$J$38</formula>
  </rdn>
  <rdn rId="0" localSheetId="21" customView="1" name="Z_B3797D0B_1E44_402B_AD05_6509081B1712_.wvu.PrintArea" hidden="1" oldHidden="1">
    <formula>'21'!$A$1:$J$38</formula>
  </rdn>
  <rdn rId="0" localSheetId="22" customView="1" name="Z_B3797D0B_1E44_402B_AD05_6509081B1712_.wvu.PrintArea" hidden="1" oldHidden="1">
    <formula>'22'!$A$1:$J$38</formula>
  </rdn>
  <rdn rId="0" localSheetId="23" customView="1" name="Z_B3797D0B_1E44_402B_AD05_6509081B1712_.wvu.PrintArea" hidden="1" oldHidden="1">
    <formula>'23'!$A$1:$J$38</formula>
  </rdn>
  <rdn rId="0" localSheetId="24" customView="1" name="Z_B3797D0B_1E44_402B_AD05_6509081B1712_.wvu.PrintArea" hidden="1" oldHidden="1">
    <formula>'24'!$A$1:$J$38</formula>
  </rdn>
  <rdn rId="0" localSheetId="25" customView="1" name="Z_B3797D0B_1E44_402B_AD05_6509081B1712_.wvu.PrintArea" hidden="1" oldHidden="1">
    <formula>'25'!$A$1:$J$38</formula>
  </rdn>
  <rdn rId="0" localSheetId="26" customView="1" name="Z_B3797D0B_1E44_402B_AD05_6509081B1712_.wvu.PrintArea" hidden="1" oldHidden="1">
    <formula>'26'!$A$1:$J$38</formula>
  </rdn>
  <rdn rId="0" localSheetId="27" customView="1" name="Z_B3797D0B_1E44_402B_AD05_6509081B1712_.wvu.PrintArea" hidden="1" oldHidden="1">
    <formula>'27'!$A$1:$J$38</formula>
  </rdn>
  <rdn rId="0" localSheetId="28" customView="1" name="Z_B3797D0B_1E44_402B_AD05_6509081B1712_.wvu.PrintArea" hidden="1" oldHidden="1">
    <formula>'28'!$A$1:$J$38</formula>
  </rdn>
  <rdn rId="0" localSheetId="29" customView="1" name="Z_B3797D0B_1E44_402B_AD05_6509081B1712_.wvu.PrintArea" hidden="1" oldHidden="1">
    <formula>'29'!$A$1:$J$38</formula>
  </rdn>
  <rdn rId="0" localSheetId="30" customView="1" name="Z_B3797D0B_1E44_402B_AD05_6509081B1712_.wvu.PrintArea" hidden="1" oldHidden="1">
    <formula>'30'!$A$1:$J$38</formula>
  </rdn>
  <rdn rId="0" localSheetId="31" customView="1" name="Z_B3797D0B_1E44_402B_AD05_6509081B1712_.wvu.PrintArea" hidden="1" oldHidden="1">
    <formula>'31'!$A$1:$J$38</formula>
  </rdn>
  <rcv guid="{B3797D0B-1E44-402B-AD05-6509081B1712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" sId="5">
    <nc r="H11" t="inlineStr">
      <is>
        <t>SALES ENT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8" sqref="C7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cc rId="41" sId="18" xfDxf="1" dxf="1">
    <nc r="C7" t="inlineStr">
      <is>
        <t>Mr.  FAN TONG WEN</t>
      </is>
    </nc>
    <ndxf>
      <font>
        <color rgb="FF4F3629"/>
        <name val="Arial"/>
        <scheme val="none"/>
      </font>
      <alignment vertical="center" readingOrder="0"/>
    </ndxf>
  </rcc>
  <rcc rId="42" sId="18">
    <nc r="B7" t="inlineStr">
      <is>
        <t>Prebooking</t>
      </is>
    </nc>
  </rcc>
  <rcc rId="43" sId="18" numFmtId="19">
    <nc r="D7">
      <v>46163</v>
    </nc>
  </rcc>
  <rfmt sheetId="18" sqref="H7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cc rId="44" sId="18" xfDxf="1" dxf="1">
    <nc r="H7" t="inlineStr">
      <is>
        <t>3357925, 3357927 (TRMD)</t>
      </is>
    </nc>
    <ndxf>
      <font>
        <b/>
        <color rgb="FF4F3629"/>
        <name val="Arial"/>
        <scheme val="none"/>
      </font>
    </ndxf>
  </rcc>
  <rcc rId="45" sId="18">
    <nc r="E7">
      <v>2</v>
    </nc>
  </rcc>
  <rcc rId="46" sId="18">
    <nc r="I7" t="inlineStr">
      <is>
        <t>Carl/Tarush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" sId="1">
    <nc r="B11">
      <v>329</v>
    </nc>
  </rcc>
  <rcc rId="48" sId="1" odxf="1" dxf="1">
    <nc r="C11" t="inlineStr">
      <is>
        <t>Kitso Lemo</t>
      </is>
    </nc>
    <odxf>
      <alignment horizontal="left" readingOrder="0"/>
    </odxf>
    <ndxf>
      <alignment horizontal="center" readingOrder="0"/>
    </ndxf>
  </rcc>
  <rcc rId="49" sId="1" numFmtId="19">
    <nc r="D11">
      <v>46147</v>
    </nc>
  </rcc>
  <rcc rId="50" sId="1">
    <nc r="E11" t="inlineStr">
      <is>
        <t>2pp</t>
      </is>
    </nc>
  </rcc>
  <rcc rId="51" sId="1">
    <nc r="H11">
      <v>26199404</v>
    </nc>
  </rcc>
  <rcc rId="52" sId="1">
    <nc r="I11" t="inlineStr">
      <is>
        <t>Monica/Faiha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" sId="1">
    <nc r="B12">
      <v>850</v>
    </nc>
  </rcc>
  <rcc rId="54" sId="1">
    <nc r="E12">
      <v>2</v>
    </nc>
  </rcc>
  <rcc rId="55" sId="1">
    <nc r="I12" t="inlineStr">
      <is>
        <t>Shen/Rahil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" sId="1">
    <nc r="B13">
      <v>681</v>
    </nc>
  </rcc>
  <rcc rId="57" sId="1">
    <nc r="E13">
      <v>2</v>
    </nc>
  </rcc>
  <rcc rId="58" sId="1">
    <nc r="B14">
      <v>668</v>
    </nc>
  </rcc>
  <rcc rId="59" sId="1">
    <nc r="E14">
      <v>2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" sId="1">
    <nc r="C12" t="inlineStr">
      <is>
        <t>Puyan Tang</t>
      </is>
    </nc>
  </rcc>
  <rcc rId="61" sId="1" numFmtId="19">
    <nc r="D12">
      <v>46143</v>
    </nc>
  </rcc>
  <rcc rId="62" sId="1">
    <nc r="C13" t="inlineStr">
      <is>
        <t>Euijin Son</t>
      </is>
    </nc>
  </rcc>
  <rcc rId="63" sId="1" numFmtId="19">
    <nc r="D13">
      <v>46143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" sId="1">
    <nc r="C14" t="inlineStr">
      <is>
        <t>Gyeongshin Han</t>
      </is>
    </nc>
  </rcc>
  <rcc rId="65" sId="1" numFmtId="19">
    <nc r="D14">
      <v>46143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" sId="1">
    <nc r="B16">
      <v>675</v>
    </nc>
  </rcc>
  <rcc rId="67" sId="1">
    <nc r="B17">
      <v>672</v>
    </nc>
  </rcc>
  <rcc rId="68" sId="1">
    <nc r="B15">
      <v>603</v>
    </nc>
  </rcc>
  <rcc rId="69" sId="1">
    <nc r="E15">
      <v>2</v>
    </nc>
  </rcc>
  <rcc rId="70" sId="1">
    <nc r="E16">
      <v>2</v>
    </nc>
  </rcc>
  <rcc rId="71" sId="1">
    <nc r="E17">
      <v>2</v>
    </nc>
  </rcc>
  <rcc rId="72" sId="1">
    <nc r="I15" t="inlineStr">
      <is>
        <t>UV/Faiha</t>
      </is>
    </nc>
  </rcc>
  <rcc rId="73" sId="1">
    <nc r="I16" t="inlineStr">
      <is>
        <t>UV/Faiha</t>
      </is>
    </nc>
  </rcc>
  <rfmt sheetId="1" sqref="I17" start="0" length="0">
    <dxf>
      <alignment horizontal="center" vertical="top" readingOrder="0"/>
    </dxf>
  </rfmt>
  <rcc rId="74" sId="1">
    <nc r="I17" t="inlineStr">
      <is>
        <t>UV/Faiha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" sId="2">
    <nc r="B7">
      <v>843</v>
    </nc>
  </rcc>
  <rcc rId="76" sId="2">
    <nc r="E7">
      <v>2</v>
    </nc>
  </rcc>
  <rcc rId="77" sId="2">
    <nc r="I7" t="inlineStr">
      <is>
        <t>Ishan/Faiha</t>
      </is>
    </nc>
  </rcc>
  <rcc rId="78" sId="2">
    <nc r="C7" t="inlineStr">
      <is>
        <t>Ko Natsumeda</t>
      </is>
    </nc>
  </rcc>
  <rcc rId="79" sId="2" numFmtId="19">
    <nc r="D7">
      <v>46146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" sId="1" odxf="1" dxf="1">
    <nc r="B18">
      <v>614</v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81" sId="1" odxf="1" dxf="1">
    <nc r="C18" t="inlineStr">
      <is>
        <t>Bin Wang</t>
      </is>
    </nc>
    <odxf>
      <alignment horizontal="left" readingOrder="0"/>
    </odxf>
    <ndxf>
      <alignment horizontal="center" readingOrder="0"/>
    </ndxf>
  </rcc>
  <rcc rId="82" sId="1" numFmtId="19">
    <nc r="D18">
      <v>46142</v>
    </nc>
  </rcc>
  <rcc rId="83" sId="1">
    <nc r="E18">
      <v>2</v>
    </nc>
  </rcc>
  <rcc rId="84" sId="1" odxf="1" dxf="1">
    <nc r="H18" t="inlineStr">
      <is>
        <t>ALLOCATION</t>
      </is>
    </nc>
    <odxf>
      <fill>
        <patternFill>
          <bgColor theme="0"/>
        </patternFill>
      </fill>
      <alignment horizontal="left" readingOrder="0"/>
    </odxf>
    <ndxf>
      <fill>
        <patternFill>
          <bgColor rgb="FF92D050"/>
        </patternFill>
      </fill>
      <alignment horizontal="center" readingOrder="0"/>
    </ndxf>
  </rcc>
  <rcc rId="85" sId="1" odxf="1" dxf="1">
    <nc r="B19">
      <v>615</v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86" sId="1" odxf="1" dxf="1">
    <nc r="C19" t="inlineStr">
      <is>
        <t>Xing Zhou</t>
      </is>
    </nc>
    <odxf>
      <alignment horizontal="left" readingOrder="0"/>
    </odxf>
    <ndxf>
      <alignment horizontal="center" readingOrder="0"/>
    </ndxf>
  </rcc>
  <rcc rId="87" sId="1" numFmtId="19">
    <nc r="D19">
      <v>46142</v>
    </nc>
  </rcc>
  <rcc rId="88" sId="1">
    <nc r="E19">
      <v>2</v>
    </nc>
  </rcc>
  <rcc rId="89" sId="1" odxf="1" dxf="1">
    <nc r="H19" t="inlineStr">
      <is>
        <t>ALLOCATION</t>
      </is>
    </nc>
    <odxf>
      <fill>
        <patternFill>
          <bgColor theme="0"/>
        </patternFill>
      </fill>
      <alignment horizontal="left" readingOrder="0"/>
    </odxf>
    <ndxf>
      <fill>
        <patternFill>
          <bgColor rgb="FF92D050"/>
        </patternFill>
      </fill>
      <alignment horizontal="center" readingOrder="0"/>
    </ndxf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" sId="1" odxf="1" dxf="1">
    <nc r="B20">
      <v>882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91" sId="1" odxf="1" dxf="1">
    <nc r="C20" t="inlineStr">
      <is>
        <t>Ilyess Aissaui</t>
      </is>
    </nc>
    <odxf>
      <alignment horizontal="left" readingOrder="0"/>
    </odxf>
    <ndxf>
      <alignment horizontal="center" readingOrder="0"/>
    </ndxf>
  </rcc>
  <rcc rId="92" sId="1" numFmtId="19">
    <nc r="D20">
      <v>46146</v>
    </nc>
  </rcc>
  <rcc rId="93" sId="1">
    <nc r="E20">
      <v>2</v>
    </nc>
  </rcc>
  <rcc rId="94" sId="1">
    <nc r="G20" t="inlineStr">
      <is>
        <t>RC $100</t>
      </is>
    </nc>
  </rcc>
  <rcc rId="95" sId="1" odxf="1" dxf="1">
    <nc r="H20" t="inlineStr">
      <is>
        <t>SAI</t>
      </is>
    </nc>
    <odxf>
      <fill>
        <patternFill>
          <bgColor theme="0"/>
        </patternFill>
      </fill>
      <alignment horizontal="left" readingOrder="0"/>
    </odxf>
    <ndxf>
      <fill>
        <patternFill>
          <bgColor rgb="FFFFFF00"/>
        </patternFill>
      </fill>
      <alignment horizontal="center" readingOrder="0"/>
    </ndxf>
  </rcc>
  <rcc rId="96" sId="1" odxf="1" dxf="1">
    <nc r="I20" t="inlineStr">
      <is>
        <t>Win/Faiha</t>
      </is>
    </nc>
    <odxf>
      <alignment horizontal="left" readingOrder="0"/>
    </odxf>
    <ndxf>
      <alignment horizontal="center" readingOrder="0"/>
    </ndxf>
  </rcc>
  <rdn rId="0" localSheetId="1" customView="1" name="Z_AF620B39_788E_4983_8793_E9B224213D26_.wvu.PrintArea" hidden="1" oldHidden="1">
    <formula>'1'!$A$1:$J$38</formula>
  </rdn>
  <rdn rId="0" localSheetId="2" customView="1" name="Z_AF620B39_788E_4983_8793_E9B224213D26_.wvu.PrintArea" hidden="1" oldHidden="1">
    <formula>'2'!$A$1:$J$38</formula>
  </rdn>
  <rdn rId="0" localSheetId="3" customView="1" name="Z_AF620B39_788E_4983_8793_E9B224213D26_.wvu.PrintArea" hidden="1" oldHidden="1">
    <formula>'3'!$A$1:$J$37</formula>
  </rdn>
  <rdn rId="0" localSheetId="4" customView="1" name="Z_AF620B39_788E_4983_8793_E9B224213D26_.wvu.PrintArea" hidden="1" oldHidden="1">
    <formula>'4'!$A$1:$J$37</formula>
  </rdn>
  <rdn rId="0" localSheetId="5" customView="1" name="Z_AF620B39_788E_4983_8793_E9B224213D26_.wvu.PrintArea" hidden="1" oldHidden="1">
    <formula>'5'!$A$1:$J$37</formula>
  </rdn>
  <rdn rId="0" localSheetId="6" customView="1" name="Z_AF620B39_788E_4983_8793_E9B224213D26_.wvu.PrintArea" hidden="1" oldHidden="1">
    <formula>'6'!$A$1:$J$37</formula>
  </rdn>
  <rdn rId="0" localSheetId="7" customView="1" name="Z_AF620B39_788E_4983_8793_E9B224213D26_.wvu.PrintArea" hidden="1" oldHidden="1">
    <formula>'7'!$A$1:$J$37</formula>
  </rdn>
  <rdn rId="0" localSheetId="8" customView="1" name="Z_AF620B39_788E_4983_8793_E9B224213D26_.wvu.PrintArea" hidden="1" oldHidden="1">
    <formula>'8'!$A$1:$J$37</formula>
  </rdn>
  <rdn rId="0" localSheetId="9" customView="1" name="Z_AF620B39_788E_4983_8793_E9B224213D26_.wvu.PrintArea" hidden="1" oldHidden="1">
    <formula>'9'!$A$1:$J$37</formula>
  </rdn>
  <rdn rId="0" localSheetId="10" customView="1" name="Z_AF620B39_788E_4983_8793_E9B224213D26_.wvu.PrintArea" hidden="1" oldHidden="1">
    <formula>'10'!$A$1:$J$37</formula>
  </rdn>
  <rdn rId="0" localSheetId="11" customView="1" name="Z_AF620B39_788E_4983_8793_E9B224213D26_.wvu.PrintArea" hidden="1" oldHidden="1">
    <formula>'11'!$A$1:$J$40</formula>
  </rdn>
  <rdn rId="0" localSheetId="12" customView="1" name="Z_AF620B39_788E_4983_8793_E9B224213D26_.wvu.PrintArea" hidden="1" oldHidden="1">
    <formula>'12'!$A$1:$J$38</formula>
  </rdn>
  <rdn rId="0" localSheetId="13" customView="1" name="Z_AF620B39_788E_4983_8793_E9B224213D26_.wvu.PrintArea" hidden="1" oldHidden="1">
    <formula>'13'!$A$1:$J$38</formula>
  </rdn>
  <rdn rId="0" localSheetId="14" customView="1" name="Z_AF620B39_788E_4983_8793_E9B224213D26_.wvu.PrintArea" hidden="1" oldHidden="1">
    <formula>'14'!$A$1:$J$38</formula>
  </rdn>
  <rdn rId="0" localSheetId="15" customView="1" name="Z_AF620B39_788E_4983_8793_E9B224213D26_.wvu.PrintArea" hidden="1" oldHidden="1">
    <formula>'15'!$A$1:$J$38</formula>
  </rdn>
  <rdn rId="0" localSheetId="16" customView="1" name="Z_AF620B39_788E_4983_8793_E9B224213D26_.wvu.PrintArea" hidden="1" oldHidden="1">
    <formula>'16'!$A$1:$J$38</formula>
  </rdn>
  <rdn rId="0" localSheetId="17" customView="1" name="Z_AF620B39_788E_4983_8793_E9B224213D26_.wvu.PrintArea" hidden="1" oldHidden="1">
    <formula>'17'!$A$1:$J$38</formula>
  </rdn>
  <rdn rId="0" localSheetId="18" customView="1" name="Z_AF620B39_788E_4983_8793_E9B224213D26_.wvu.PrintArea" hidden="1" oldHidden="1">
    <formula>'18'!$A$1:$J$38</formula>
  </rdn>
  <rdn rId="0" localSheetId="19" customView="1" name="Z_AF620B39_788E_4983_8793_E9B224213D26_.wvu.PrintArea" hidden="1" oldHidden="1">
    <formula>'19'!$A$1:$J$38</formula>
  </rdn>
  <rdn rId="0" localSheetId="20" customView="1" name="Z_AF620B39_788E_4983_8793_E9B224213D26_.wvu.PrintArea" hidden="1" oldHidden="1">
    <formula>'20'!$A$1:$J$38</formula>
  </rdn>
  <rdn rId="0" localSheetId="21" customView="1" name="Z_AF620B39_788E_4983_8793_E9B224213D26_.wvu.PrintArea" hidden="1" oldHidden="1">
    <formula>'21'!$A$1:$J$38</formula>
  </rdn>
  <rdn rId="0" localSheetId="22" customView="1" name="Z_AF620B39_788E_4983_8793_E9B224213D26_.wvu.PrintArea" hidden="1" oldHidden="1">
    <formula>'22'!$A$1:$J$38</formula>
  </rdn>
  <rdn rId="0" localSheetId="23" customView="1" name="Z_AF620B39_788E_4983_8793_E9B224213D26_.wvu.PrintArea" hidden="1" oldHidden="1">
    <formula>'23'!$A$1:$J$38</formula>
  </rdn>
  <rdn rId="0" localSheetId="24" customView="1" name="Z_AF620B39_788E_4983_8793_E9B224213D26_.wvu.PrintArea" hidden="1" oldHidden="1">
    <formula>'24'!$A$1:$J$38</formula>
  </rdn>
  <rdn rId="0" localSheetId="25" customView="1" name="Z_AF620B39_788E_4983_8793_E9B224213D26_.wvu.PrintArea" hidden="1" oldHidden="1">
    <formula>'25'!$A$1:$J$38</formula>
  </rdn>
  <rdn rId="0" localSheetId="26" customView="1" name="Z_AF620B39_788E_4983_8793_E9B224213D26_.wvu.PrintArea" hidden="1" oldHidden="1">
    <formula>'26'!$A$1:$J$38</formula>
  </rdn>
  <rdn rId="0" localSheetId="27" customView="1" name="Z_AF620B39_788E_4983_8793_E9B224213D26_.wvu.PrintArea" hidden="1" oldHidden="1">
    <formula>'27'!$A$1:$J$38</formula>
  </rdn>
  <rdn rId="0" localSheetId="28" customView="1" name="Z_AF620B39_788E_4983_8793_E9B224213D26_.wvu.PrintArea" hidden="1" oldHidden="1">
    <formula>'28'!$A$1:$J$38</formula>
  </rdn>
  <rdn rId="0" localSheetId="29" customView="1" name="Z_AF620B39_788E_4983_8793_E9B224213D26_.wvu.PrintArea" hidden="1" oldHidden="1">
    <formula>'29'!$A$1:$J$38</formula>
  </rdn>
  <rdn rId="0" localSheetId="30" customView="1" name="Z_AF620B39_788E_4983_8793_E9B224213D26_.wvu.PrintArea" hidden="1" oldHidden="1">
    <formula>'30'!$A$1:$J$38</formula>
  </rdn>
  <rdn rId="0" localSheetId="31" customView="1" name="Z_AF620B39_788E_4983_8793_E9B224213D26_.wvu.PrintArea" hidden="1" oldHidden="1">
    <formula>'31'!$A$1:$J$38</formula>
  </rdn>
  <rcv guid="{AF620B39-788E-4983-8793-E9B224213D26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" sId="1" odxf="1" dxf="1">
    <nc r="B21" t="inlineStr">
      <is>
        <t>868/886</t>
      </is>
    </nc>
    <odxf>
      <fill>
        <patternFill patternType="none">
          <bgColor indexed="65"/>
        </patternFill>
      </fill>
    </odxf>
    <ndxf>
      <fill>
        <patternFill patternType="solid">
          <bgColor theme="1" tint="0.499984740745262"/>
        </patternFill>
      </fill>
    </ndxf>
  </rcc>
  <rcc rId="129" sId="1" odxf="1" dxf="1">
    <nc r="C21" t="inlineStr">
      <is>
        <t>Mengmeng Wang</t>
      </is>
    </nc>
    <odxf>
      <fill>
        <patternFill patternType="none">
          <bgColor indexed="65"/>
        </patternFill>
      </fill>
      <alignment horizontal="left" readingOrder="0"/>
    </odxf>
    <ndxf>
      <fill>
        <patternFill patternType="solid">
          <bgColor theme="0"/>
        </patternFill>
      </fill>
      <alignment horizontal="center" readingOrder="0"/>
    </ndxf>
  </rcc>
  <rcc rId="130" sId="1" odxf="1" dxf="1" numFmtId="19">
    <nc r="D21">
      <v>46114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131" sId="1" odxf="1" dxf="1">
    <nc r="E21">
      <v>2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132" sId="1" odxf="1" dxf="1">
    <nc r="F21">
      <v>2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fmt sheetId="1" sqref="G21" start="0" length="0">
    <dxf>
      <fill>
        <patternFill patternType="solid">
          <bgColor theme="0"/>
        </patternFill>
      </fill>
    </dxf>
  </rfmt>
  <rcc rId="133" sId="1" odxf="1" dxf="1">
    <nc r="H21" t="inlineStr">
      <is>
        <t>ALLOCATION 2 PERSON</t>
      </is>
    </nc>
    <odxf>
      <fill>
        <patternFill patternType="none">
          <bgColor indexed="65"/>
        </patternFill>
      </fill>
      <alignment horizontal="left" readingOrder="0"/>
    </odxf>
    <ndxf>
      <fill>
        <patternFill patternType="solid">
          <bgColor theme="1" tint="0.499984740745262"/>
        </patternFill>
      </fill>
      <alignment horizontal="center" readingOrder="0"/>
    </ndxf>
  </rcc>
  <rcc rId="134" sId="1" odxf="1" dxf="1">
    <nc r="I21" t="inlineStr">
      <is>
        <t>Faiha/Win</t>
      </is>
    </nc>
    <odxf>
      <fill>
        <patternFill patternType="none">
          <bgColor indexed="65"/>
        </patternFill>
      </fill>
      <alignment horizontal="left" readingOrder="0"/>
    </odxf>
    <ndxf>
      <fill>
        <patternFill patternType="solid">
          <bgColor theme="0"/>
        </patternFill>
      </fill>
      <alignment horizontal="center" readingOrder="0"/>
    </ndxf>
  </rcc>
  <rcc rId="135" sId="1">
    <oc r="J21">
      <f>IF(OR(NOT(ISERROR(MATCH(RIGHT(B21,3)+0,#REF!,0))),NOT(ISERROR(MATCH(LEFT(B21,3)+0,#REF!,0)))),"No Post","")</f>
    </oc>
    <nc r="J21" t="inlineStr">
      <is>
        <t>NO POST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22" start="0" length="0">
    <dxf>
      <fill>
        <patternFill patternType="solid">
          <bgColor theme="9" tint="-0.249977111117893"/>
        </patternFill>
      </fill>
      <alignment vertical="top" readingOrder="0"/>
    </dxf>
  </rfmt>
  <rfmt sheetId="1" sqref="C22" start="0" length="0">
    <dxf>
      <fill>
        <patternFill patternType="solid">
          <bgColor theme="0"/>
        </patternFill>
      </fill>
      <alignment horizontal="center" vertical="top" readingOrder="0"/>
    </dxf>
  </rfmt>
  <rfmt sheetId="1" sqref="D22" start="0" length="0">
    <dxf>
      <numFmt numFmtId="0" formatCode="General"/>
      <fill>
        <patternFill patternType="solid">
          <bgColor rgb="FF92D050"/>
        </patternFill>
      </fill>
    </dxf>
  </rfmt>
  <rfmt sheetId="1" sqref="E22" start="0" length="0">
    <dxf>
      <fill>
        <patternFill patternType="solid">
          <bgColor theme="0"/>
        </patternFill>
      </fill>
    </dxf>
  </rfmt>
  <rfmt sheetId="1" sqref="F22" start="0" length="0">
    <dxf>
      <numFmt numFmtId="19" formatCode="dd/mm/yyyy"/>
      <fill>
        <patternFill patternType="solid">
          <bgColor theme="0"/>
        </patternFill>
      </fill>
    </dxf>
  </rfmt>
  <rfmt sheetId="1" sqref="G22" start="0" length="0">
    <dxf>
      <fill>
        <patternFill patternType="solid">
          <bgColor theme="0"/>
        </patternFill>
      </fill>
    </dxf>
  </rfmt>
  <rfmt sheetId="1" sqref="H22" start="0" length="0">
    <dxf>
      <fill>
        <patternFill patternType="solid">
          <bgColor theme="0"/>
        </patternFill>
      </fill>
      <alignment horizontal="center" readingOrder="0"/>
    </dxf>
  </rfmt>
  <rfmt sheetId="1" sqref="I22" start="0" length="0">
    <dxf>
      <fill>
        <patternFill patternType="solid">
          <bgColor theme="0"/>
        </patternFill>
      </fill>
      <alignment horizontal="center" readingOrder="0"/>
    </dxf>
  </rfmt>
  <rfmt sheetId="1" sqref="J22" start="0" length="0">
    <dxf>
      <font>
        <b val="0"/>
        <sz val="14"/>
        <color auto="1"/>
      </font>
      <fill>
        <patternFill patternType="solid">
          <bgColor rgb="FF92D05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22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23" start="0" length="0">
    <dxf>
      <fill>
        <patternFill patternType="solid">
          <bgColor theme="9" tint="-0.249977111117893"/>
        </patternFill>
      </fill>
      <alignment vertical="top" readingOrder="0"/>
    </dxf>
  </rfmt>
  <rfmt sheetId="1" sqref="C23" start="0" length="0">
    <dxf>
      <fill>
        <patternFill patternType="solid">
          <bgColor theme="0"/>
        </patternFill>
      </fill>
      <alignment horizontal="center" vertical="top" readingOrder="0"/>
    </dxf>
  </rfmt>
  <rfmt sheetId="1" sqref="D23" start="0" length="0">
    <dxf>
      <numFmt numFmtId="0" formatCode="General"/>
      <fill>
        <patternFill patternType="solid">
          <bgColor rgb="FF92D050"/>
        </patternFill>
      </fill>
    </dxf>
  </rfmt>
  <rfmt sheetId="1" sqref="F23" start="0" length="0">
    <dxf>
      <numFmt numFmtId="19" formatCode="dd/mm/yyyy"/>
      <fill>
        <patternFill patternType="solid">
          <bgColor theme="0"/>
        </patternFill>
      </fill>
    </dxf>
  </rfmt>
  <rfmt sheetId="1" sqref="G23" start="0" length="0">
    <dxf>
      <fill>
        <patternFill patternType="solid">
          <bgColor theme="0"/>
        </patternFill>
      </fill>
    </dxf>
  </rfmt>
  <rfmt sheetId="1" sqref="H23" start="0" length="0">
    <dxf>
      <fill>
        <patternFill patternType="solid">
          <bgColor theme="0"/>
        </patternFill>
      </fill>
      <alignment horizontal="center" readingOrder="0"/>
    </dxf>
  </rfmt>
  <rfmt sheetId="1" sqref="I23" start="0" length="0">
    <dxf>
      <fill>
        <patternFill patternType="solid">
          <bgColor theme="0"/>
        </patternFill>
      </fill>
      <alignment horizontal="center" readingOrder="0"/>
    </dxf>
  </rfmt>
  <rfmt sheetId="1" sqref="J23" start="0" length="0">
    <dxf>
      <font>
        <b val="0"/>
        <sz val="14"/>
        <color auto="1"/>
      </font>
      <fill>
        <patternFill patternType="solid">
          <bgColor rgb="FF92D05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23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6" sId="1" odxf="1" dxf="1">
    <nc r="B22">
      <v>630</v>
    </nc>
    <ndxf>
      <fill>
        <patternFill>
          <bgColor rgb="FF92D050"/>
        </patternFill>
      </fill>
      <alignment vertical="center" readingOrder="0"/>
    </ndxf>
  </rcc>
  <rcc rId="137" sId="1" odxf="1" dxf="1">
    <nc r="C22" t="inlineStr">
      <is>
        <t>Lu Sun</t>
      </is>
    </nc>
    <ndxf>
      <alignment vertical="center" readingOrder="0"/>
    </ndxf>
  </rcc>
  <rcc rId="138" sId="1" odxf="1" dxf="1" numFmtId="19">
    <nc r="D22">
      <v>46143</v>
    </nc>
    <ndxf>
      <numFmt numFmtId="19" formatCode="dd/mm/yyyy"/>
      <fill>
        <patternFill>
          <bgColor theme="0"/>
        </patternFill>
      </fill>
    </ndxf>
  </rcc>
  <rcc rId="139" sId="1">
    <nc r="E22">
      <v>2</v>
    </nc>
  </rcc>
  <rfmt sheetId="1" sqref="F22" start="0" length="0">
    <dxf>
      <numFmt numFmtId="0" formatCode="General"/>
    </dxf>
  </rfmt>
  <rcc rId="140" sId="1" odxf="1" dxf="1">
    <nc r="H22" t="inlineStr">
      <is>
        <t>ALLOCATION</t>
      </is>
    </nc>
    <ndxf>
      <fill>
        <patternFill>
          <bgColor rgb="FF92D050"/>
        </patternFill>
      </fill>
    </ndxf>
  </rcc>
  <rcc rId="141" sId="1">
    <nc r="I22" t="inlineStr">
      <is>
        <t>Faiha/Win</t>
      </is>
    </nc>
  </rcc>
  <rcc rId="142" sId="1" odxf="1" dxf="1">
    <nc r="B23">
      <v>629</v>
    </nc>
    <ndxf>
      <fill>
        <patternFill>
          <bgColor rgb="FF92D050"/>
        </patternFill>
      </fill>
      <alignment vertical="center" readingOrder="0"/>
    </ndxf>
  </rcc>
  <rcc rId="143" sId="1" odxf="1" dxf="1">
    <nc r="C23" t="inlineStr">
      <is>
        <t>Le Zu</t>
      </is>
    </nc>
    <ndxf>
      <fill>
        <patternFill patternType="none">
          <bgColor indexed="65"/>
        </patternFill>
      </fill>
      <alignment vertical="center" readingOrder="0"/>
    </ndxf>
  </rcc>
  <rcc rId="144" sId="1" odxf="1" dxf="1" numFmtId="19">
    <nc r="D23">
      <v>46143</v>
    </nc>
    <ndxf>
      <numFmt numFmtId="19" formatCode="dd/mm/yyyy"/>
      <fill>
        <patternFill>
          <bgColor theme="0"/>
        </patternFill>
      </fill>
    </ndxf>
  </rcc>
  <rcc rId="145" sId="1" odxf="1" dxf="1">
    <nc r="E23">
      <v>2</v>
    </nc>
    <ndxf>
      <fill>
        <patternFill patternType="solid">
          <bgColor theme="0"/>
        </patternFill>
      </fill>
    </ndxf>
  </rcc>
  <rfmt sheetId="1" sqref="F23" start="0" length="0">
    <dxf>
      <numFmt numFmtId="0" formatCode="General"/>
    </dxf>
  </rfmt>
  <rcc rId="146" sId="1" odxf="1" dxf="1">
    <nc r="H23" t="inlineStr">
      <is>
        <t>ALLOCATION</t>
      </is>
    </nc>
    <ndxf>
      <fill>
        <patternFill>
          <bgColor rgb="FF92D050"/>
        </patternFill>
      </fill>
    </ndxf>
  </rcc>
  <rcc rId="147" sId="1">
    <nc r="I23" t="inlineStr">
      <is>
        <t>Faiha/Win</t>
      </is>
    </nc>
  </rcc>
  <rcc rId="148" sId="1">
    <oc r="J22">
      <f>IF(OR(NOT(ISERROR(MATCH(RIGHT(B22,3)+0,#REF!,0))),NOT(ISERROR(MATCH(LEFT(B22,3)+0,#REF!,0)))),"No Post","")</f>
    </oc>
    <nc r="J22"/>
  </rcc>
  <rcc rId="149" sId="1">
    <oc r="J23">
      <f>IF(OR(NOT(ISERROR(MATCH(RIGHT(B23,3)+0,#REF!,0))),NOT(ISERROR(MATCH(LEFT(B23,3)+0,#REF!,0)))),"No Post","")</f>
    </oc>
    <nc r="J23"/>
  </rcc>
  <rfmt sheetId="1" sqref="J22:J23">
    <dxf>
      <fill>
        <patternFill patternType="none">
          <bgColor auto="1"/>
        </patternFill>
      </fill>
    </dxf>
  </rfmt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J22" start="0" length="0">
    <dxf>
      <alignment vertical="top" readingOrder="0"/>
      <border outline="0">
        <left/>
        <right/>
        <top/>
        <bottom/>
      </border>
    </dxf>
  </rfmt>
  <rfmt sheetId="1" sqref="K22" start="0" length="0">
    <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dxf>
  </rfmt>
  <rfmt sheetId="1" sqref="J23" start="0" length="0">
    <dxf>
      <alignment vertical="top" readingOrder="0"/>
      <border outline="0">
        <left/>
        <right/>
        <top/>
        <bottom/>
      </border>
    </dxf>
  </rfmt>
  <rfmt sheetId="1" sqref="K23" start="0" length="0">
    <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dxf>
  </rfmt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" sId="2" odxf="1" dxf="1">
    <nc r="B8">
      <v>848</v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151" sId="2" odxf="1" dxf="1">
    <nc r="C8" t="inlineStr">
      <is>
        <t>Gavin David Hogg</t>
      </is>
    </nc>
    <odxf>
      <fill>
        <patternFill patternType="solid">
          <bgColor theme="0"/>
        </patternFill>
      </fill>
      <alignment vertical="top" readingOrder="0"/>
    </odxf>
    <ndxf>
      <fill>
        <patternFill patternType="none">
          <bgColor indexed="65"/>
        </patternFill>
      </fill>
      <alignment vertical="center" readingOrder="0"/>
    </ndxf>
  </rcc>
  <rcc rId="152" sId="2" odxf="1" dxf="1" numFmtId="19">
    <nc r="D8">
      <v>46145</v>
    </nc>
    <odxf>
      <alignment vertical="top" readingOrder="0"/>
    </odxf>
    <ndxf>
      <alignment vertical="center" readingOrder="0"/>
    </ndxf>
  </rcc>
  <rcc rId="153" sId="2" odxf="1" dxf="1">
    <nc r="E8">
      <v>2</v>
    </nc>
    <odxf>
      <alignment vertical="top" readingOrder="0"/>
    </odxf>
    <ndxf>
      <alignment vertical="center" readingOrder="0"/>
    </ndxf>
  </rcc>
  <rfmt sheetId="2" sqref="F8" start="0" length="0">
    <dxf>
      <alignment vertical="center" readingOrder="0"/>
    </dxf>
  </rfmt>
  <rcc rId="154" sId="2" odxf="1" dxf="1">
    <nc r="G8" t="inlineStr">
      <is>
        <t>OLD</t>
      </is>
    </nc>
    <odxf>
      <alignment vertical="top" readingOrder="0"/>
    </odxf>
    <ndxf>
      <alignment vertical="center" readingOrder="0"/>
    </ndxf>
  </rcc>
  <rcc rId="155" sId="2" odxf="1" dxf="1">
    <nc r="H8" t="inlineStr">
      <is>
        <t>SAI</t>
      </is>
    </nc>
    <odxf>
      <font>
        <sz val="14"/>
      </font>
      <fill>
        <patternFill>
          <bgColor theme="0"/>
        </patternFill>
      </fill>
      <alignment vertical="top" readingOrder="0"/>
    </odxf>
    <ndxf>
      <font>
        <sz val="14"/>
        <color rgb="FF4F3629"/>
      </font>
      <fill>
        <patternFill>
          <bgColor rgb="FFFFFF00"/>
        </patternFill>
      </fill>
      <alignment vertical="center" readingOrder="0"/>
    </ndxf>
  </rcc>
  <rcc rId="156" sId="2" odxf="1" dxf="1">
    <nc r="I8" t="inlineStr">
      <is>
        <t>Shamrath/Tarush</t>
      </is>
    </nc>
    <odxf>
      <alignment vertical="top" readingOrder="0"/>
    </odxf>
    <ndxf>
      <alignment vertical="center" readingOrder="0"/>
    </ndxf>
  </rcc>
  <rcc rId="157" sId="2">
    <oc r="J8">
      <f>IF(OR(NOT(ISERROR(MATCH(RIGHT(B8,3)+0,#REF!,0))),NOT(ISERROR(MATCH(LEFT(B8,3)+0,#REF!,0)))),"No Post","")</f>
    </oc>
    <nc r="J8" t="inlineStr">
      <is>
        <t>NO POST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" sId="1" odxf="1" dxf="1">
    <nc r="B24" t="inlineStr">
      <is>
        <t>666/875</t>
      </is>
    </nc>
    <odxf>
      <fill>
        <patternFill patternType="none">
          <bgColor indexed="65"/>
        </patternFill>
      </fill>
    </odxf>
    <ndxf>
      <fill>
        <patternFill patternType="solid">
          <bgColor rgb="FFFF66CC"/>
        </patternFill>
      </fill>
    </ndxf>
  </rcc>
  <rcc rId="159" sId="1" odxf="1" dxf="1">
    <nc r="C24" t="inlineStr">
      <is>
        <t>Hyeongmin Sun</t>
      </is>
    </nc>
    <odxf>
      <fill>
        <patternFill patternType="none">
          <bgColor indexed="65"/>
        </patternFill>
      </fill>
      <alignment horizontal="left" readingOrder="0"/>
    </odxf>
    <ndxf>
      <fill>
        <patternFill patternType="solid">
          <bgColor theme="0"/>
        </patternFill>
      </fill>
      <alignment horizontal="center" readingOrder="0"/>
    </ndxf>
  </rcc>
  <rcc rId="160" sId="1" odxf="1" dxf="1" numFmtId="19">
    <nc r="D24">
      <v>46142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161" sId="1" odxf="1" dxf="1">
    <nc r="E24">
      <v>2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fmt sheetId="1" sqref="F24" start="0" length="0">
    <dxf>
      <fill>
        <patternFill patternType="solid">
          <bgColor theme="0"/>
        </patternFill>
      </fill>
    </dxf>
  </rfmt>
  <rfmt sheetId="1" sqref="G24" start="0" length="0">
    <dxf>
      <fill>
        <patternFill patternType="solid">
          <bgColor theme="0"/>
        </patternFill>
      </fill>
    </dxf>
  </rfmt>
  <rcc rId="162" sId="1" odxf="1" dxf="1">
    <nc r="H24" t="inlineStr">
      <is>
        <t>ITA(NP)</t>
      </is>
    </nc>
    <odxf>
      <fill>
        <patternFill patternType="none">
          <bgColor indexed="65"/>
        </patternFill>
      </fill>
      <alignment horizontal="left" readingOrder="0"/>
    </odxf>
    <ndxf>
      <fill>
        <patternFill patternType="solid">
          <bgColor rgb="FFFF66CC"/>
        </patternFill>
      </fill>
      <alignment horizontal="center" readingOrder="0"/>
    </ndxf>
  </rcc>
  <rcc rId="163" sId="1" odxf="1" dxf="1">
    <nc r="I24" t="inlineStr">
      <is>
        <t>Ulviya/Maaji</t>
      </is>
    </nc>
    <odxf>
      <fill>
        <patternFill patternType="none">
          <bgColor indexed="65"/>
        </patternFill>
      </fill>
      <alignment horizontal="left" readingOrder="0"/>
    </odxf>
    <ndxf>
      <fill>
        <patternFill patternType="solid">
          <bgColor theme="0"/>
        </patternFill>
      </fill>
      <alignment horizontal="center" readingOrder="0"/>
    </ndxf>
  </rcc>
  <rcc rId="164" sId="1">
    <oc r="J24">
      <f>IF(OR(NOT(ISERROR(MATCH(RIGHT(B24,3)+0,#REF!,0))),NOT(ISERROR(MATCH(LEFT(B24,3)+0,#REF!,0)))),"No Post","")</f>
    </oc>
    <nc r="J24" t="inlineStr">
      <is>
        <t>NO POST</t>
      </is>
    </nc>
  </rcc>
  <rcc rId="165" sId="1">
    <oc r="E27">
      <f>SUM(E7:E26)</f>
    </oc>
    <nc r="E27">
      <f>SUM(E7:E26)</f>
    </nc>
  </rcc>
  <rcc rId="166" sId="1" odxf="1" dxf="1">
    <nc r="B25">
      <v>892</v>
    </nc>
    <odxf>
      <font>
        <sz val="14"/>
      </font>
      <fill>
        <patternFill patternType="none">
          <bgColor indexed="65"/>
        </patternFill>
      </fill>
    </odxf>
    <ndxf>
      <font>
        <sz val="14"/>
        <color auto="1"/>
      </font>
      <fill>
        <patternFill patternType="solid">
          <bgColor rgb="FFFFC000"/>
        </patternFill>
      </fill>
    </ndxf>
  </rcc>
  <rcc rId="167" sId="1" odxf="1" dxf="1">
    <nc r="C25" t="inlineStr">
      <is>
        <t xml:space="preserve">Mellyn Carroll Family (2 Adult 1Kid) </t>
      </is>
    </nc>
    <odxf>
      <alignment horizontal="left" readingOrder="0"/>
    </odxf>
    <ndxf>
      <alignment horizontal="center" readingOrder="0"/>
    </ndxf>
  </rcc>
  <rcc rId="168" sId="1" odxf="1" dxf="1" numFmtId="19">
    <nc r="D25">
      <v>46145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169" sId="1" odxf="1" dxf="1">
    <nc r="E25">
      <v>2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170" sId="1" odxf="1" dxf="1">
    <nc r="F25">
      <v>1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fmt sheetId="1" sqref="G25" start="0" length="0">
    <dxf>
      <fill>
        <patternFill patternType="solid">
          <bgColor theme="0"/>
        </patternFill>
      </fill>
    </dxf>
  </rfmt>
  <rcc rId="171" sId="1" odxf="1" dxf="1">
    <nc r="H25" t="inlineStr">
      <is>
        <t>SALES ENT</t>
      </is>
    </nc>
    <odxf>
      <fill>
        <patternFill patternType="none">
          <bgColor indexed="65"/>
        </patternFill>
      </fill>
      <alignment horizontal="left" readingOrder="0"/>
    </odxf>
    <ndxf>
      <fill>
        <patternFill patternType="solid">
          <bgColor rgb="FFFFC000"/>
        </patternFill>
      </fill>
      <alignment horizontal="center" readingOrder="0"/>
    </ndxf>
  </rcc>
  <rcc rId="172" sId="1" odxf="1" dxf="1">
    <nc r="I25" t="inlineStr">
      <is>
        <t>Ahalya/Maaji</t>
      </is>
    </nc>
    <odxf>
      <fill>
        <patternFill patternType="none">
          <bgColor indexed="65"/>
        </patternFill>
      </fill>
      <alignment horizontal="left" readingOrder="0"/>
    </odxf>
    <ndxf>
      <fill>
        <patternFill patternType="solid">
          <bgColor theme="0"/>
        </patternFill>
      </fill>
      <alignment horizontal="center" readingOrder="0"/>
    </ndxf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" sId="1" odxf="1" dxf="1">
    <nc r="B26" t="inlineStr">
      <is>
        <t>619/881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174" sId="1" odxf="1" dxf="1">
    <nc r="C26" t="inlineStr">
      <is>
        <t>MS.ZHAO/YAN</t>
      </is>
    </nc>
    <odxf>
      <fill>
        <patternFill patternType="none">
          <bgColor indexed="65"/>
        </patternFill>
      </fill>
      <alignment horizontal="left" readingOrder="0"/>
    </odxf>
    <ndxf>
      <fill>
        <patternFill patternType="solid">
          <bgColor theme="0"/>
        </patternFill>
      </fill>
      <alignment horizontal="center" readingOrder="0"/>
    </ndxf>
  </rcc>
  <rcc rId="175" sId="1" odxf="1" dxf="1" numFmtId="19">
    <nc r="D26">
      <v>46144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176" sId="1" odxf="1" dxf="1">
    <nc r="E26">
      <v>2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fmt sheetId="1" sqref="F26" start="0" length="0">
    <dxf>
      <fill>
        <patternFill patternType="solid">
          <bgColor theme="0"/>
        </patternFill>
      </fill>
    </dxf>
  </rfmt>
  <rfmt sheetId="1" sqref="G26" start="0" length="0">
    <dxf>
      <fill>
        <patternFill patternType="solid">
          <bgColor theme="0"/>
        </patternFill>
      </fill>
    </dxf>
  </rfmt>
  <rcc rId="177" sId="1" odxf="1" dxf="1">
    <nc r="H26" t="inlineStr">
      <is>
        <t>ALLOCATION</t>
      </is>
    </nc>
    <odxf>
      <numFmt numFmtId="0" formatCode="General"/>
      <fill>
        <patternFill patternType="none">
          <bgColor indexed="65"/>
        </patternFill>
      </fill>
      <alignment horizontal="left" readingOrder="0"/>
    </odxf>
    <ndxf>
      <numFmt numFmtId="3" formatCode="#,##0"/>
      <fill>
        <patternFill patternType="solid">
          <bgColor rgb="FF92D050"/>
        </patternFill>
      </fill>
      <alignment horizontal="center" readingOrder="0"/>
    </ndxf>
  </rcc>
  <rcc rId="178" sId="1" odxf="1" dxf="1">
    <nc r="I26" t="inlineStr">
      <is>
        <t>Monica/Faiha</t>
      </is>
    </nc>
    <odxf>
      <fill>
        <patternFill patternType="none">
          <bgColor indexed="65"/>
        </patternFill>
      </fill>
      <alignment horizontal="left" readingOrder="0"/>
    </odxf>
    <ndxf>
      <fill>
        <patternFill patternType="solid">
          <bgColor theme="0"/>
        </patternFill>
      </fill>
      <alignment horizontal="center" readingOrder="0"/>
    </ndxf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" sId="4" odxf="1" dxf="1">
    <nc r="B8">
      <v>866</v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180" sId="4" odxf="1" dxf="1">
    <nc r="C8" t="inlineStr">
      <is>
        <t>Belyaev, Ivan</t>
      </is>
    </nc>
    <odxf>
      <alignment vertical="top" readingOrder="0"/>
    </odxf>
    <ndxf>
      <alignment vertical="center" readingOrder="0"/>
    </ndxf>
  </rcc>
  <rcc rId="181" sId="4" odxf="1" dxf="1" numFmtId="19">
    <nc r="D8">
      <v>46150</v>
    </nc>
    <odxf>
      <alignment vertical="top" readingOrder="0"/>
    </odxf>
    <ndxf>
      <alignment vertical="center" readingOrder="0"/>
    </ndxf>
  </rcc>
  <rcc rId="182" sId="4" odxf="1" dxf="1">
    <nc r="E8">
      <v>2</v>
    </nc>
    <odxf>
      <alignment vertical="top" readingOrder="0"/>
    </odxf>
    <ndxf>
      <alignment vertical="center" readingOrder="0"/>
    </ndxf>
  </rcc>
  <rfmt sheetId="4" sqref="F8" start="0" length="0">
    <dxf>
      <alignment vertical="center" readingOrder="0"/>
    </dxf>
  </rfmt>
  <rfmt sheetId="4" sqref="G8" start="0" length="0">
    <dxf>
      <alignment vertical="center" readingOrder="0"/>
    </dxf>
  </rfmt>
  <rcc rId="183" sId="4" odxf="1" dxf="1">
    <nc r="H8" t="inlineStr">
      <is>
        <t>FB</t>
      </is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184" sId="4" odxf="1" dxf="1">
    <nc r="I8" t="inlineStr">
      <is>
        <t>Aiperi/Faiha</t>
      </is>
    </nc>
    <odxf>
      <alignment vertical="top" readingOrder="0"/>
    </odxf>
    <ndxf>
      <alignment vertical="center" readingOrder="0"/>
    </ndxf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5" sId="1" ref="A18:XFD18" action="insertRow"/>
  <rcc rId="186" sId="1" odxf="1" dxf="1">
    <nc r="B18">
      <v>847</v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187" sId="1" odxf="1" dxf="1">
    <nc r="C18" t="inlineStr">
      <is>
        <t>Shota Ishizawa</t>
      </is>
    </nc>
    <odxf>
      <alignment horizontal="left" readingOrder="0"/>
    </odxf>
    <ndxf>
      <alignment horizontal="center" readingOrder="0"/>
    </ndxf>
  </rcc>
  <rcc rId="188" sId="1" numFmtId="19">
    <nc r="D18">
      <v>46145</v>
    </nc>
  </rcc>
  <rcc rId="189" sId="1">
    <nc r="E18">
      <v>2</v>
    </nc>
  </rcc>
  <rcc rId="190" sId="1" odxf="1" dxf="1">
    <nc r="H18" t="inlineStr">
      <is>
        <t>ALLOCATION</t>
      </is>
    </nc>
    <odxf>
      <fill>
        <patternFill>
          <bgColor theme="0"/>
        </patternFill>
      </fill>
      <alignment horizontal="left" readingOrder="0"/>
    </odxf>
    <ndxf>
      <fill>
        <patternFill>
          <bgColor rgb="FF92D050"/>
        </patternFill>
      </fill>
      <alignment horizontal="center" readingOrder="0"/>
    </ndxf>
  </rcc>
  <rcc rId="191" sId="1" odxf="1" dxf="1">
    <nc r="I18" t="inlineStr">
      <is>
        <t>Xuan</t>
      </is>
    </nc>
    <odxf>
      <alignment vertical="top" readingOrder="0"/>
    </odxf>
    <ndxf>
      <alignment vertical="center" readingOrder="0"/>
    </ndxf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" sId="1">
    <nc r="A18">
      <v>12</v>
    </nc>
  </rcc>
  <rcc rId="193" sId="1">
    <oc r="A19">
      <v>12</v>
    </oc>
    <nc r="A19">
      <v>13</v>
    </nc>
  </rcc>
  <rcc rId="194" sId="1" odxf="1" dxf="1">
    <oc r="A20">
      <v>13</v>
    </oc>
    <nc r="A20">
      <v>14</v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95" sId="1">
    <oc r="A21">
      <v>14</v>
    </oc>
    <nc r="A21">
      <v>15</v>
    </nc>
  </rcc>
  <rcc rId="196" sId="1">
    <oc r="A22">
      <v>15</v>
    </oc>
    <nc r="A22">
      <v>16</v>
    </nc>
  </rcc>
  <rcc rId="197" sId="1">
    <oc r="A23">
      <v>16</v>
    </oc>
    <nc r="A23">
      <v>17</v>
    </nc>
  </rcc>
  <rcc rId="198" sId="1">
    <oc r="A24">
      <v>17</v>
    </oc>
    <nc r="A24">
      <v>18</v>
    </nc>
  </rcc>
  <rcc rId="199" sId="1" odxf="1" dxf="1">
    <oc r="A25">
      <v>18</v>
    </oc>
    <nc r="A25">
      <v>19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200" sId="1">
    <oc r="A26">
      <v>19</v>
    </oc>
    <nc r="A26">
      <v>20</v>
    </nc>
  </rcc>
  <rcc rId="201" sId="1">
    <oc r="A27">
      <v>20</v>
    </oc>
    <nc r="A27">
      <v>21</v>
    </nc>
  </rcc>
  <rrc rId="202" sId="1" ref="A28:XFD28" action="insertRow"/>
  <rrc rId="203" sId="1" ref="A28:XFD28" action="insertRow"/>
  <rrc rId="204" sId="1" ref="A28:XFD29" action="insertRow"/>
  <rrc rId="205" sId="1" ref="A28:XFD29" action="insertRow"/>
  <rfmt sheetId="1" sqref="A28:A33" start="0" length="0">
    <dxf>
      <border>
        <left style="thin">
          <color indexed="64"/>
        </left>
      </border>
    </dxf>
  </rfmt>
  <rfmt sheetId="1" sqref="I28:I33" start="0" length="0">
    <dxf>
      <border>
        <right style="thin">
          <color indexed="64"/>
        </right>
      </border>
    </dxf>
  </rfmt>
  <rfmt sheetId="1" sqref="A33:I33" start="0" length="0">
    <dxf>
      <border>
        <bottom style="thin">
          <color indexed="64"/>
        </bottom>
      </border>
    </dxf>
  </rfmt>
  <rfmt sheetId="1" sqref="A28:I3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A28:I33">
    <dxf>
      <fill>
        <patternFill patternType="none">
          <bgColor auto="1"/>
        </patternFill>
      </fill>
    </dxf>
  </rfmt>
  <rcc rId="206" sId="1">
    <nc r="A28">
      <v>22</v>
    </nc>
  </rcc>
  <rcc rId="207" sId="1">
    <nc r="A29">
      <v>23</v>
    </nc>
  </rcc>
  <rcc rId="208" sId="1">
    <nc r="A30">
      <v>24</v>
    </nc>
  </rcc>
  <rcc rId="209" sId="1">
    <nc r="A31">
      <v>25</v>
    </nc>
  </rcc>
  <rcc rId="210" sId="1">
    <nc r="A32">
      <v>26</v>
    </nc>
  </rcc>
  <rcc rId="211" sId="1">
    <nc r="A33">
      <v>27</v>
    </nc>
  </rcc>
  <rcc rId="212" sId="1" odxf="1" dxf="1">
    <nc r="B28">
      <v>310</v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213" sId="1" odxf="1" dxf="1">
    <nc r="C28" t="inlineStr">
      <is>
        <t>Tomoya Kitamoto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214" sId="1" odxf="1" dxf="1" numFmtId="19">
    <nc r="D28">
      <v>46145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215" sId="1" odxf="1" dxf="1">
    <nc r="E28">
      <v>2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fmt sheetId="1" sqref="F28" start="0" length="0">
    <dxf>
      <fill>
        <patternFill patternType="solid">
          <bgColor theme="0"/>
        </patternFill>
      </fill>
    </dxf>
  </rfmt>
  <rfmt sheetId="1" sqref="G28" start="0" length="0">
    <dxf>
      <fill>
        <patternFill patternType="solid">
          <bgColor theme="0"/>
        </patternFill>
      </fill>
    </dxf>
  </rfmt>
  <rcc rId="216" sId="1" odxf="1" dxf="1">
    <nc r="H28" t="inlineStr">
      <is>
        <t>ALLOCATION</t>
      </is>
    </nc>
    <odxf>
      <numFmt numFmtId="3" formatCode="#,##0"/>
      <fill>
        <patternFill patternType="none">
          <bgColor indexed="65"/>
        </patternFill>
      </fill>
    </odxf>
    <ndxf>
      <numFmt numFmtId="0" formatCode="General"/>
      <fill>
        <patternFill patternType="solid">
          <bgColor rgb="FF92D050"/>
        </patternFill>
      </fill>
    </ndxf>
  </rcc>
  <rcc rId="217" sId="1" odxf="1" dxf="1">
    <nc r="I28" t="inlineStr">
      <is>
        <t>UV/Tarush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218" sId="1" odxf="1" dxf="1">
    <nc r="B29">
      <v>840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219" sId="1" odxf="1" dxf="1">
    <nc r="C29" t="inlineStr">
      <is>
        <t>Samar Attia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220" sId="1" odxf="1" dxf="1" numFmtId="19">
    <nc r="D29">
      <v>46144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221" sId="1" odxf="1" dxf="1">
    <nc r="E29">
      <v>2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fmt sheetId="1" sqref="F29" start="0" length="0">
    <dxf>
      <fill>
        <patternFill patternType="solid">
          <bgColor theme="0"/>
        </patternFill>
      </fill>
    </dxf>
  </rfmt>
  <rcc rId="222" sId="1" odxf="1" dxf="1">
    <nc r="G29" t="inlineStr">
      <is>
        <t>RC $100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223" sId="1" odxf="1" dxf="1">
    <nc r="H29" t="inlineStr">
      <is>
        <t>SAI</t>
      </is>
    </nc>
    <odxf>
      <numFmt numFmtId="3" formatCode="#,##0"/>
      <fill>
        <patternFill patternType="none">
          <bgColor indexed="65"/>
        </patternFill>
      </fill>
    </odxf>
    <ndxf>
      <numFmt numFmtId="0" formatCode="General"/>
      <fill>
        <patternFill patternType="solid">
          <bgColor rgb="FFFFFF00"/>
        </patternFill>
      </fill>
    </ndxf>
  </rcc>
  <rcc rId="224" sId="1" odxf="1" dxf="1">
    <nc r="I29" t="inlineStr">
      <is>
        <t>Aiperi/Faiha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225" sId="1">
    <nc r="J29" t="inlineStr">
      <is>
        <t>NO POST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6" sId="1" odxf="1" dxf="1">
    <nc r="B30">
      <v>891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227" sId="1" odxf="1" dxf="1">
    <nc r="C30" t="inlineStr">
      <is>
        <t>Yutaka Mataui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228" sId="1" odxf="1" dxf="1" numFmtId="19">
    <nc r="D30">
      <v>46143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229" sId="1" odxf="1" dxf="1">
    <nc r="E30">
      <v>2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fmt sheetId="1" sqref="F30" start="0" length="0">
    <dxf>
      <fill>
        <patternFill patternType="solid">
          <bgColor theme="0"/>
        </patternFill>
      </fill>
    </dxf>
  </rfmt>
  <rfmt sheetId="1" sqref="G30" start="0" length="0">
    <dxf>
      <fill>
        <patternFill patternType="solid">
          <bgColor theme="0"/>
        </patternFill>
      </fill>
    </dxf>
  </rfmt>
  <rcc rId="230" sId="1" odxf="1" dxf="1">
    <nc r="H30" t="inlineStr">
      <is>
        <t>SAI</t>
      </is>
    </nc>
    <odxf>
      <numFmt numFmtId="3" formatCode="#,##0"/>
      <fill>
        <patternFill patternType="none">
          <bgColor indexed="65"/>
        </patternFill>
      </fill>
    </odxf>
    <ndxf>
      <numFmt numFmtId="0" formatCode="General"/>
      <fill>
        <patternFill patternType="solid">
          <bgColor rgb="FFFFFF00"/>
        </patternFill>
      </fill>
    </ndxf>
  </rcc>
  <rcc rId="231" sId="1" odxf="1" dxf="1">
    <nc r="I30" t="inlineStr">
      <is>
        <t>Faiha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232" sId="1">
    <nc r="J30" t="inlineStr">
      <is>
        <t>NO POST</t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3" sId="1">
    <nc r="B31">
      <v>305</v>
    </nc>
  </rcc>
  <rcc rId="234" sId="1">
    <nc r="E31">
      <v>2</v>
    </nc>
  </rcc>
  <rfmt sheetId="1" sqref="I31" start="0" length="0">
    <dxf>
      <fill>
        <patternFill patternType="solid">
          <bgColor theme="0"/>
        </patternFill>
      </fill>
    </dxf>
  </rfmt>
  <rcc rId="235" sId="1">
    <nc r="I31" t="inlineStr">
      <is>
        <t>Faiha</t>
      </is>
    </nc>
  </rcc>
  <rcc rId="236" sId="1">
    <nc r="B32">
      <v>323</v>
    </nc>
  </rcc>
  <rcc rId="237" sId="1">
    <nc r="E32">
      <v>2</v>
    </nc>
  </rcc>
  <rcc rId="238" sId="1">
    <nc r="I32" t="inlineStr">
      <is>
        <t>UV/Faiha</t>
      </is>
    </nc>
  </rcc>
  <rcc rId="239" sId="1">
    <oc r="E34">
      <f>SUM(E7:E27)</f>
    </oc>
    <nc r="E34">
      <f>SUM(E7:E32)</f>
    </nc>
  </rcc>
  <rcc rId="240" sId="1">
    <oc r="F34">
      <f>SUM(F7:F27)</f>
    </oc>
    <nc r="F34">
      <f>SUM(F7:F27)</f>
    </nc>
  </rcc>
  <rcc rId="241" sId="3">
    <nc r="B9">
      <v>677</v>
    </nc>
  </rcc>
  <rcc rId="242" sId="3">
    <nc r="E9">
      <v>2</v>
    </nc>
  </rcc>
  <rcc rId="243" sId="3">
    <nc r="I9" t="inlineStr">
      <is>
        <t>Faiha/Win</t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4" sId="2">
    <nc r="B9">
      <v>325</v>
    </nc>
  </rcc>
  <rcc rId="245" sId="2">
    <nc r="E9">
      <v>2</v>
    </nc>
  </rcc>
  <rcc rId="246" sId="2">
    <nc r="B10">
      <v>215</v>
    </nc>
  </rcc>
  <rcc rId="247" sId="2">
    <nc r="E10">
      <v>2</v>
    </nc>
  </rcc>
  <rcc rId="248" sId="2">
    <nc r="I10" t="inlineStr">
      <is>
        <t>UV/Faiha</t>
      </is>
    </nc>
  </rcc>
  <rcc rId="249" sId="2">
    <nc r="I9" t="inlineStr">
      <is>
        <t>UV/Faiha</t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0" sId="1">
    <nc r="B33">
      <v>332</v>
    </nc>
  </rcc>
  <rcc rId="251" sId="1">
    <nc r="E33">
      <v>5</v>
    </nc>
  </rcc>
  <rcc rId="252" sId="1" endOfListFormulaUpdate="1">
    <oc r="E34">
      <f>SUM(E7:E32)</f>
    </oc>
    <nc r="E34">
      <f>SUM(E7:E33)</f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" sId="1">
    <nc r="C15" t="inlineStr">
      <is>
        <t>Hojun Jeon</t>
      </is>
    </nc>
  </rcc>
  <rcc rId="254" sId="1" numFmtId="19">
    <nc r="D15">
      <v>46144</v>
    </nc>
  </rcc>
  <rcc rId="255" sId="1">
    <nc r="C16" t="inlineStr">
      <is>
        <t>Jihyeon Park</t>
      </is>
    </nc>
  </rcc>
  <rcc rId="256" sId="1" numFmtId="19">
    <nc r="D16">
      <v>46144</v>
    </nc>
  </rcc>
  <rcc rId="257" sId="1">
    <nc r="C17" t="inlineStr">
      <is>
        <t>Changmin Jun</t>
      </is>
    </nc>
  </rcc>
  <rcc rId="258" sId="1" numFmtId="19">
    <nc r="D17">
      <v>46145</v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" sId="1">
    <nc r="C31" t="inlineStr">
      <is>
        <t>Jiayun Lin</t>
      </is>
    </nc>
  </rcc>
  <rcc rId="260" sId="1" numFmtId="19">
    <nc r="D31">
      <v>46145</v>
    </nc>
  </rcc>
  <rcc rId="261" sId="1">
    <nc r="C32" t="inlineStr">
      <is>
        <t>Darye Lee</t>
      </is>
    </nc>
  </rcc>
  <rcc rId="262" sId="1" numFmtId="19">
    <nc r="D32">
      <v>46145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3" sId="5">
    <nc r="B12">
      <v>302</v>
    </nc>
  </rcc>
  <rcc rId="264" sId="5">
    <nc r="E12">
      <v>2</v>
    </nc>
  </rcc>
  <rcc rId="265" sId="5">
    <nc r="I12" t="inlineStr">
      <is>
        <t>UV/Faiha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" sId="5">
    <nc r="C12" t="inlineStr">
      <is>
        <t>Jonathon Cavanagh</t>
      </is>
    </nc>
  </rcc>
  <rcc rId="267" sId="5" numFmtId="19">
    <nc r="D12">
      <v>46152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33" start="0" length="0">
    <dxf>
      <fill>
        <patternFill patternType="solid">
          <bgColor theme="0"/>
        </patternFill>
      </fill>
      <border outline="0">
        <top/>
      </border>
    </dxf>
  </rfmt>
  <rcc rId="268" sId="1" odxf="1" dxf="1">
    <nc r="C33" t="inlineStr">
      <is>
        <t>Hao Li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269" sId="1" odxf="1" dxf="1" numFmtId="19">
    <nc r="D33">
      <v>46146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fmt sheetId="1" sqref="E33" start="0" length="0">
    <dxf>
      <fill>
        <patternFill patternType="solid">
          <bgColor theme="0"/>
        </patternFill>
      </fill>
    </dxf>
  </rfmt>
  <rcc rId="270" sId="1">
    <nc r="I33" t="inlineStr">
      <is>
        <t>Xuan</t>
      </is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9:I9" start="0" length="0">
    <dxf>
      <border>
        <top style="thin">
          <color indexed="64"/>
        </top>
      </border>
    </dxf>
  </rfmt>
  <rfmt sheetId="1" sqref="B7:I33">
    <dxf>
      <alignment vertical="center" readingOrder="0"/>
    </dxf>
  </rfmt>
  <rfmt sheetId="1" sqref="B7:I33">
    <dxf>
      <alignment horizontal="right" readingOrder="0"/>
    </dxf>
  </rfmt>
  <rfmt sheetId="1" sqref="B7:I33">
    <dxf>
      <alignment horizontal="center" readingOrder="0"/>
    </dxf>
  </rfmt>
  <rfmt sheetId="1" sqref="B7:I33" start="0" length="2147483647">
    <dxf>
      <font>
        <b/>
      </font>
    </dxf>
  </rfmt>
  <rfmt sheetId="1" sqref="B7:I33" start="0" length="2147483647">
    <dxf>
      <font>
        <b val="0"/>
      </font>
    </dxf>
  </rfmt>
  <rfmt sheetId="1" sqref="B7:I33" start="0" length="2147483647">
    <dxf>
      <font>
        <name val="Calibri"/>
        <scheme val="minor"/>
      </font>
    </dxf>
  </rfmt>
  <rfmt sheetId="1" sqref="B7:I33" start="0" length="2147483647">
    <dxf>
      <font>
        <sz val="14"/>
      </font>
    </dxf>
  </rfmt>
  <rcc rId="271" sId="1" odxf="1" dxf="1">
    <nc r="H9" t="inlineStr">
      <is>
        <t>ALLOCATION</t>
      </is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272" sId="1" odxf="1" dxf="1">
    <nc r="H31" t="inlineStr">
      <is>
        <t>ALLOCATION</t>
      </is>
    </nc>
    <odxf>
      <numFmt numFmtId="3" formatCode="#,##0"/>
      <fill>
        <patternFill patternType="none">
          <bgColor indexed="65"/>
        </patternFill>
      </fill>
    </odxf>
    <ndxf>
      <numFmt numFmtId="0" formatCode="General"/>
      <fill>
        <patternFill patternType="solid">
          <bgColor rgb="FF92D050"/>
        </patternFill>
      </fill>
    </ndxf>
  </rcc>
  <rcc rId="273" sId="1">
    <nc r="J32" t="inlineStr">
      <is>
        <t>NO POST</t>
      </is>
    </nc>
  </rcc>
  <rcc rId="274" sId="1" odxf="1" dxf="1">
    <nc r="H32" t="inlineStr">
      <is>
        <t>ITA(NP)</t>
      </is>
    </nc>
    <ndxf>
      <numFmt numFmtId="0" formatCode="General"/>
      <fill>
        <patternFill patternType="solid">
          <bgColor rgb="FFFF66CC"/>
        </patternFill>
      </fill>
    </ndxf>
  </rcc>
  <rfmt sheetId="1" sqref="B32">
    <dxf>
      <fill>
        <patternFill patternType="solid">
          <bgColor rgb="FFFF66CC"/>
        </patternFill>
      </fill>
    </dxf>
  </rfmt>
  <rfmt sheetId="1" sqref="B9 B31">
    <dxf>
      <fill>
        <patternFill>
          <bgColor rgb="FF92D050"/>
        </patternFill>
      </fill>
    </dxf>
  </rfmt>
  <rcc rId="275" sId="1">
    <oc r="H11">
      <v>26199404</v>
    </oc>
    <nc r="H11" t="inlineStr">
      <is>
        <t>HB</t>
      </is>
    </nc>
  </rcc>
  <rcc rId="276" sId="1" odxf="1" dxf="1">
    <nc r="H33" t="inlineStr">
      <is>
        <t>ALLOCATION</t>
      </is>
    </nc>
    <ndxf>
      <numFmt numFmtId="0" formatCode="General"/>
      <fill>
        <patternFill patternType="solid">
          <bgColor rgb="FF92D050"/>
        </patternFill>
      </fill>
    </ndxf>
  </rcc>
  <rfmt sheetId="1" sqref="B33">
    <dxf>
      <fill>
        <patternFill>
          <bgColor rgb="FF92D050"/>
        </patternFill>
      </fill>
    </dxf>
  </rfmt>
  <rfmt sheetId="1" sqref="B11">
    <dxf>
      <fill>
        <patternFill>
          <bgColor rgb="FFFFFF00"/>
        </patternFill>
      </fill>
    </dxf>
  </rfmt>
  <rfmt sheetId="1" sqref="H11">
    <dxf>
      <fill>
        <patternFill>
          <bgColor rgb="FFFFFF00"/>
        </patternFill>
      </fill>
    </dxf>
  </rfmt>
  <rcc rId="277" sId="1" odxf="1" dxf="1">
    <nc r="H15" t="inlineStr">
      <is>
        <t>ITA(NP)</t>
      </is>
    </nc>
    <odxf>
      <fill>
        <patternFill>
          <bgColor theme="0"/>
        </patternFill>
      </fill>
    </odxf>
    <ndxf>
      <fill>
        <patternFill>
          <bgColor rgb="FFFF66CC"/>
        </patternFill>
      </fill>
    </ndxf>
  </rcc>
  <rfmt sheetId="1" sqref="B15">
    <dxf>
      <fill>
        <patternFill>
          <bgColor rgb="FFFF66CC"/>
        </patternFill>
      </fill>
    </dxf>
  </rfmt>
  <rcc rId="278" sId="1">
    <oc r="J15">
      <f>IF(OR(NOT(ISERROR(MATCH(RIGHT(B13,3)+0,#REF!,0))),NOT(ISERROR(MATCH(LEFT(B13,3)+0,#REF!,0)))),"No Post","")</f>
    </oc>
    <nc r="J15" t="inlineStr">
      <is>
        <t>NO POST</t>
      </is>
    </nc>
  </rcc>
  <rcc rId="279" sId="1">
    <oc r="B24">
      <v>629</v>
    </oc>
    <nc r="B24" t="inlineStr">
      <is>
        <t>629/865</t>
      </is>
    </nc>
  </rcc>
  <rcc rId="280" sId="1">
    <oc r="C24" t="inlineStr">
      <is>
        <t>Le Zu</t>
      </is>
    </oc>
    <nc r="C24" t="inlineStr">
      <is>
        <t>LeI Zu</t>
      </is>
    </nc>
  </rcc>
  <rcc rId="281" sId="1">
    <oc r="B23">
      <v>630</v>
    </oc>
    <nc r="B23" t="inlineStr">
      <is>
        <t>630/867</t>
      </is>
    </nc>
  </rcc>
  <rcc rId="282" sId="1">
    <oc r="B14">
      <v>668</v>
    </oc>
    <nc r="B14" t="inlineStr">
      <is>
        <t>668/841</t>
      </is>
    </nc>
  </rcc>
  <rcc rId="283" sId="1" odxf="1" dxf="1">
    <nc r="H14" t="inlineStr">
      <is>
        <t>ITA(NP)</t>
      </is>
    </nc>
    <odxf>
      <fill>
        <patternFill>
          <bgColor theme="0"/>
        </patternFill>
      </fill>
    </odxf>
    <ndxf>
      <fill>
        <patternFill>
          <bgColor rgb="FFFF66CC"/>
        </patternFill>
      </fill>
    </ndxf>
  </rcc>
  <rcc rId="284" sId="1">
    <oc r="J14">
      <f>IF(OR(NOT(ISERROR(MATCH(RIGHT(B18,3)+0,#REF!,0))),NOT(ISERROR(MATCH(LEFT(B18,3)+0,#REF!,0)))),"No Post","")</f>
    </oc>
    <nc r="J14" t="inlineStr">
      <is>
        <t>NO POST</t>
      </is>
    </nc>
  </rcc>
  <rfmt sheetId="1" sqref="B14">
    <dxf>
      <fill>
        <patternFill>
          <bgColor rgb="FFFF66CC"/>
        </patternFill>
      </fill>
    </dxf>
  </rfmt>
  <rcc rId="285" sId="1" odxf="1" dxf="1">
    <nc r="H17" t="inlineStr">
      <is>
        <t>ITA(NP)</t>
      </is>
    </nc>
    <odxf>
      <fill>
        <patternFill>
          <bgColor theme="0"/>
        </patternFill>
      </fill>
    </odxf>
    <ndxf>
      <fill>
        <patternFill>
          <bgColor rgb="FFFF66CC"/>
        </patternFill>
      </fill>
    </ndxf>
  </rcc>
  <rfmt sheetId="1" sqref="B17">
    <dxf>
      <fill>
        <patternFill>
          <bgColor rgb="FFFF66CC"/>
        </patternFill>
      </fill>
    </dxf>
  </rfmt>
  <rcc rId="286" sId="1">
    <oc r="J17">
      <f>IF(OR(NOT(ISERROR(MATCH(RIGHT(B19,3)+0,#REF!,0))),NOT(ISERROR(MATCH(LEFT(B19,3)+0,#REF!,0)))),"No Post","")</f>
    </oc>
    <nc r="J17" t="inlineStr">
      <is>
        <t>NO POST</t>
      </is>
    </nc>
  </rcc>
  <rfmt sheetId="1" sqref="B16">
    <dxf>
      <fill>
        <patternFill>
          <bgColor rgb="FFFF66CC"/>
        </patternFill>
      </fill>
    </dxf>
  </rfmt>
  <rcc rId="287" sId="1" odxf="1" dxf="1">
    <nc r="H16" t="inlineStr">
      <is>
        <t>ITA(NP)</t>
      </is>
    </nc>
    <odxf>
      <fill>
        <patternFill>
          <bgColor theme="0"/>
        </patternFill>
      </fill>
    </odxf>
    <ndxf>
      <fill>
        <patternFill>
          <bgColor rgb="FFFF66CC"/>
        </patternFill>
      </fill>
    </ndxf>
  </rcc>
  <rcc rId="288" sId="1">
    <oc r="J16">
      <f>IF(OR(NOT(ISERROR(MATCH(RIGHT(B20,3)+0,#REF!,0))),NOT(ISERROR(MATCH(LEFT(B20,3)+0,#REF!,0)))),"No Post","")</f>
    </oc>
    <nc r="J16" t="inlineStr">
      <is>
        <t>NO POST</t>
      </is>
    </nc>
  </rcc>
  <rcc rId="289" sId="1" odxf="1" dxf="1">
    <nc r="H13" t="inlineStr">
      <is>
        <t>ITA(NP)</t>
      </is>
    </nc>
    <odxf>
      <fill>
        <patternFill>
          <bgColor theme="0"/>
        </patternFill>
      </fill>
    </odxf>
    <ndxf>
      <fill>
        <patternFill>
          <bgColor rgb="FFFF66CC"/>
        </patternFill>
      </fill>
    </ndxf>
  </rcc>
  <rcc rId="290" sId="1">
    <oc r="B13">
      <v>681</v>
    </oc>
    <nc r="B13" t="inlineStr">
      <is>
        <t>681/889</t>
      </is>
    </nc>
  </rcc>
  <rfmt sheetId="1" sqref="B13">
    <dxf>
      <fill>
        <patternFill>
          <bgColor rgb="FFFF66CC"/>
        </patternFill>
      </fill>
    </dxf>
  </rfmt>
  <rcc rId="291" sId="1">
    <oc r="J13">
      <f>IF(OR(NOT(ISERROR(MATCH(RIGHT(B21,3)+0,#REF!,0))),NOT(ISERROR(MATCH(LEFT(B21,3)+0,#REF!,0)))),"No Post","")</f>
    </oc>
    <nc r="J13" t="inlineStr">
      <is>
        <t>NO POST</t>
      </is>
    </nc>
  </rcc>
  <rfmt sheetId="1" sqref="B8">
    <dxf>
      <fill>
        <patternFill>
          <bgColor rgb="FFFFFF00"/>
        </patternFill>
      </fill>
    </dxf>
  </rfmt>
  <rcc rId="292" sId="1" odxf="1" dxf="1">
    <nc r="G8" t="inlineStr">
      <is>
        <t>SAI</t>
      </is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293" sId="1">
    <oc r="B12">
      <v>850</v>
    </oc>
    <nc r="B12" t="inlineStr">
      <is>
        <t>850/621</t>
      </is>
    </nc>
  </rcc>
  <rcc rId="294" sId="1" odxf="1" dxf="1">
    <nc r="H12" t="inlineStr">
      <is>
        <t>ALLOCATION</t>
      </is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fmt sheetId="1" sqref="B12">
    <dxf>
      <fill>
        <patternFill>
          <bgColor rgb="FF92D050"/>
        </patternFill>
      </fill>
    </dxf>
  </rfmt>
  <rcc rId="295" sId="1" odxf="1" dxf="1">
    <nc r="H10" t="inlineStr">
      <is>
        <t>ITA(NP)</t>
      </is>
    </nc>
    <odxf>
      <fill>
        <patternFill>
          <bgColor theme="0"/>
        </patternFill>
      </fill>
    </odxf>
    <ndxf>
      <fill>
        <patternFill>
          <bgColor rgb="FFFF66CC"/>
        </patternFill>
      </fill>
    </ndxf>
  </rcc>
  <rfmt sheetId="1" sqref="B10">
    <dxf>
      <fill>
        <patternFill>
          <bgColor rgb="FFFF66CC"/>
        </patternFill>
      </fill>
    </dxf>
  </rfmt>
  <rcc rId="296" sId="1">
    <oc r="B7" t="inlineStr">
      <is>
        <t>Prebooking</t>
      </is>
    </oc>
    <nc r="B7">
      <v>883</v>
    </nc>
  </rcc>
  <rcc rId="297" sId="1" odxf="1" dxf="1">
    <oc r="H7" t="inlineStr">
      <is>
        <t>3051675 (TRMD)</t>
      </is>
    </oc>
    <nc r="H7" t="inlineStr">
      <is>
        <t>ALLOCATION</t>
      </is>
    </nc>
    <odxf>
      <font>
        <sz val="14"/>
        <color rgb="FF321704"/>
      </font>
      <numFmt numFmtId="0" formatCode="General"/>
      <fill>
        <patternFill patternType="none">
          <bgColor indexed="65"/>
        </patternFill>
      </fill>
    </odxf>
    <ndxf>
      <font>
        <sz val="14"/>
        <color rgb="FF321704"/>
      </font>
      <numFmt numFmtId="3" formatCode="#,##0"/>
      <fill>
        <patternFill patternType="solid">
          <bgColor rgb="FF92D050"/>
        </patternFill>
      </fill>
    </ndxf>
  </rcc>
  <rfmt sheetId="1" sqref="B7">
    <dxf>
      <fill>
        <patternFill>
          <bgColor rgb="FF92D050"/>
        </patternFill>
      </fill>
    </dxf>
  </rfmt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8" sId="1" ref="A34:XFD34" action="insertRow"/>
  <rfmt sheetId="1" sqref="B34" start="0" length="0">
    <dxf>
      <fill>
        <patternFill>
          <bgColor rgb="FFFFFF0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4" start="0" length="0">
    <dxf>
      <fill>
        <patternFill>
          <bgColor rgb="FFFFFF0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9" sId="1">
    <nc r="J34">
      <f>IF(OR(NOT(ISERROR(MATCH(RIGHT(B34,3)+0,#REF!,0))),NOT(ISERROR(MATCH(LEFT(B34,3)+0,#REF!,0)))),"No Post","")</f>
    </nc>
  </rcc>
  <rcc rId="300" sId="1" odxf="1" dxf="1">
    <oc r="B11">
      <v>329</v>
    </oc>
    <nc r="B11">
      <v>332</v>
    </nc>
    <odxf>
      <fill>
        <patternFill>
          <bgColor rgb="FFFFFF00"/>
        </patternFill>
      </fill>
    </odxf>
    <ndxf>
      <fill>
        <patternFill>
          <bgColor rgb="FF92D050"/>
        </patternFill>
      </fill>
    </ndxf>
  </rcc>
  <rcc rId="301" sId="1">
    <oc r="C11" t="inlineStr">
      <is>
        <t>Kitso Lemo</t>
      </is>
    </oc>
    <nc r="C11" t="inlineStr">
      <is>
        <t>Hao Li</t>
      </is>
    </nc>
  </rcc>
  <rcc rId="302" sId="1" numFmtId="19">
    <oc r="D11">
      <v>46147</v>
    </oc>
    <nc r="D11">
      <v>46146</v>
    </nc>
  </rcc>
  <rcc rId="303" sId="1">
    <oc r="E11" t="inlineStr">
      <is>
        <t>2pp</t>
      </is>
    </oc>
    <nc r="E11">
      <v>5</v>
    </nc>
  </rcc>
  <rfmt sheetId="1" sqref="F11" start="0" length="0">
    <dxf>
      <fill>
        <patternFill patternType="none">
          <bgColor indexed="65"/>
        </patternFill>
      </fill>
    </dxf>
  </rfmt>
  <rfmt sheetId="1" sqref="G11" start="0" length="0">
    <dxf>
      <fill>
        <patternFill patternType="none">
          <bgColor indexed="65"/>
        </patternFill>
      </fill>
    </dxf>
  </rfmt>
  <rcc rId="304" sId="1" odxf="1" dxf="1">
    <oc r="H11" t="inlineStr">
      <is>
        <t>HB</t>
      </is>
    </oc>
    <nc r="H11" t="inlineStr">
      <is>
        <t>ALLOCATION</t>
      </is>
    </nc>
    <odxf>
      <fill>
        <patternFill>
          <bgColor rgb="FFFFFF00"/>
        </patternFill>
      </fill>
    </odxf>
    <ndxf>
      <fill>
        <patternFill>
          <bgColor rgb="FF92D050"/>
        </patternFill>
      </fill>
    </ndxf>
  </rcc>
  <rcc rId="305" sId="1" odxf="1" dxf="1">
    <oc r="I11" t="inlineStr">
      <is>
        <t>Monica/Faiha</t>
      </is>
    </oc>
    <nc r="I11" t="inlineStr">
      <is>
        <t>Xuan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06" sId="1">
    <oc r="J11">
      <f>IF(OR(NOT(ISERROR(MATCH(RIGHT(B11,3)+0,#REF!,0))),NOT(ISERROR(MATCH(LEFT(B11,3)+0,#REF!,0)))),"No Post","")</f>
    </oc>
    <nc r="J11"/>
  </rcc>
  <rcc rId="307" sId="1" odxf="1" dxf="1">
    <oc r="B33">
      <v>332</v>
    </oc>
    <nc r="B33">
      <v>603</v>
    </nc>
    <odxf>
      <fill>
        <patternFill>
          <bgColor rgb="FF92D050"/>
        </patternFill>
      </fill>
    </odxf>
    <ndxf>
      <fill>
        <patternFill>
          <bgColor rgb="FFFF66CC"/>
        </patternFill>
      </fill>
    </ndxf>
  </rcc>
  <rcc rId="308" sId="1">
    <oc r="C33" t="inlineStr">
      <is>
        <t>Hao Li</t>
      </is>
    </oc>
    <nc r="C33" t="inlineStr">
      <is>
        <t>Hojun Jeon</t>
      </is>
    </nc>
  </rcc>
  <rcc rId="309" sId="1" numFmtId="19">
    <oc r="D33">
      <v>46146</v>
    </oc>
    <nc r="D33">
      <v>46144</v>
    </nc>
  </rcc>
  <rcc rId="310" sId="1">
    <oc r="E33">
      <v>5</v>
    </oc>
    <nc r="E33">
      <v>2</v>
    </nc>
  </rcc>
  <rfmt sheetId="1" sqref="F33" start="0" length="0">
    <dxf>
      <fill>
        <patternFill patternType="solid">
          <bgColor theme="0"/>
        </patternFill>
      </fill>
    </dxf>
  </rfmt>
  <rfmt sheetId="1" sqref="G33" start="0" length="0">
    <dxf>
      <fill>
        <patternFill patternType="solid">
          <bgColor theme="0"/>
        </patternFill>
      </fill>
    </dxf>
  </rfmt>
  <rcc rId="311" sId="1" odxf="1" dxf="1">
    <oc r="H33" t="inlineStr">
      <is>
        <t>ALLOCATION</t>
      </is>
    </oc>
    <nc r="H33" t="inlineStr">
      <is>
        <t>ITA(NP)</t>
      </is>
    </nc>
    <odxf>
      <fill>
        <patternFill>
          <bgColor rgb="FF92D050"/>
        </patternFill>
      </fill>
    </odxf>
    <ndxf>
      <fill>
        <patternFill>
          <bgColor rgb="FFFF66CC"/>
        </patternFill>
      </fill>
    </ndxf>
  </rcc>
  <rcc rId="312" sId="1" odxf="1" dxf="1">
    <oc r="I33" t="inlineStr">
      <is>
        <t>Xuan</t>
      </is>
    </oc>
    <nc r="I33" t="inlineStr">
      <is>
        <t>UV/Faiha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13" sId="1">
    <nc r="J33" t="inlineStr">
      <is>
        <t>NO POST</t>
      </is>
    </nc>
  </rcc>
  <rcc rId="314" sId="1" odxf="1" dxf="1">
    <oc r="B15">
      <v>603</v>
    </oc>
    <nc r="B15">
      <v>614</v>
    </nc>
    <odxf>
      <fill>
        <patternFill>
          <bgColor rgb="FFFF66CC"/>
        </patternFill>
      </fill>
    </odxf>
    <ndxf>
      <fill>
        <patternFill>
          <bgColor rgb="FF92D050"/>
        </patternFill>
      </fill>
    </ndxf>
  </rcc>
  <rcc rId="315" sId="1">
    <oc r="C15" t="inlineStr">
      <is>
        <t>Hojun Jeon</t>
      </is>
    </oc>
    <nc r="C15" t="inlineStr">
      <is>
        <t>Bin Wang</t>
      </is>
    </nc>
  </rcc>
  <rcc rId="316" sId="1" numFmtId="19">
    <oc r="D15">
      <v>46144</v>
    </oc>
    <nc r="D15">
      <v>46142</v>
    </nc>
  </rcc>
  <rcc rId="317" sId="1" odxf="1" dxf="1">
    <oc r="H15" t="inlineStr">
      <is>
        <t>ITA(NP)</t>
      </is>
    </oc>
    <nc r="H15" t="inlineStr">
      <is>
        <t>ALLOCATION</t>
      </is>
    </nc>
    <odxf>
      <fill>
        <patternFill>
          <bgColor rgb="FFFF66CC"/>
        </patternFill>
      </fill>
    </odxf>
    <ndxf>
      <fill>
        <patternFill>
          <bgColor rgb="FF92D050"/>
        </patternFill>
      </fill>
    </ndxf>
  </rcc>
  <rcc rId="318" sId="1">
    <oc r="I15" t="inlineStr">
      <is>
        <t>UV/Faiha</t>
      </is>
    </oc>
    <nc r="I15"/>
  </rcc>
  <rcc rId="319" sId="1">
    <oc r="J15" t="inlineStr">
      <is>
        <t>NO POST</t>
      </is>
    </oc>
    <nc r="J15">
      <f>IF(OR(NOT(ISERROR(MATCH(RIGHT(B15,3)+0,#REF!,0))),NOT(ISERROR(MATCH(LEFT(B15,3)+0,#REF!,0)))),"No Post","")</f>
    </nc>
  </rcc>
  <rcc rId="320" sId="1">
    <oc r="B19">
      <v>614</v>
    </oc>
    <nc r="B19">
      <v>615</v>
    </nc>
  </rcc>
  <rcc rId="321" sId="1">
    <oc r="C19" t="inlineStr">
      <is>
        <t>Bin Wang</t>
      </is>
    </oc>
    <nc r="C19" t="inlineStr">
      <is>
        <t>Xing Zhou</t>
      </is>
    </nc>
  </rcc>
  <rcc rId="322" sId="1">
    <oc r="J19">
      <f>IF(OR(NOT(ISERROR(MATCH(RIGHT(B19,3)+0,#REF!,0))),NOT(ISERROR(MATCH(LEFT(B19,3)+0,#REF!,0)))),"No Post","")</f>
    </oc>
    <nc r="J19">
      <f>IF(OR(NOT(ISERROR(MATCH(RIGHT(B19,3)+0,#REF!,0))),NOT(ISERROR(MATCH(LEFT(B19,3)+0,#REF!,0)))),"No Post","")</f>
    </nc>
  </rcc>
  <rcc rId="323" sId="1" odxf="1" dxf="1">
    <oc r="B20">
      <v>615</v>
    </oc>
    <nc r="B20">
      <v>672</v>
    </nc>
    <odxf>
      <fill>
        <patternFill>
          <bgColor rgb="FF92D050"/>
        </patternFill>
      </fill>
    </odxf>
    <ndxf>
      <fill>
        <patternFill>
          <bgColor rgb="FFFF66CC"/>
        </patternFill>
      </fill>
    </ndxf>
  </rcc>
  <rcc rId="324" sId="1">
    <oc r="C20" t="inlineStr">
      <is>
        <t>Xing Zhou</t>
      </is>
    </oc>
    <nc r="C20" t="inlineStr">
      <is>
        <t>Changmin Jun</t>
      </is>
    </nc>
  </rcc>
  <rcc rId="325" sId="1" numFmtId="19">
    <oc r="D20">
      <v>46142</v>
    </oc>
    <nc r="D20">
      <v>46145</v>
    </nc>
  </rcc>
  <rcc rId="326" sId="1" odxf="1" dxf="1">
    <oc r="H20" t="inlineStr">
      <is>
        <t>ALLOCATION</t>
      </is>
    </oc>
    <nc r="H20" t="inlineStr">
      <is>
        <t>ITA(NP)</t>
      </is>
    </nc>
    <odxf>
      <fill>
        <patternFill>
          <bgColor rgb="FF92D050"/>
        </patternFill>
      </fill>
    </odxf>
    <ndxf>
      <fill>
        <patternFill>
          <bgColor rgb="FFFF66CC"/>
        </patternFill>
      </fill>
    </ndxf>
  </rcc>
  <rcc rId="327" sId="1">
    <nc r="I20" t="inlineStr">
      <is>
        <t>UV/Faiha</t>
      </is>
    </nc>
  </rcc>
  <rcc rId="328" sId="1">
    <oc r="J20">
      <f>IF(OR(NOT(ISERROR(MATCH(RIGHT(B15,3)+0,#REF!,0))),NOT(ISERROR(MATCH(LEFT(B15,3)+0,#REF!,0)))),"No Post","")</f>
    </oc>
    <nc r="J20" t="inlineStr">
      <is>
        <t>NO POST</t>
      </is>
    </nc>
  </rcc>
  <rcc rId="329" sId="1">
    <oc r="B17">
      <v>672</v>
    </oc>
    <nc r="B17">
      <v>675</v>
    </nc>
  </rcc>
  <rcc rId="330" sId="1">
    <oc r="C17" t="inlineStr">
      <is>
        <t>Changmin Jun</t>
      </is>
    </oc>
    <nc r="C17" t="inlineStr">
      <is>
        <t>Jihyeon Park</t>
      </is>
    </nc>
  </rcc>
  <rcc rId="331" sId="1" numFmtId="19">
    <oc r="D17">
      <v>46145</v>
    </oc>
    <nc r="D17">
      <v>46144</v>
    </nc>
  </rcc>
  <rcc rId="332" sId="1" odxf="1" dxf="1">
    <oc r="B16">
      <v>675</v>
    </oc>
    <nc r="B16">
      <v>840</v>
    </nc>
    <odxf>
      <fill>
        <patternFill>
          <bgColor rgb="FFFF66CC"/>
        </patternFill>
      </fill>
    </odxf>
    <ndxf>
      <fill>
        <patternFill>
          <bgColor rgb="FFFFFF00"/>
        </patternFill>
      </fill>
    </ndxf>
  </rcc>
  <rcc rId="333" sId="1">
    <oc r="C16" t="inlineStr">
      <is>
        <t>Jihyeon Park</t>
      </is>
    </oc>
    <nc r="C16" t="inlineStr">
      <is>
        <t>Samar Attia</t>
      </is>
    </nc>
  </rcc>
  <rcc rId="334" sId="1">
    <nc r="G16" t="inlineStr">
      <is>
        <t>RC $100</t>
      </is>
    </nc>
  </rcc>
  <rcc rId="335" sId="1" odxf="1" dxf="1">
    <oc r="H16" t="inlineStr">
      <is>
        <t>ITA(NP)</t>
      </is>
    </oc>
    <nc r="H16" t="inlineStr">
      <is>
        <t>SAI</t>
      </is>
    </nc>
    <odxf>
      <fill>
        <patternFill>
          <bgColor rgb="FFFF66CC"/>
        </patternFill>
      </fill>
    </odxf>
    <ndxf>
      <fill>
        <patternFill>
          <bgColor rgb="FFFFFF00"/>
        </patternFill>
      </fill>
    </ndxf>
  </rcc>
  <rcc rId="336" sId="1">
    <oc r="I16" t="inlineStr">
      <is>
        <t>UV/Faiha</t>
      </is>
    </oc>
    <nc r="I16" t="inlineStr">
      <is>
        <t>Aiperi/Faiha</t>
      </is>
    </nc>
  </rcc>
  <rcc rId="337" sId="1" odxf="1" dxf="1">
    <oc r="B29">
      <v>840</v>
    </oc>
    <nc r="B29">
      <v>847</v>
    </nc>
    <odxf>
      <fill>
        <patternFill>
          <bgColor rgb="FFFFFF00"/>
        </patternFill>
      </fill>
    </odxf>
    <ndxf>
      <fill>
        <patternFill>
          <bgColor rgb="FF92D050"/>
        </patternFill>
      </fill>
    </ndxf>
  </rcc>
  <rcc rId="338" sId="1">
    <oc r="C29" t="inlineStr">
      <is>
        <t>Samar Attia</t>
      </is>
    </oc>
    <nc r="C29" t="inlineStr">
      <is>
        <t>Shota Ishizawa</t>
      </is>
    </nc>
  </rcc>
  <rcc rId="339" sId="1" numFmtId="19">
    <oc r="D29">
      <v>46144</v>
    </oc>
    <nc r="D29">
      <v>46145</v>
    </nc>
  </rcc>
  <rcc rId="340" sId="1">
    <oc r="G29" t="inlineStr">
      <is>
        <t>RC $100</t>
      </is>
    </oc>
    <nc r="G29"/>
  </rcc>
  <rcc rId="341" sId="1" odxf="1" dxf="1">
    <oc r="H29" t="inlineStr">
      <is>
        <t>SAI</t>
      </is>
    </oc>
    <nc r="H29" t="inlineStr">
      <is>
        <t>ALLOCATION</t>
      </is>
    </nc>
    <odxf>
      <fill>
        <patternFill>
          <bgColor rgb="FFFFFF00"/>
        </patternFill>
      </fill>
    </odxf>
    <ndxf>
      <fill>
        <patternFill>
          <bgColor rgb="FF92D050"/>
        </patternFill>
      </fill>
    </ndxf>
  </rcc>
  <rcc rId="342" sId="1">
    <oc r="I29" t="inlineStr">
      <is>
        <t>Aiperi/Faiha</t>
      </is>
    </oc>
    <nc r="I29" t="inlineStr">
      <is>
        <t>Xuan</t>
      </is>
    </nc>
  </rcc>
  <rcc rId="343" sId="1">
    <oc r="J29" t="inlineStr">
      <is>
        <t>NO POST</t>
      </is>
    </oc>
    <nc r="J29"/>
  </rcc>
  <rcc rId="344" sId="1" odxf="1" dxf="1">
    <oc r="B18">
      <v>847</v>
    </oc>
    <nc r="B18">
      <v>848</v>
    </nc>
    <odxf>
      <fill>
        <patternFill>
          <bgColor rgb="FF92D050"/>
        </patternFill>
      </fill>
    </odxf>
    <ndxf>
      <fill>
        <patternFill>
          <bgColor rgb="FFFFFF00"/>
        </patternFill>
      </fill>
    </ndxf>
  </rcc>
  <rcc rId="345" sId="1" odxf="1" dxf="1">
    <oc r="C18" t="inlineStr">
      <is>
        <t>Shota Ishizawa</t>
      </is>
    </oc>
    <nc r="C18" t="inlineStr">
      <is>
        <t>Gavin David Hogg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46" sId="1" odxf="1" dxf="1">
    <nc r="G18" t="inlineStr">
      <is>
        <t>SAI</t>
      </is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347" sId="1" odxf="1" dxf="1">
    <oc r="H18" t="inlineStr">
      <is>
        <t>ALLOCATION</t>
      </is>
    </oc>
    <nc r="H18" t="inlineStr">
      <is>
        <t>Check if went last Thursday</t>
      </is>
    </nc>
    <odxf>
      <font>
        <sz val="14"/>
      </font>
      <fill>
        <patternFill patternType="solid">
          <bgColor rgb="FF92D050"/>
        </patternFill>
      </fill>
    </odxf>
    <ndxf>
      <font>
        <sz val="14"/>
        <color rgb="FF4F3629"/>
      </font>
      <fill>
        <patternFill patternType="none">
          <bgColor indexed="65"/>
        </patternFill>
      </fill>
    </ndxf>
  </rcc>
  <rcc rId="348" sId="1">
    <oc r="I18" t="inlineStr">
      <is>
        <t>Xuan</t>
      </is>
    </oc>
    <nc r="I18" t="inlineStr">
      <is>
        <t>Shamrath/Tarush</t>
      </is>
    </nc>
  </rcc>
  <rcc rId="349" sId="1">
    <nc r="J18">
      <f>IF(OR(NOT(ISERROR(MATCH(RIGHT(B18,3)+0,#REF!,0))),NOT(ISERROR(MATCH(LEFT(B18,3)+0,#REF!,0)))),"No Post","")</f>
    </nc>
  </rcc>
  <rcc rId="350" sId="1" odxf="1" dxf="1">
    <oc r="B8">
      <v>848</v>
    </oc>
    <nc r="B8">
      <v>878</v>
    </nc>
    <odxf>
      <fill>
        <patternFill>
          <bgColor rgb="FFFFFF00"/>
        </patternFill>
      </fill>
    </odxf>
    <ndxf>
      <fill>
        <patternFill>
          <bgColor rgb="FFFF66CC"/>
        </patternFill>
      </fill>
    </ndxf>
  </rcc>
  <rcc rId="351" sId="1" odxf="1" dxf="1">
    <oc r="C8" t="inlineStr">
      <is>
        <t>Gavin David Hogg</t>
      </is>
    </oc>
    <nc r="C8" t="inlineStr">
      <is>
        <t>Guijun Hwang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52" sId="1" odxf="1" dxf="1">
    <oc r="G8" t="inlineStr">
      <is>
        <t>SAI</t>
      </is>
    </oc>
    <nc r="G8"/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353" sId="1" odxf="1" dxf="1">
    <oc r="H8" t="inlineStr">
      <is>
        <t>Check if went last Thursday</t>
      </is>
    </oc>
    <nc r="H8" t="inlineStr">
      <is>
        <t>ITA(NP)</t>
      </is>
    </nc>
    <odxf>
      <font>
        <sz val="14"/>
        <color rgb="FF4F3629"/>
      </font>
      <fill>
        <patternFill patternType="none">
          <bgColor indexed="65"/>
        </patternFill>
      </fill>
    </odxf>
    <ndxf>
      <font>
        <sz val="14"/>
        <color rgb="FF4F3629"/>
      </font>
      <fill>
        <patternFill patternType="solid">
          <bgColor rgb="FFFF66CC"/>
        </patternFill>
      </fill>
    </ndxf>
  </rcc>
  <rcc rId="354" sId="1">
    <oc r="I8" t="inlineStr">
      <is>
        <t>Shamrath/Tarush</t>
      </is>
    </oc>
    <nc r="I8" t="inlineStr">
      <is>
        <t>Rahil</t>
      </is>
    </nc>
  </rcc>
  <rcc rId="355" sId="1">
    <oc r="J8">
      <f>IF(OR(NOT(ISERROR(MATCH(RIGHT(B8,3)+0,#REF!,0))),NOT(ISERROR(MATCH(LEFT(B8,3)+0,#REF!,0)))),"No Post","")</f>
    </oc>
    <nc r="J8">
      <f>IF(OR(NOT(ISERROR(MATCH(RIGHT(B8,3)+0,#REF!,0))),NOT(ISERROR(MATCH(LEFT(B8,3)+0,#REF!,0)))),"No Post","")</f>
    </nc>
  </rcc>
  <rcc rId="356" sId="1" odxf="1" dxf="1">
    <oc r="B10">
      <v>878</v>
    </oc>
    <nc r="B10">
      <v>882</v>
    </nc>
    <odxf>
      <fill>
        <patternFill>
          <bgColor rgb="FFFF66CC"/>
        </patternFill>
      </fill>
    </odxf>
    <ndxf>
      <fill>
        <patternFill>
          <bgColor rgb="FFFFFF00"/>
        </patternFill>
      </fill>
    </ndxf>
  </rcc>
  <rcc rId="357" sId="1">
    <oc r="C10" t="inlineStr">
      <is>
        <t>Guijun Hwang</t>
      </is>
    </oc>
    <nc r="C10" t="inlineStr">
      <is>
        <t>Ilyess Aissaui</t>
      </is>
    </nc>
  </rcc>
  <rcc rId="358" sId="1" numFmtId="19">
    <oc r="D10">
      <v>46145</v>
    </oc>
    <nc r="D10">
      <v>46146</v>
    </nc>
  </rcc>
  <rcc rId="359" sId="1">
    <nc r="G10" t="inlineStr">
      <is>
        <t>RC $100</t>
      </is>
    </nc>
  </rcc>
  <rcc rId="360" sId="1" odxf="1" dxf="1">
    <oc r="H10" t="inlineStr">
      <is>
        <t>ITA(NP)</t>
      </is>
    </oc>
    <nc r="H10" t="inlineStr">
      <is>
        <t>SAI</t>
      </is>
    </nc>
    <odxf>
      <fill>
        <patternFill>
          <bgColor rgb="FFFF66CC"/>
        </patternFill>
      </fill>
    </odxf>
    <ndxf>
      <fill>
        <patternFill>
          <bgColor rgb="FFFFFF00"/>
        </patternFill>
      </fill>
    </ndxf>
  </rcc>
  <rcc rId="361" sId="1">
    <oc r="I10" t="inlineStr">
      <is>
        <t>Rahil</t>
      </is>
    </oc>
    <nc r="I10" t="inlineStr">
      <is>
        <t>Win/Faiha</t>
      </is>
    </nc>
  </rcc>
  <rcc rId="362" sId="1">
    <oc r="J10">
      <f>IF(OR(NOT(ISERROR(MATCH(RIGHT(B10,3)+0,#REF!,0))),NOT(ISERROR(MATCH(LEFT(B10,3)+0,#REF!,0)))),"No Post","")</f>
    </oc>
    <nc r="J10">
      <f>IF(OR(NOT(ISERROR(MATCH(RIGHT(B10,3)+0,#REF!,0))),NOT(ISERROR(MATCH(LEFT(B10,3)+0,#REF!,0)))),"No Post","")</f>
    </nc>
  </rcc>
  <rcc rId="363" sId="1" odxf="1" dxf="1">
    <oc r="B21">
      <v>882</v>
    </oc>
    <nc r="B21">
      <v>883</v>
    </nc>
    <odxf>
      <fill>
        <patternFill>
          <bgColor rgb="FFFFFF00"/>
        </patternFill>
      </fill>
    </odxf>
    <ndxf>
      <fill>
        <patternFill>
          <bgColor rgb="FF92D050"/>
        </patternFill>
      </fill>
    </ndxf>
  </rcc>
  <rcc rId="364" sId="1" odxf="1" dxf="1">
    <oc r="C21" t="inlineStr">
      <is>
        <t>Ilyess Aissaui</t>
      </is>
    </oc>
    <nc r="C21" t="inlineStr">
      <is>
        <t>MR YOSHIDA/TAIZO</t>
      </is>
    </nc>
    <odxf>
      <font>
        <sz val="14"/>
      </font>
      <fill>
        <patternFill patternType="solid">
          <bgColor theme="0"/>
        </patternFill>
      </fill>
    </odxf>
    <ndxf>
      <font>
        <sz val="14"/>
        <color rgb="FF321704"/>
      </font>
      <fill>
        <patternFill patternType="none">
          <bgColor indexed="65"/>
        </patternFill>
      </fill>
    </ndxf>
  </rcc>
  <rcc rId="365" sId="1">
    <oc r="G21" t="inlineStr">
      <is>
        <t>RC $100</t>
      </is>
    </oc>
    <nc r="G21"/>
  </rcc>
  <rcc rId="366" sId="1" odxf="1" dxf="1">
    <oc r="H21" t="inlineStr">
      <is>
        <t>SAI</t>
      </is>
    </oc>
    <nc r="H21" t="inlineStr">
      <is>
        <t>ALLOCATION</t>
      </is>
    </nc>
    <odxf>
      <numFmt numFmtId="0" formatCode="General"/>
      <fill>
        <patternFill>
          <bgColor rgb="FFFFFF00"/>
        </patternFill>
      </fill>
    </odxf>
    <ndxf>
      <numFmt numFmtId="3" formatCode="#,##0"/>
      <fill>
        <patternFill>
          <bgColor rgb="FF92D050"/>
        </patternFill>
      </fill>
    </ndxf>
  </rcc>
  <rcc rId="367" sId="1">
    <oc r="I21" t="inlineStr">
      <is>
        <t>Win/Faiha</t>
      </is>
    </oc>
    <nc r="I21" t="inlineStr">
      <is>
        <t>Monica/Tarush</t>
      </is>
    </nc>
  </rcc>
  <rcc rId="368" sId="1">
    <oc r="J21">
      <f>IF(OR(NOT(ISERROR(MATCH(RIGHT(B21,3)+0,#REF!,0))),NOT(ISERROR(MATCH(LEFT(B21,3)+0,#REF!,0)))),"No Post","")</f>
    </oc>
    <nc r="J21">
      <f>IF(OR(NOT(ISERROR(MATCH(RIGHT(B21,3)+0,#REF!,0))),NOT(ISERROR(MATCH(LEFT(B21,3)+0,#REF!,0)))),"No Post","")</f>
    </nc>
  </rcc>
  <rcc rId="369" sId="1" odxf="1" dxf="1">
    <oc r="B7">
      <v>883</v>
    </oc>
    <nc r="B7">
      <v>891</v>
    </nc>
    <odxf>
      <fill>
        <patternFill>
          <bgColor rgb="FF92D050"/>
        </patternFill>
      </fill>
    </odxf>
    <ndxf>
      <fill>
        <patternFill>
          <bgColor rgb="FFFFFF00"/>
        </patternFill>
      </fill>
    </ndxf>
  </rcc>
  <rcc rId="370" sId="1" odxf="1" dxf="1">
    <oc r="C7" t="inlineStr">
      <is>
        <t>MR YOSHIDA/TAIZO</t>
      </is>
    </oc>
    <nc r="C7" t="inlineStr">
      <is>
        <t>Yutaka Mataui</t>
      </is>
    </nc>
    <odxf>
      <font>
        <sz val="14"/>
        <color rgb="FF321704"/>
      </font>
      <fill>
        <patternFill patternType="none">
          <bgColor indexed="65"/>
        </patternFill>
      </fill>
    </odxf>
    <ndxf>
      <font>
        <sz val="14"/>
        <color rgb="FF321704"/>
      </font>
      <fill>
        <patternFill patternType="solid">
          <bgColor theme="0"/>
        </patternFill>
      </fill>
    </ndxf>
  </rcc>
  <rcc rId="371" sId="1" numFmtId="19">
    <oc r="D7">
      <v>46146</v>
    </oc>
    <nc r="D7">
      <v>46143</v>
    </nc>
  </rcc>
  <rcc rId="372" sId="1" odxf="1" dxf="1">
    <oc r="H7" t="inlineStr">
      <is>
        <t>ALLOCATION</t>
      </is>
    </oc>
    <nc r="H7" t="inlineStr">
      <is>
        <t>SAI</t>
      </is>
    </nc>
    <odxf>
      <numFmt numFmtId="3" formatCode="#,##0"/>
      <fill>
        <patternFill>
          <bgColor rgb="FF92D050"/>
        </patternFill>
      </fill>
    </odxf>
    <ndxf>
      <numFmt numFmtId="0" formatCode="General"/>
      <fill>
        <patternFill>
          <bgColor rgb="FFFFFF00"/>
        </patternFill>
      </fill>
    </ndxf>
  </rcc>
  <rcc rId="373" sId="1">
    <oc r="I7" t="inlineStr">
      <is>
        <t>Monica/Tarush</t>
      </is>
    </oc>
    <nc r="I7" t="inlineStr">
      <is>
        <t>Faiha</t>
      </is>
    </nc>
  </rcc>
  <rcc rId="374" sId="1">
    <oc r="J7">
      <f>IF(OR(NOT(ISERROR(MATCH(RIGHT(B23,3)+0,#REF!,0))),NOT(ISERROR(MATCH(LEFT(B23,3)+0,#REF!,0)))),"No Post","")</f>
    </oc>
    <nc r="J7" t="inlineStr">
      <is>
        <t>NO POST</t>
      </is>
    </nc>
  </rcc>
  <rcc rId="375" sId="1" odxf="1" dxf="1">
    <oc r="B30">
      <v>891</v>
    </oc>
    <nc r="B30">
      <v>892</v>
    </nc>
    <odxf>
      <font>
        <sz val="14"/>
      </font>
      <fill>
        <patternFill>
          <bgColor rgb="FFFFFF00"/>
        </patternFill>
      </fill>
    </odxf>
    <ndxf>
      <font>
        <sz val="14"/>
        <color auto="1"/>
      </font>
      <fill>
        <patternFill>
          <bgColor rgb="FFFFC000"/>
        </patternFill>
      </fill>
    </ndxf>
  </rcc>
  <rcc rId="376" sId="1" odxf="1" dxf="1">
    <oc r="C30" t="inlineStr">
      <is>
        <t>Yutaka Mataui</t>
      </is>
    </oc>
    <nc r="C30" t="inlineStr">
      <is>
        <t xml:space="preserve">Mellyn Carroll Family (2 Adult 1Kid) 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77" sId="1" numFmtId="19">
    <oc r="D30">
      <v>46143</v>
    </oc>
    <nc r="D30">
      <v>46145</v>
    </nc>
  </rcc>
  <rcc rId="378" sId="1">
    <nc r="F30">
      <v>1</v>
    </nc>
  </rcc>
  <rcc rId="379" sId="1" odxf="1" dxf="1">
    <oc r="H30" t="inlineStr">
      <is>
        <t>SAI</t>
      </is>
    </oc>
    <nc r="H30" t="inlineStr">
      <is>
        <t>SALES ENT</t>
      </is>
    </nc>
    <odxf>
      <fill>
        <patternFill>
          <bgColor rgb="FFFFFF00"/>
        </patternFill>
      </fill>
    </odxf>
    <ndxf>
      <fill>
        <patternFill>
          <bgColor rgb="FFFFC000"/>
        </patternFill>
      </fill>
    </ndxf>
  </rcc>
  <rcc rId="380" sId="1">
    <oc r="I30" t="inlineStr">
      <is>
        <t>Faiha</t>
      </is>
    </oc>
    <nc r="I30" t="inlineStr">
      <is>
        <t>Ahalya/Maaji</t>
      </is>
    </nc>
  </rcc>
  <rcc rId="381" sId="1">
    <oc r="J30" t="inlineStr">
      <is>
        <t>NO POST</t>
      </is>
    </oc>
    <nc r="J30">
      <f>IF(OR(NOT(ISERROR(MATCH(RIGHT(B30,3)+0,#REF!,0))),NOT(ISERROR(MATCH(LEFT(B30,3)+0,#REF!,0)))),"No Post","")</f>
    </nc>
  </rcc>
  <rcc rId="382" sId="1" odxf="1" dxf="1">
    <oc r="B26">
      <v>892</v>
    </oc>
    <nc r="B26" t="inlineStr">
      <is>
        <t>619/881</t>
      </is>
    </nc>
    <odxf>
      <font>
        <sz val="14"/>
        <color auto="1"/>
      </font>
      <fill>
        <patternFill>
          <bgColor rgb="FFFFC000"/>
        </patternFill>
      </fill>
    </odxf>
    <ndxf>
      <font>
        <sz val="14"/>
        <color auto="1"/>
      </font>
      <fill>
        <patternFill>
          <bgColor rgb="FF92D050"/>
        </patternFill>
      </fill>
    </ndxf>
  </rcc>
  <rcc rId="383" sId="1" odxf="1" dxf="1">
    <oc r="C26" t="inlineStr">
      <is>
        <t xml:space="preserve">Mellyn Carroll Family (2 Adult 1Kid) </t>
      </is>
    </oc>
    <nc r="C26" t="inlineStr">
      <is>
        <t>MS.ZHAO/YAN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84" sId="1" numFmtId="19">
    <oc r="D26">
      <v>46145</v>
    </oc>
    <nc r="D26">
      <v>46144</v>
    </nc>
  </rcc>
  <rcc rId="385" sId="1">
    <oc r="F26">
      <v>1</v>
    </oc>
    <nc r="F26"/>
  </rcc>
  <rcc rId="386" sId="1" odxf="1" dxf="1">
    <oc r="H26" t="inlineStr">
      <is>
        <t>SALES ENT</t>
      </is>
    </oc>
    <nc r="H26" t="inlineStr">
      <is>
        <t>ALLOCATION</t>
      </is>
    </nc>
    <odxf>
      <numFmt numFmtId="0" formatCode="General"/>
      <fill>
        <patternFill>
          <bgColor rgb="FFFFC000"/>
        </patternFill>
      </fill>
    </odxf>
    <ndxf>
      <numFmt numFmtId="3" formatCode="#,##0"/>
      <fill>
        <patternFill>
          <bgColor rgb="FF92D050"/>
        </patternFill>
      </fill>
    </ndxf>
  </rcc>
  <rcc rId="387" sId="1">
    <oc r="I26" t="inlineStr">
      <is>
        <t>Ahalya/Maaji</t>
      </is>
    </oc>
    <nc r="I26" t="inlineStr">
      <is>
        <t>Monica/Faiha</t>
      </is>
    </nc>
  </rcc>
  <rcc rId="388" sId="1">
    <oc r="J26">
      <f>IF(OR(NOT(ISERROR(MATCH(RIGHT(B26,3)+0,#REF!,0))),NOT(ISERROR(MATCH(LEFT(B26,3)+0,#REF!,0)))),"No Post","")</f>
    </oc>
    <nc r="J26">
      <f>IF(OR(NOT(ISERROR(MATCH(RIGHT(B26,3)+0,#REF!,0))),NOT(ISERROR(MATCH(LEFT(B26,3)+0,#REF!,0)))),"No Post","")</f>
    </nc>
  </rcc>
  <rcc rId="389" sId="1">
    <oc r="B27" t="inlineStr">
      <is>
        <t>619/881</t>
      </is>
    </oc>
    <nc r="B27" t="inlineStr">
      <is>
        <t>629/865</t>
      </is>
    </nc>
  </rcc>
  <rcc rId="390" sId="1" odxf="1" dxf="1">
    <oc r="C27" t="inlineStr">
      <is>
        <t>MS.ZHAO/YAN</t>
      </is>
    </oc>
    <nc r="C27" t="inlineStr">
      <is>
        <t>LeI Zu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91" sId="1" numFmtId="19">
    <oc r="D27">
      <v>46144</v>
    </oc>
    <nc r="D27">
      <v>46143</v>
    </nc>
  </rcc>
  <rfmt sheetId="1" sqref="H27" start="0" length="0">
    <dxf>
      <numFmt numFmtId="0" formatCode="General"/>
    </dxf>
  </rfmt>
  <rcc rId="392" sId="1">
    <oc r="I27" t="inlineStr">
      <is>
        <t>Monica/Faiha</t>
      </is>
    </oc>
    <nc r="I27" t="inlineStr">
      <is>
        <t>Faiha/Win</t>
      </is>
    </nc>
  </rcc>
  <rcc rId="393" sId="1" odxf="1" dxf="1">
    <oc r="J27">
      <f>IF(OR(NOT(ISERROR(MATCH(RIGHT(B26,3)+0,#REF!,0))),NOT(ISERROR(MATCH(LEFT(B26,3)+0,#REF!,0)))),"No Post","")</f>
    </oc>
    <nc r="J27"/>
    <odxf>
      <font>
        <b/>
        <sz val="12"/>
        <color auto="1"/>
      </font>
      <alignment horizontal="general" vertical="bottom" readingOrder="0"/>
    </odxf>
    <ndxf>
      <font>
        <b val="0"/>
        <sz val="14"/>
        <color auto="1"/>
      </font>
      <alignment horizontal="center" vertical="top" readingOrder="0"/>
    </ndxf>
  </rcc>
  <rcc rId="394" sId="1">
    <oc r="B24" t="inlineStr">
      <is>
        <t>629/865</t>
      </is>
    </oc>
    <nc r="B24" t="inlineStr">
      <is>
        <t>630/867</t>
      </is>
    </nc>
  </rcc>
  <rcc rId="395" sId="1" odxf="1" dxf="1">
    <oc r="C24" t="inlineStr">
      <is>
        <t>LeI Zu</t>
      </is>
    </oc>
    <nc r="C24" t="inlineStr">
      <is>
        <t>Lu Sun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96" sId="1" odxf="1" dxf="1">
    <oc r="B23" t="inlineStr">
      <is>
        <t>630/867</t>
      </is>
    </oc>
    <nc r="B23" t="inlineStr">
      <is>
        <t>666/875</t>
      </is>
    </nc>
    <odxf>
      <fill>
        <patternFill>
          <bgColor rgb="FF92D050"/>
        </patternFill>
      </fill>
    </odxf>
    <ndxf>
      <fill>
        <patternFill>
          <bgColor rgb="FFFF66CC"/>
        </patternFill>
      </fill>
    </ndxf>
  </rcc>
  <rcc rId="397" sId="1">
    <oc r="C23" t="inlineStr">
      <is>
        <t>Lu Sun</t>
      </is>
    </oc>
    <nc r="C23" t="inlineStr">
      <is>
        <t>Hyeongmin Sun</t>
      </is>
    </nc>
  </rcc>
  <rcc rId="398" sId="1" numFmtId="19">
    <oc r="D23">
      <v>46143</v>
    </oc>
    <nc r="D23">
      <v>46142</v>
    </nc>
  </rcc>
  <rcc rId="399" sId="1" odxf="1" dxf="1">
    <oc r="H23" t="inlineStr">
      <is>
        <t>ALLOCATION</t>
      </is>
    </oc>
    <nc r="H23" t="inlineStr">
      <is>
        <t>ITA(NP)</t>
      </is>
    </nc>
    <odxf>
      <fill>
        <patternFill>
          <bgColor rgb="FF92D050"/>
        </patternFill>
      </fill>
    </odxf>
    <ndxf>
      <fill>
        <patternFill>
          <bgColor rgb="FFFF66CC"/>
        </patternFill>
      </fill>
    </ndxf>
  </rcc>
  <rcc rId="400" sId="1">
    <oc r="I23" t="inlineStr">
      <is>
        <t>Faiha/Win</t>
      </is>
    </oc>
    <nc r="I23" t="inlineStr">
      <is>
        <t>Ulviya/Maaji</t>
      </is>
    </nc>
  </rcc>
  <rcc rId="401" sId="1" odxf="1" dxf="1">
    <nc r="J23" t="inlineStr">
      <is>
        <t>NO POST</t>
      </is>
    </nc>
    <odxf>
      <font>
        <b val="0"/>
        <sz val="14"/>
      </font>
      <alignment horizontal="center" vertical="top" readingOrder="0"/>
    </odxf>
    <ndxf>
      <font>
        <b/>
        <sz val="12"/>
        <color auto="1"/>
      </font>
      <alignment horizontal="general" vertical="bottom" readingOrder="0"/>
    </ndxf>
  </rcc>
  <rcc rId="402" sId="1">
    <oc r="B25" t="inlineStr">
      <is>
        <t>666/875</t>
      </is>
    </oc>
    <nc r="B25" t="inlineStr">
      <is>
        <t>668/841</t>
      </is>
    </nc>
  </rcc>
  <rcc rId="403" sId="1">
    <oc r="C25" t="inlineStr">
      <is>
        <t>Hyeongmin Sun</t>
      </is>
    </oc>
    <nc r="C25" t="inlineStr">
      <is>
        <t>Gyeongshin Han</t>
      </is>
    </nc>
  </rcc>
  <rcc rId="404" sId="1" numFmtId="19">
    <oc r="D25">
      <v>46142</v>
    </oc>
    <nc r="D25">
      <v>46143</v>
    </nc>
  </rcc>
  <rcc rId="405" sId="1">
    <oc r="I25" t="inlineStr">
      <is>
        <t>Ulviya/Maaji</t>
      </is>
    </oc>
    <nc r="I25"/>
  </rcc>
  <rcc rId="406" sId="1">
    <oc r="B14" t="inlineStr">
      <is>
        <t>668/841</t>
      </is>
    </oc>
    <nc r="B14" t="inlineStr">
      <is>
        <t>681/889</t>
      </is>
    </nc>
  </rcc>
  <rcc rId="407" sId="1">
    <oc r="C14" t="inlineStr">
      <is>
        <t>Gyeongshin Han</t>
      </is>
    </oc>
    <nc r="C14" t="inlineStr">
      <is>
        <t>Euijin Son</t>
      </is>
    </nc>
  </rcc>
  <rcc rId="408" sId="1" odxf="1" dxf="1">
    <oc r="B13" t="inlineStr">
      <is>
        <t>681/889</t>
      </is>
    </oc>
    <nc r="B13" t="inlineStr">
      <is>
        <t>850/621</t>
      </is>
    </nc>
    <odxf>
      <fill>
        <patternFill>
          <bgColor rgb="FFFF66CC"/>
        </patternFill>
      </fill>
    </odxf>
    <ndxf>
      <fill>
        <patternFill>
          <bgColor rgb="FF92D050"/>
        </patternFill>
      </fill>
    </ndxf>
  </rcc>
  <rcc rId="409" sId="1">
    <oc r="C13" t="inlineStr">
      <is>
        <t>Euijin Son</t>
      </is>
    </oc>
    <nc r="C13" t="inlineStr">
      <is>
        <t>Puyan Tang</t>
      </is>
    </nc>
  </rcc>
  <rcc rId="410" sId="1" odxf="1" dxf="1">
    <oc r="H13" t="inlineStr">
      <is>
        <t>ITA(NP)</t>
      </is>
    </oc>
    <nc r="H13" t="inlineStr">
      <is>
        <t>ALLOCATION</t>
      </is>
    </nc>
    <odxf>
      <fill>
        <patternFill>
          <bgColor rgb="FFFF66CC"/>
        </patternFill>
      </fill>
    </odxf>
    <ndxf>
      <fill>
        <patternFill>
          <bgColor rgb="FF92D050"/>
        </patternFill>
      </fill>
    </ndxf>
  </rcc>
  <rcc rId="411" sId="1">
    <nc r="I13" t="inlineStr">
      <is>
        <t>Shen/Rahil</t>
      </is>
    </nc>
  </rcc>
  <rcc rId="412" sId="1">
    <oc r="J13" t="inlineStr">
      <is>
        <t>NO POST</t>
      </is>
    </oc>
    <nc r="J13">
      <f>IF(OR(NOT(ISERROR(MATCH(RIGHT(B13,3)+0,#REF!,0))),NOT(ISERROR(MATCH(LEFT(B13,3)+0,#REF!,0)))),"No Post","")</f>
    </nc>
  </rcc>
  <rcc rId="413" sId="1" odxf="1" dxf="1">
    <oc r="B12" t="inlineStr">
      <is>
        <t>850/621</t>
      </is>
    </oc>
    <nc r="B12" t="inlineStr">
      <is>
        <t>868/886</t>
      </is>
    </nc>
    <odxf>
      <fill>
        <patternFill>
          <bgColor rgb="FF92D050"/>
        </patternFill>
      </fill>
    </odxf>
    <ndxf>
      <fill>
        <patternFill>
          <bgColor theme="1" tint="0.499984740745262"/>
        </patternFill>
      </fill>
    </ndxf>
  </rcc>
  <rcc rId="414" sId="1">
    <oc r="C12" t="inlineStr">
      <is>
        <t>Puyan Tang</t>
      </is>
    </oc>
    <nc r="C12" t="inlineStr">
      <is>
        <t>Mengmeng Wang</t>
      </is>
    </nc>
  </rcc>
  <rcc rId="415" sId="1" numFmtId="19">
    <oc r="D12">
      <v>46143</v>
    </oc>
    <nc r="D12">
      <v>46114</v>
    </nc>
  </rcc>
  <rcc rId="416" sId="1">
    <nc r="F12">
      <v>2</v>
    </nc>
  </rcc>
  <rcc rId="417" sId="1" odxf="1" dxf="1">
    <oc r="H12" t="inlineStr">
      <is>
        <t>ALLOCATION</t>
      </is>
    </oc>
    <nc r="H12" t="inlineStr">
      <is>
        <t>ALLOCATION 2 PERSON</t>
      </is>
    </nc>
    <odxf>
      <fill>
        <patternFill>
          <bgColor rgb="FF92D050"/>
        </patternFill>
      </fill>
    </odxf>
    <ndxf>
      <fill>
        <patternFill>
          <bgColor theme="1" tint="0.499984740745262"/>
        </patternFill>
      </fill>
    </ndxf>
  </rcc>
  <rcc rId="418" sId="1">
    <oc r="I12" t="inlineStr">
      <is>
        <t>Shen/Rahil</t>
      </is>
    </oc>
    <nc r="I12" t="inlineStr">
      <is>
        <t>Faiha/Win</t>
      </is>
    </nc>
  </rcc>
  <rcc rId="419" sId="1">
    <oc r="J12">
      <f>IF(OR(NOT(ISERROR(MATCH(RIGHT(B32,3)+0,#REF!,0))),NOT(ISERROR(MATCH(LEFT(B32,3)+0,#REF!,0)))),"No Post","")</f>
    </oc>
    <nc r="J12" t="inlineStr">
      <is>
        <t>NO POST</t>
      </is>
    </nc>
  </rcc>
  <rcc rId="420" sId="1" odxf="1" dxf="1">
    <oc r="B22" t="inlineStr">
      <is>
        <t>868/886</t>
      </is>
    </oc>
    <nc r="B22">
      <v>329</v>
    </nc>
    <odxf>
      <fill>
        <patternFill>
          <bgColor theme="1" tint="0.499984740745262"/>
        </patternFill>
      </fill>
    </odxf>
    <ndxf>
      <fill>
        <patternFill>
          <bgColor rgb="FFFFFF00"/>
        </patternFill>
      </fill>
    </ndxf>
  </rcc>
  <rcc rId="421" sId="1">
    <oc r="C22" t="inlineStr">
      <is>
        <t>Mengmeng Wang</t>
      </is>
    </oc>
    <nc r="C22" t="inlineStr">
      <is>
        <t>Kitso Lemo</t>
      </is>
    </nc>
  </rcc>
  <rcc rId="422" sId="1" numFmtId="19">
    <oc r="D22">
      <v>46114</v>
    </oc>
    <nc r="D22">
      <v>46147</v>
    </nc>
  </rcc>
  <rcc rId="423" sId="1">
    <oc r="E22">
      <v>2</v>
    </oc>
    <nc r="E22" t="inlineStr">
      <is>
        <t>2pp</t>
      </is>
    </nc>
  </rcc>
  <rcc rId="424" sId="1">
    <oc r="F22">
      <v>2</v>
    </oc>
    <nc r="F22"/>
  </rcc>
  <rcc rId="425" sId="1" odxf="1" dxf="1">
    <oc r="H22" t="inlineStr">
      <is>
        <t>ALLOCATION 2 PERSON</t>
      </is>
    </oc>
    <nc r="H22" t="inlineStr">
      <is>
        <t>HB</t>
      </is>
    </nc>
    <odxf>
      <fill>
        <patternFill>
          <bgColor theme="1" tint="0.499984740745262"/>
        </patternFill>
      </fill>
    </odxf>
    <ndxf>
      <fill>
        <patternFill>
          <bgColor rgb="FFFFFF00"/>
        </patternFill>
      </fill>
    </ndxf>
  </rcc>
  <rcc rId="426" sId="1">
    <oc r="I22" t="inlineStr">
      <is>
        <t>Faiha/Win</t>
      </is>
    </oc>
    <nc r="I22" t="inlineStr">
      <is>
        <t>Monica/Faiha</t>
      </is>
    </nc>
  </rcc>
  <rcc rId="427" sId="1">
    <oc r="J22" t="inlineStr">
      <is>
        <t>NO POST</t>
      </is>
    </oc>
    <nc r="J22">
      <f>IF(OR(NOT(ISERROR(MATCH(RIGHT(B22,3)+0,#REF!,0))),NOT(ISERROR(MATCH(LEFT(B22,3)+0,#REF!,0)))),"No Post","")</f>
    </nc>
  </rcc>
  <rfmt sheetId="1" sqref="A34:I34">
    <dxf>
      <fill>
        <patternFill>
          <bgColor rgb="FFFF0000"/>
        </patternFill>
      </fill>
    </dxf>
  </rfmt>
  <rfmt sheetId="1" sqref="A34:I34" start="0" length="2147483647">
    <dxf>
      <font>
        <color theme="0"/>
      </font>
    </dxf>
  </rfmt>
  <rfmt sheetId="1" sqref="A34:I34" start="0" length="2147483647">
    <dxf>
      <font>
        <b/>
      </font>
    </dxf>
  </rfmt>
  <rfmt sheetId="1" sqref="A34:I34" start="0" length="0">
    <dxf>
      <border>
        <top/>
      </border>
    </dxf>
  </rfmt>
  <rfmt sheetId="1" sqref="I34" start="0" length="0">
    <dxf>
      <border>
        <right/>
      </border>
    </dxf>
  </rfmt>
  <rfmt sheetId="1" sqref="A34:I34" start="0" length="0">
    <dxf>
      <border>
        <bottom/>
      </border>
    </dxf>
  </rfmt>
  <rfmt sheetId="1" sqref="A34" start="0" length="0">
    <dxf>
      <border>
        <left style="thin">
          <color indexed="64"/>
        </left>
      </border>
    </dxf>
  </rfmt>
  <rfmt sheetId="1" sqref="A34:I34" start="0" length="0">
    <dxf>
      <border>
        <top style="thin">
          <color indexed="64"/>
        </top>
      </border>
    </dxf>
  </rfmt>
  <rfmt sheetId="1" sqref="I34" start="0" length="0">
    <dxf>
      <border>
        <right style="thin">
          <color indexed="64"/>
        </right>
      </border>
    </dxf>
  </rfmt>
  <rfmt sheetId="1" sqref="A34:I34" start="0" length="0">
    <dxf>
      <border>
        <bottom style="thin">
          <color indexed="64"/>
        </bottom>
      </border>
    </dxf>
  </rfmt>
  <rcc rId="428" sId="1">
    <nc r="D34" t="inlineStr">
      <is>
        <t>BOOKING CLOSED</t>
      </is>
    </nc>
  </rcc>
  <rrc rId="429" sId="1" ref="A20:XFD20" action="insertRow"/>
  <rrc rId="430" sId="1" ref="A7:XFD7" action="insertRow"/>
  <rfmt sheetId="1" sqref="A21" start="0" length="0">
    <dxf>
      <border>
        <left/>
      </border>
    </dxf>
  </rfmt>
  <rfmt sheetId="1" sqref="A21:I21" start="0" length="0">
    <dxf>
      <border>
        <top/>
      </border>
    </dxf>
  </rfmt>
  <rfmt sheetId="1" sqref="I21" start="0" length="0">
    <dxf>
      <border>
        <right/>
      </border>
    </dxf>
  </rfmt>
  <rfmt sheetId="1" sqref="A21:I21" start="0" length="0">
    <dxf>
      <border>
        <bottom/>
      </border>
    </dxf>
  </rfmt>
  <rfmt sheetId="1" sqref="A7" start="0" length="0">
    <dxf>
      <border>
        <left/>
      </border>
    </dxf>
  </rfmt>
  <rfmt sheetId="1" sqref="A7:I7" start="0" length="0">
    <dxf>
      <border>
        <top/>
      </border>
    </dxf>
  </rfmt>
  <rfmt sheetId="1" sqref="I7" start="0" length="0">
    <dxf>
      <border>
        <right/>
      </border>
    </dxf>
  </rfmt>
  <rfmt sheetId="1" sqref="A7:I7" start="0" length="0">
    <dxf>
      <border>
        <bottom/>
      </border>
    </dxf>
  </rfmt>
  <rfmt sheetId="1" sqref="A21:I21 A7:I7">
    <dxf>
      <border>
        <left/>
        <right/>
        <vertical/>
      </border>
    </dxf>
  </rfmt>
  <rfmt sheetId="1" sqref="A21" start="0" length="0">
    <dxf>
      <border>
        <left style="thin">
          <color indexed="64"/>
        </left>
      </border>
    </dxf>
  </rfmt>
  <rfmt sheetId="1" sqref="A21:I21" start="0" length="0">
    <dxf>
      <border>
        <top style="thin">
          <color indexed="64"/>
        </top>
      </border>
    </dxf>
  </rfmt>
  <rfmt sheetId="1" sqref="I21" start="0" length="0">
    <dxf>
      <border>
        <right style="thin">
          <color indexed="64"/>
        </right>
      </border>
    </dxf>
  </rfmt>
  <rfmt sheetId="1" sqref="A21:I21" start="0" length="0">
    <dxf>
      <border>
        <bottom style="thin">
          <color indexed="64"/>
        </bottom>
      </border>
    </dxf>
  </rfmt>
  <rfmt sheetId="1" sqref="A7" start="0" length="0">
    <dxf>
      <border>
        <left style="thin">
          <color indexed="64"/>
        </left>
      </border>
    </dxf>
  </rfmt>
  <rfmt sheetId="1" sqref="A7:I7" start="0" length="0">
    <dxf>
      <border>
        <top style="thin">
          <color indexed="64"/>
        </top>
      </border>
    </dxf>
  </rfmt>
  <rfmt sheetId="1" sqref="I7" start="0" length="0">
    <dxf>
      <border>
        <right style="thin">
          <color indexed="64"/>
        </right>
      </border>
    </dxf>
  </rfmt>
  <rfmt sheetId="1" sqref="A7:I7" start="0" length="0">
    <dxf>
      <border>
        <bottom style="thin">
          <color indexed="64"/>
        </bottom>
      </border>
    </dxf>
  </rfmt>
  <rfmt sheetId="1" sqref="A21:I21 A7:I7">
    <dxf>
      <fill>
        <patternFill>
          <bgColor rgb="FFC00000"/>
        </patternFill>
      </fill>
    </dxf>
  </rfmt>
  <rfmt sheetId="1" sqref="A21:I21 A7:I7" start="0" length="2147483647">
    <dxf>
      <font>
        <color theme="0"/>
      </font>
    </dxf>
  </rfmt>
  <rfmt sheetId="1" sqref="A21:I21 A7:I7" start="0" length="2147483647">
    <dxf>
      <font>
        <b/>
      </font>
    </dxf>
  </rfmt>
  <rcc rId="431" sId="1">
    <nc r="C7" t="inlineStr">
      <is>
        <t>SHADHA</t>
      </is>
    </nc>
  </rcc>
  <rcc rId="432" sId="1">
    <nc r="D7" t="inlineStr">
      <is>
        <t>BOAT 1</t>
      </is>
    </nc>
  </rcc>
  <rcc rId="433" sId="1">
    <nc r="C21" t="inlineStr">
      <is>
        <t>BAAZ</t>
      </is>
    </nc>
  </rcc>
  <rcc rId="434" sId="1">
    <nc r="D21" t="inlineStr">
      <is>
        <t>BOAT 2</t>
      </is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5" sId="3">
    <nc r="B10">
      <v>818</v>
    </nc>
  </rcc>
  <rcc rId="436" sId="3">
    <nc r="E10">
      <v>2</v>
    </nc>
  </rcc>
  <rcc rId="437" sId="3">
    <nc r="I10" t="inlineStr">
      <is>
        <t>UV/Faiha</t>
      </is>
    </nc>
  </rcc>
  <rcc rId="438" sId="2">
    <nc r="C9" t="inlineStr">
      <is>
        <t>Jun Seo</t>
      </is>
    </nc>
  </rcc>
  <rcc rId="439" sId="2" numFmtId="19">
    <nc r="D9">
      <v>46151</v>
    </nc>
  </rcc>
  <rcc rId="440" sId="2">
    <nc r="I11" t="inlineStr">
      <is>
        <t>Win/Faiha</t>
      </is>
    </nc>
  </rcc>
  <rcc rId="441" sId="2">
    <nc r="B11">
      <v>683</v>
    </nc>
  </rcc>
  <rcc rId="442" sId="2" odxf="1" dxf="1">
    <nc r="C11" t="inlineStr">
      <is>
        <t>Junyang Ma</t>
      </is>
    </nc>
    <odxf>
      <alignment horizontal="center" readingOrder="0"/>
    </odxf>
    <ndxf>
      <alignment horizontal="left" readingOrder="0"/>
    </ndxf>
  </rcc>
  <rcc rId="443" sId="2" numFmtId="19">
    <nc r="D11">
      <v>46145</v>
    </nc>
  </rcc>
  <rcc rId="444" sId="2">
    <nc r="E11">
      <v>2</v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5" sId="2">
    <oc r="B10">
      <v>215</v>
    </oc>
    <nc r="B10">
      <v>216</v>
    </nc>
  </rcc>
  <rcc rId="446" sId="2" xfDxf="1" dxf="1">
    <nc r="C10" t="inlineStr">
      <is>
        <t>Wen Mao</t>
      </is>
    </nc>
    <ndxf>
      <font>
        <sz val="14"/>
      </font>
      <fill>
        <patternFill patternType="solid">
          <bgColor theme="0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7" sId="2">
    <nc r="B12">
      <v>841</v>
    </nc>
  </rcc>
  <rcc rId="448" sId="2">
    <nc r="E12">
      <v>2</v>
    </nc>
  </rcc>
  <rcc rId="449" sId="2">
    <nc r="I12" t="inlineStr">
      <is>
        <t>Ektha/Faiha</t>
      </is>
    </nc>
  </rcc>
  <rcv guid="{6222734F-EF03-4A42-A0AF-7421F8747AA6}" action="delete"/>
  <rdn rId="0" localSheetId="1" customView="1" name="Z_6222734F_EF03_4A42_A0AF_7421F8747AA6_.wvu.PrintArea" hidden="1" oldHidden="1">
    <formula>'1'!$A$1:$J$48</formula>
    <oldFormula>'1'!$A$1:$J$48</oldFormula>
  </rdn>
  <rdn rId="0" localSheetId="2" customView="1" name="Z_6222734F_EF03_4A42_A0AF_7421F8747AA6_.wvu.PrintArea" hidden="1" oldHidden="1">
    <formula>'2'!$A$1:$J$38</formula>
    <oldFormula>'2'!$A$1:$J$38</oldFormula>
  </rdn>
  <rdn rId="0" localSheetId="3" customView="1" name="Z_6222734F_EF03_4A42_A0AF_7421F8747AA6_.wvu.PrintArea" hidden="1" oldHidden="1">
    <formula>'3'!$A$1:$J$37</formula>
    <oldFormula>'3'!$A$1:$J$37</oldFormula>
  </rdn>
  <rdn rId="0" localSheetId="4" customView="1" name="Z_6222734F_EF03_4A42_A0AF_7421F8747AA6_.wvu.PrintArea" hidden="1" oldHidden="1">
    <formula>'4'!$A$1:$J$37</formula>
    <oldFormula>'4'!$A$1:$J$37</oldFormula>
  </rdn>
  <rdn rId="0" localSheetId="5" customView="1" name="Z_6222734F_EF03_4A42_A0AF_7421F8747AA6_.wvu.PrintArea" hidden="1" oldHidden="1">
    <formula>'5'!$A$1:$J$37</formula>
    <oldFormula>'5'!$A$1:$J$37</oldFormula>
  </rdn>
  <rdn rId="0" localSheetId="6" customView="1" name="Z_6222734F_EF03_4A42_A0AF_7421F8747AA6_.wvu.PrintArea" hidden="1" oldHidden="1">
    <formula>'6'!$A$1:$J$37</formula>
    <oldFormula>'6'!$A$1:$J$37</old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1" sId="2">
    <nc r="B13">
      <v>887</v>
    </nc>
  </rcc>
  <rcc rId="482" sId="2">
    <nc r="E13">
      <v>2</v>
    </nc>
  </rcc>
  <rcc rId="483" sId="2">
    <nc r="I13" t="inlineStr">
      <is>
        <t>Habil/Faiha</t>
      </is>
    </nc>
  </rcc>
  <rcv guid="{6222734F-EF03-4A42-A0AF-7421F8747AA6}" action="delete"/>
  <rdn rId="0" localSheetId="1" customView="1" name="Z_6222734F_EF03_4A42_A0AF_7421F8747AA6_.wvu.PrintArea" hidden="1" oldHidden="1">
    <formula>'1'!$A$1:$J$48</formula>
    <oldFormula>'1'!$A$1:$J$48</oldFormula>
  </rdn>
  <rdn rId="0" localSheetId="2" customView="1" name="Z_6222734F_EF03_4A42_A0AF_7421F8747AA6_.wvu.PrintArea" hidden="1" oldHidden="1">
    <formula>'2'!$A$1:$J$38</formula>
    <oldFormula>'2'!$A$1:$J$38</oldFormula>
  </rdn>
  <rdn rId="0" localSheetId="3" customView="1" name="Z_6222734F_EF03_4A42_A0AF_7421F8747AA6_.wvu.PrintArea" hidden="1" oldHidden="1">
    <formula>'3'!$A$1:$J$37</formula>
    <oldFormula>'3'!$A$1:$J$37</oldFormula>
  </rdn>
  <rdn rId="0" localSheetId="4" customView="1" name="Z_6222734F_EF03_4A42_A0AF_7421F8747AA6_.wvu.PrintArea" hidden="1" oldHidden="1">
    <formula>'4'!$A$1:$J$37</formula>
    <oldFormula>'4'!$A$1:$J$37</oldFormula>
  </rdn>
  <rdn rId="0" localSheetId="5" customView="1" name="Z_6222734F_EF03_4A42_A0AF_7421F8747AA6_.wvu.PrintArea" hidden="1" oldHidden="1">
    <formula>'5'!$A$1:$J$37</formula>
    <oldFormula>'5'!$A$1:$J$37</oldFormula>
  </rdn>
  <rdn rId="0" localSheetId="6" customView="1" name="Z_6222734F_EF03_4A42_A0AF_7421F8747AA6_.wvu.PrintArea" hidden="1" oldHidden="1">
    <formula>'6'!$A$1:$J$37</formula>
    <oldFormula>'6'!$A$1:$J$37</old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222734F-EF03-4A42-A0AF-7421F8747AA6}" action="delete"/>
  <rdn rId="0" localSheetId="1" customView="1" name="Z_6222734F_EF03_4A42_A0AF_7421F8747AA6_.wvu.PrintArea" hidden="1" oldHidden="1">
    <formula>'1'!$A$1:$J$48</formula>
    <oldFormula>'1'!$A$1:$J$48</oldFormula>
  </rdn>
  <rdn rId="0" localSheetId="2" customView="1" name="Z_6222734F_EF03_4A42_A0AF_7421F8747AA6_.wvu.PrintArea" hidden="1" oldHidden="1">
    <formula>'2'!$A$1:$J$38</formula>
    <oldFormula>'2'!$A$1:$J$38</oldFormula>
  </rdn>
  <rdn rId="0" localSheetId="3" customView="1" name="Z_6222734F_EF03_4A42_A0AF_7421F8747AA6_.wvu.PrintArea" hidden="1" oldHidden="1">
    <formula>'3'!$A$1:$J$37</formula>
    <oldFormula>'3'!$A$1:$J$37</oldFormula>
  </rdn>
  <rdn rId="0" localSheetId="4" customView="1" name="Z_6222734F_EF03_4A42_A0AF_7421F8747AA6_.wvu.PrintArea" hidden="1" oldHidden="1">
    <formula>'4'!$A$1:$J$37</formula>
    <oldFormula>'4'!$A$1:$J$37</oldFormula>
  </rdn>
  <rdn rId="0" localSheetId="5" customView="1" name="Z_6222734F_EF03_4A42_A0AF_7421F8747AA6_.wvu.PrintArea" hidden="1" oldHidden="1">
    <formula>'5'!$A$1:$J$37</formula>
    <oldFormula>'5'!$A$1:$J$37</oldFormula>
  </rdn>
  <rdn rId="0" localSheetId="6" customView="1" name="Z_6222734F_EF03_4A42_A0AF_7421F8747AA6_.wvu.PrintArea" hidden="1" oldHidden="1">
    <formula>'6'!$A$1:$J$37</formula>
    <oldFormula>'6'!$A$1:$J$37</old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46" sId="1" ref="B1:B1048576" action="insertCol"/>
  <rrc rId="547" sId="1" ref="C1:C1048576" action="insertCol"/>
  <rfmt sheetId="1" sqref="B34:C34">
    <dxf>
      <fill>
        <patternFill>
          <bgColor rgb="FF92D050"/>
        </patternFill>
      </fill>
    </dxf>
  </rfmt>
  <rfmt sheetId="1" sqref="B22:C22 B18:C18">
    <dxf>
      <fill>
        <patternFill>
          <bgColor rgb="FF92D050"/>
        </patternFill>
      </fill>
    </dxf>
  </rfmt>
  <rfmt sheetId="1" sqref="B33:C33">
    <dxf>
      <fill>
        <patternFill>
          <bgColor rgb="FF92D050"/>
        </patternFill>
      </fill>
    </dxf>
  </rfmt>
  <rfmt sheetId="1" sqref="B27:C27">
    <dxf>
      <fill>
        <patternFill patternType="solid">
          <bgColor rgb="FF92D050"/>
        </patternFill>
      </fill>
    </dxf>
  </rfmt>
  <rfmt sheetId="1" sqref="B11:C11">
    <dxf>
      <fill>
        <patternFill patternType="solid">
          <bgColor rgb="FF92D050"/>
        </patternFill>
      </fill>
    </dxf>
  </rfmt>
  <rfmt sheetId="1" sqref="B26:C26">
    <dxf>
      <fill>
        <patternFill>
          <bgColor rgb="FF92D050"/>
        </patternFill>
      </fill>
    </dxf>
  </rfmt>
  <rfmt sheetId="1" sqref="B29:C29">
    <dxf>
      <fill>
        <patternFill>
          <bgColor rgb="FF92D050"/>
        </patternFill>
      </fill>
    </dxf>
  </rfmt>
  <rfmt sheetId="1" sqref="B15:C15">
    <dxf>
      <fill>
        <patternFill patternType="solid">
          <bgColor rgb="FF92D050"/>
        </patternFill>
      </fill>
    </dxf>
  </rfmt>
  <rfmt sheetId="1" sqref="B28:C28">
    <dxf>
      <fill>
        <patternFill>
          <bgColor rgb="FF92D050"/>
        </patternFill>
      </fill>
    </dxf>
  </rfmt>
  <rfmt sheetId="1" sqref="B20:C20">
    <dxf>
      <fill>
        <patternFill patternType="solid">
          <bgColor rgb="FF92D050"/>
        </patternFill>
      </fill>
    </dxf>
  </rfmt>
  <rcc rId="548" sId="1">
    <oc r="G20">
      <v>2</v>
    </oc>
    <nc r="G20">
      <v>1</v>
    </nc>
  </rcc>
  <rfmt sheetId="1" sqref="B16:C16">
    <dxf>
      <fill>
        <patternFill patternType="solid">
          <bgColor rgb="FF92D050"/>
        </patternFill>
      </fill>
    </dxf>
  </rfmt>
  <rfmt sheetId="1" sqref="B25:C25">
    <dxf>
      <fill>
        <patternFill patternType="solid">
          <bgColor rgb="FF92D050"/>
        </patternFill>
      </fill>
    </dxf>
  </rfmt>
  <rfmt sheetId="1" sqref="B12:C12">
    <dxf>
      <fill>
        <patternFill patternType="solid">
          <bgColor rgb="FF92D050"/>
        </patternFill>
      </fill>
    </dxf>
  </rfmt>
  <rfmt sheetId="1" sqref="B23:C23">
    <dxf>
      <fill>
        <patternFill patternType="solid">
          <bgColor rgb="FF92D050"/>
        </patternFill>
      </fill>
    </dxf>
  </rfmt>
  <rcc rId="549" sId="1">
    <nc r="M11" t="inlineStr">
      <is>
        <t>OLD PRICE</t>
      </is>
    </nc>
  </rcc>
  <rfmt sheetId="1" sqref="B14:C14">
    <dxf>
      <fill>
        <patternFill patternType="solid">
          <bgColor rgb="FF92D050"/>
        </patternFill>
      </fill>
    </dxf>
  </rfmt>
  <rfmt sheetId="1" sqref="B10:C10">
    <dxf>
      <fill>
        <patternFill>
          <bgColor rgb="FF92D050"/>
        </patternFill>
      </fill>
    </dxf>
  </rfmt>
  <rfmt sheetId="1" sqref="B17:C17">
    <dxf>
      <fill>
        <patternFill>
          <bgColor rgb="FF92D050"/>
        </patternFill>
      </fill>
    </dxf>
  </rfmt>
  <rfmt sheetId="1" sqref="B30:C30">
    <dxf>
      <fill>
        <patternFill>
          <bgColor rgb="FF92D050"/>
        </patternFill>
      </fill>
    </dxf>
  </rfmt>
  <rfmt sheetId="1" sqref="B9:C9">
    <dxf>
      <fill>
        <patternFill patternType="solid">
          <bgColor rgb="FF92D050"/>
        </patternFill>
      </fill>
    </dxf>
  </rfmt>
  <rfmt sheetId="1" sqref="B13:C13">
    <dxf>
      <fill>
        <patternFill patternType="solid">
          <bgColor rgb="FF92D050"/>
        </patternFill>
      </fill>
    </dxf>
  </rfmt>
  <rfmt sheetId="1" sqref="B31:C31">
    <dxf>
      <fill>
        <patternFill>
          <bgColor rgb="FF92D050"/>
        </patternFill>
      </fill>
    </dxf>
  </rfmt>
  <rfmt sheetId="1" sqref="B35:C35">
    <dxf>
      <fill>
        <patternFill patternType="solid">
          <bgColor rgb="FF92D050"/>
        </patternFill>
      </fill>
    </dxf>
  </rfmt>
  <rcc rId="550" sId="1">
    <oc r="J13" t="inlineStr">
      <is>
        <t>ALLOCATION 2 PERSON</t>
      </is>
    </oc>
    <nc r="J13" t="inlineStr">
      <is>
        <t>ALLOCATION 3 PERSON</t>
      </is>
    </nc>
  </rcc>
  <rcc rId="551" sId="1">
    <oc r="G13">
      <v>2</v>
    </oc>
    <nc r="G13">
      <v>3</v>
    </nc>
  </rcc>
  <rcc rId="552" sId="1">
    <oc r="H13">
      <v>2</v>
    </oc>
    <nc r="H13">
      <v>1</v>
    </nc>
  </rcc>
  <rcc rId="553" sId="1">
    <nc r="M13" t="inlineStr">
      <is>
        <t>33++</t>
      </is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4" sId="1" ref="B1:B1048576" action="insertCol"/>
  <rrc rId="555" sId="1" ref="C1:C1048576" action="insertCol"/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6" sId="12">
    <nc r="B10" t="inlineStr">
      <is>
        <t>Prebooking</t>
      </is>
    </nc>
  </rcc>
  <rcc rId="557" sId="12" xfDxf="1" dxf="1">
    <nc r="C10" t="inlineStr">
      <is>
        <t>ZHANG/YUANWEN MS</t>
      </is>
    </nc>
    <ndxf>
      <font>
        <sz val="14"/>
      </font>
      <fill>
        <patternFill patternType="solid">
          <bgColor theme="0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8" sId="12" numFmtId="19">
    <nc r="D10">
      <v>46157</v>
    </nc>
  </rcc>
  <rcc rId="559" sId="12">
    <nc r="E10">
      <v>2</v>
    </nc>
  </rcc>
  <rcc rId="560" sId="12" xfDxf="1" dxf="1">
    <nc r="H10" t="inlineStr">
      <is>
        <t>3085432, 3085433</t>
      </is>
    </nc>
    <ndxf>
      <font>
        <sz val="14"/>
      </font>
      <fill>
        <patternFill patternType="solid">
          <bgColor theme="0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1" sId="12">
    <nc r="I10" t="inlineStr">
      <is>
        <t>Sharamth/Faiha</t>
      </is>
    </nc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2" sId="1" ref="B1:B1048576" action="deleteCol">
    <rfmt sheetId="1" xfDxf="1" sqref="B1:B1048576" start="0" length="0">
      <dxf>
        <font>
          <sz val="14"/>
        </font>
        <alignment horizontal="center" readingOrder="0"/>
      </dxf>
    </rfmt>
    <rfmt sheetId="1" sqref="B4" start="0" length="0">
      <dxf>
        <font>
          <sz val="13"/>
        </font>
      </dxf>
    </rfmt>
    <rfmt sheetId="1" sqref="B5" start="0" length="0">
      <dxf>
        <font>
          <b/>
          <sz val="18"/>
        </font>
        <alignment readingOrder="0"/>
        <border outline="0">
          <top style="medium">
            <color indexed="64"/>
          </top>
          <bottom style="medium">
            <color indexed="64"/>
          </bottom>
        </border>
      </dxf>
    </rfmt>
    <rfmt sheetId="1" sqref="B6" start="0" length="0">
      <dxf>
        <fill>
          <patternFill patternType="solid">
            <bgColor theme="0"/>
          </patternFill>
        </fill>
        <border outline="0">
          <right style="thin">
            <color indexed="64"/>
          </right>
        </border>
      </dxf>
    </rfmt>
    <rfmt sheetId="1" sqref="B7" start="0" length="0">
      <dxf>
        <font>
          <b/>
          <sz val="14"/>
          <color theme="0"/>
        </font>
        <fill>
          <patternFill patternType="solid">
            <bgColor rgb="FFC0000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1" sqref="B10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1" sqref="B33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30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34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3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7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31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</border>
      </dxf>
    </rfmt>
    <rfmt sheetId="1" sqref="B21" start="0" length="0">
      <dxf>
        <font>
          <b/>
          <sz val="14"/>
          <color theme="0"/>
        </font>
        <fill>
          <patternFill patternType="solid">
            <bgColor rgb="FFC0000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1" sqref="B9" start="0" length="0">
      <dxf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1" sqref="B1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3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7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</border>
      </dxf>
    </rfmt>
    <rfmt sheetId="1" sqref="B36" start="0" length="0">
      <dxf>
        <font>
          <b/>
          <sz val="14"/>
          <color theme="0"/>
        </font>
        <fill>
          <patternFill patternType="solid">
            <bgColor rgb="FFFF000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1" sqref="B45" start="0" length="0">
      <dxf>
        <font>
          <b/>
          <sz val="12"/>
        </font>
      </dxf>
    </rfmt>
    <rfmt sheetId="1" sqref="B46" start="0" length="0">
      <dxf>
        <font>
          <b/>
          <sz val="12"/>
        </font>
      </dxf>
    </rfmt>
    <rfmt sheetId="1" sqref="B47" start="0" length="0">
      <dxf>
        <font>
          <b/>
          <sz val="14"/>
        </font>
      </dxf>
    </rfmt>
    <rfmt sheetId="1" sqref="B48" start="0" length="0">
      <dxf>
        <font>
          <sz val="11"/>
          <color theme="1"/>
          <name val="Calibri"/>
          <scheme val="minor"/>
        </font>
      </dxf>
    </rfmt>
  </rrc>
  <rrc rId="563" sId="1" ref="B1:B1048576" action="deleteCol">
    <rfmt sheetId="1" xfDxf="1" sqref="B1:B1048576" start="0" length="0">
      <dxf>
        <font>
          <sz val="14"/>
        </font>
        <alignment horizontal="center" readingOrder="0"/>
      </dxf>
    </rfmt>
    <rfmt sheetId="1" sqref="B4" start="0" length="0">
      <dxf>
        <font>
          <sz val="13"/>
        </font>
      </dxf>
    </rfmt>
    <rfmt sheetId="1" sqref="B5" start="0" length="0">
      <dxf>
        <font>
          <b/>
          <sz val="18"/>
        </font>
        <alignment readingOrder="0"/>
        <border outline="0">
          <top style="medium">
            <color indexed="64"/>
          </top>
          <bottom style="medium">
            <color indexed="64"/>
          </bottom>
        </border>
      </dxf>
    </rfmt>
    <rfmt sheetId="1" sqref="B6" start="0" length="0">
      <dxf>
        <fill>
          <patternFill patternType="solid">
            <bgColor theme="0"/>
          </patternFill>
        </fill>
        <border outline="0">
          <right style="thin">
            <color indexed="64"/>
          </right>
        </border>
      </dxf>
    </rfmt>
    <rfmt sheetId="1" sqref="B7" start="0" length="0">
      <dxf>
        <font>
          <b/>
          <sz val="14"/>
          <color theme="0"/>
        </font>
        <fill>
          <patternFill patternType="solid">
            <bgColor rgb="FFC0000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1" sqref="B10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1" sqref="B33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30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34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3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7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31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</border>
      </dxf>
    </rfmt>
    <rfmt sheetId="1" sqref="B21" start="0" length="0">
      <dxf>
        <font>
          <b/>
          <sz val="14"/>
          <color theme="0"/>
        </font>
        <fill>
          <patternFill patternType="solid">
            <bgColor rgb="FFC0000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1" sqref="B9" start="0" length="0">
      <dxf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1" sqref="B1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3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7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2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</border>
      </dxf>
    </rfmt>
    <rfmt sheetId="1" sqref="B36" start="0" length="0">
      <dxf>
        <font>
          <b/>
          <sz val="14"/>
          <color theme="0"/>
        </font>
        <fill>
          <patternFill patternType="solid">
            <bgColor rgb="FFFF000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1" sqref="B45" start="0" length="0">
      <dxf>
        <font>
          <b/>
          <sz val="12"/>
        </font>
      </dxf>
    </rfmt>
    <rfmt sheetId="1" sqref="B46" start="0" length="0">
      <dxf>
        <font>
          <b/>
          <sz val="12"/>
        </font>
      </dxf>
    </rfmt>
    <rfmt sheetId="1" sqref="B47" start="0" length="0">
      <dxf>
        <font>
          <b/>
          <sz val="14"/>
        </font>
      </dxf>
    </rfmt>
    <rfmt sheetId="1" sqref="B48" start="0" length="0">
      <dxf>
        <font>
          <sz val="11"/>
          <color theme="1"/>
          <name val="Calibri"/>
          <scheme val="minor"/>
        </font>
      </dxf>
    </rfmt>
    <rfmt sheetId="1" sqref="B49" start="0" length="0">
      <dxf>
        <font>
          <sz val="10"/>
        </font>
      </dxf>
    </rfmt>
  </rr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4" sId="2">
    <nc r="C12" t="inlineStr">
      <is>
        <t>Gyeongshin Han</t>
      </is>
    </nc>
  </rcc>
  <rcc rId="565" sId="2" numFmtId="19">
    <nc r="D12">
      <v>46115</v>
    </nc>
  </rcc>
  <rcc rId="566" sId="2">
    <nc r="C13" t="inlineStr">
      <is>
        <t>Kotaro Nakanishi</t>
      </is>
    </nc>
  </rcc>
  <rcc rId="567" sId="2" numFmtId="19">
    <nc r="D13">
      <v>46146</v>
    </nc>
  </rcc>
  <rcc rId="568" sId="2" numFmtId="19">
    <nc r="D10">
      <v>46146</v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7:I13">
    <dxf>
      <alignment vertical="center" readingOrder="0"/>
    </dxf>
  </rfmt>
  <rfmt sheetId="2" sqref="B7:I13">
    <dxf>
      <alignment horizontal="general" readingOrder="0"/>
    </dxf>
  </rfmt>
  <rfmt sheetId="2" sqref="B7:I13">
    <dxf>
      <alignment horizontal="center" readingOrder="0"/>
    </dxf>
  </rfmt>
  <rfmt sheetId="2" sqref="B7:I13" start="0" length="2147483647">
    <dxf>
      <font/>
    </dxf>
  </rfmt>
  <rfmt sheetId="2" sqref="B7:I13" start="0" length="2147483647">
    <dxf>
      <font/>
    </dxf>
  </rfmt>
  <rfmt sheetId="2" sqref="B7:I13" start="0" length="2147483647">
    <dxf>
      <font>
        <b/>
      </font>
    </dxf>
  </rfmt>
  <rfmt sheetId="2" sqref="B7:I13" start="0" length="2147483647">
    <dxf>
      <font>
        <b val="0"/>
      </font>
    </dxf>
  </rfmt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9" sId="2">
    <nc r="B14">
      <v>316</v>
    </nc>
  </rcc>
  <rcc rId="570" sId="2">
    <nc r="E14">
      <v>2</v>
    </nc>
  </rcc>
  <rcc rId="571" sId="2" odxf="1" dxf="1">
    <nc r="I14" t="inlineStr">
      <is>
        <t>UV/Faiha</t>
      </is>
    </nc>
    <odxf>
      <alignment vertical="top" readingOrder="0"/>
    </odxf>
    <ndxf>
      <alignment vertical="center" readingOrder="0"/>
    </ndxf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2" sId="2">
    <nc r="B15">
      <v>623</v>
    </nc>
  </rcc>
  <rcc rId="573" sId="2">
    <nc r="E15">
      <v>2</v>
    </nc>
  </rcc>
  <rcc rId="574" sId="2" odxf="1" dxf="1">
    <nc r="I15" t="inlineStr">
      <is>
        <t>Habil/Faiha</t>
      </is>
    </nc>
    <odxf>
      <alignment vertical="top" readingOrder="0"/>
    </odxf>
    <ndxf>
      <alignment vertical="center" readingOrder="0"/>
    </ndxf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5" sId="2">
    <nc r="C14" t="inlineStr">
      <is>
        <t>Kyosuke Iwai</t>
      </is>
    </nc>
  </rcc>
  <rcc rId="576" sId="2" numFmtId="19">
    <nc r="D14">
      <v>46146</v>
    </nc>
  </rcc>
  <rcc rId="577" sId="2">
    <nc r="C15" t="inlineStr">
      <is>
        <t>Tianan Liu</t>
      </is>
    </nc>
  </rcc>
  <rcc rId="578" sId="2" numFmtId="19">
    <nc r="D15">
      <v>46145</v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9" sId="3" odxf="1" dxf="1">
    <nc r="C10" t="inlineStr">
      <is>
        <t>Seungjo Ko</t>
      </is>
    </nc>
    <odxf>
      <alignment horizontal="center" readingOrder="0"/>
    </odxf>
    <ndxf>
      <alignment horizontal="left" readingOrder="0"/>
    </ndxf>
  </rcc>
  <rcc rId="580" sId="3" numFmtId="19">
    <nc r="D10">
      <v>46145</v>
    </nc>
  </rcc>
  <rcc rId="581" sId="3">
    <nc r="C9" t="inlineStr">
      <is>
        <t>Moohyeon Yoo</t>
      </is>
    </nc>
  </rcc>
  <rcc rId="582" sId="3" numFmtId="19">
    <nc r="D9">
      <v>46145</v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3" sId="5">
    <nc r="B13">
      <v>214</v>
    </nc>
  </rcc>
  <rcc rId="584" sId="5">
    <nc r="E13">
      <v>2</v>
    </nc>
  </rcc>
  <rcc rId="585" sId="5">
    <nc r="I13" t="inlineStr">
      <is>
        <t>Mausoom/Faiha</t>
      </is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6" sId="5">
    <nc r="B14">
      <v>819</v>
    </nc>
  </rcc>
  <rcc rId="587" sId="5">
    <nc r="E14">
      <v>2</v>
    </nc>
  </rcc>
  <rcc rId="588" sId="5">
    <nc r="I14" t="inlineStr">
      <is>
        <t>Faiha</t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9" sId="3">
    <nc r="B11">
      <v>625</v>
    </nc>
  </rcc>
  <rcc rId="590" sId="3">
    <nc r="E11">
      <v>2</v>
    </nc>
  </rcc>
  <rcc rId="591" sId="3">
    <nc r="I11" t="inlineStr">
      <is>
        <t>Faiha</t>
      </is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2" sId="2">
    <nc r="H14" t="inlineStr">
      <is>
        <t>ALLOCATION</t>
      </is>
    </nc>
  </rcc>
  <rcc rId="593" sId="2">
    <oc r="J9">
      <f>IF(OR(NOT(ISERROR(MATCH(RIGHT(B9,3)+0,#REF!,0))),NOT(ISERROR(MATCH(LEFT(B9,3)+0,#REF!,0)))),"No Post","")</f>
    </oc>
    <nc r="J9" t="inlineStr">
      <is>
        <t>NO POST</t>
      </is>
    </nc>
  </rcc>
  <rcc rId="594" sId="2" odxf="1" dxf="1">
    <nc r="H9" t="inlineStr">
      <is>
        <t>SAI</t>
      </is>
    </nc>
    <ndxf>
      <font>
        <sz val="14"/>
        <color rgb="FF4F3629"/>
      </font>
      <fill>
        <patternFill>
          <bgColor rgb="FFFFFF00"/>
        </patternFill>
      </fill>
    </ndxf>
  </rcc>
  <rcc rId="595" sId="2">
    <nc r="H15" t="inlineStr">
      <is>
        <t>ALLOCATION</t>
      </is>
    </nc>
  </rcc>
  <rcc rId="596" sId="2">
    <nc r="H11" t="inlineStr">
      <is>
        <t>ALLOCATION</t>
      </is>
    </nc>
  </rcc>
  <rcc rId="597" sId="2">
    <nc r="H12" t="inlineStr">
      <is>
        <t>ITA(NP)</t>
      </is>
    </nc>
  </rcc>
  <rcc rId="598" sId="2">
    <oc r="J12">
      <f>IF(OR(NOT(ISERROR(MATCH(RIGHT(B12,3)+0,#REF!,0))),NOT(ISERROR(MATCH(LEFT(B12,3)+0,#REF!,0)))),"No Post","")</f>
    </oc>
    <nc r="J12" t="inlineStr">
      <is>
        <t>NO POST</t>
      </is>
    </nc>
  </rcc>
  <rcc rId="599" sId="2">
    <nc r="H7" t="inlineStr">
      <is>
        <t>ALLOCATION</t>
      </is>
    </nc>
  </rcc>
  <rcc rId="600" sId="2">
    <nc r="H13" t="inlineStr">
      <is>
        <t>ALLOCATION</t>
      </is>
    </nc>
  </rcc>
  <rrc rId="601" sId="2" ref="B1:B1048576" action="insertCol"/>
  <rrc rId="602" sId="2" ref="B1:B1048576" action="insertCol"/>
  <rfmt sheetId="2" sqref="D15 D13 J15 J13 J14 J15 J11 D14 D15 D11">
    <dxf>
      <fill>
        <patternFill>
          <bgColor rgb="FF92D050"/>
        </patternFill>
      </fill>
    </dxf>
  </rfmt>
  <rfmt sheetId="2" sqref="D12 J12">
    <dxf>
      <fill>
        <patternFill>
          <bgColor rgb="FFFF66CC"/>
        </patternFill>
      </fill>
    </dxf>
  </rfmt>
  <rfmt sheetId="2" sqref="D9">
    <dxf>
      <fill>
        <patternFill>
          <bgColor rgb="FFFFFF00"/>
        </patternFill>
      </fill>
    </dxf>
  </rfmt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'2'!$A$1:$L$38</formula>
    <oldFormula>'2'!$A$1:$L$38</oldFormula>
  </rdn>
  <rdn rId="0" localSheetId="3" customView="1" name="Z_6222734F_EF03_4A42_A0AF_7421F8747AA6_.wvu.PrintArea" hidden="1" oldHidden="1">
    <formula>'3'!$A$1:$J$37</formula>
    <oldFormula>'3'!$A$1:$J$37</oldFormula>
  </rdn>
  <rdn rId="0" localSheetId="4" customView="1" name="Z_6222734F_EF03_4A42_A0AF_7421F8747AA6_.wvu.PrintArea" hidden="1" oldHidden="1">
    <formula>'4'!$A$1:$J$37</formula>
    <oldFormula>'4'!$A$1:$J$37</oldFormula>
  </rdn>
  <rdn rId="0" localSheetId="5" customView="1" name="Z_6222734F_EF03_4A42_A0AF_7421F8747AA6_.wvu.PrintArea" hidden="1" oldHidden="1">
    <formula>'5'!$A$1:$J$37</formula>
    <oldFormula>'5'!$A$1:$J$37</oldFormula>
  </rdn>
  <rdn rId="0" localSheetId="6" customView="1" name="Z_6222734F_EF03_4A42_A0AF_7421F8747AA6_.wvu.PrintArea" hidden="1" oldHidden="1">
    <formula>'6'!$A$1:$J$37</formula>
    <oldFormula>'6'!$A$1:$J$37</old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34" sId="2" ref="A18:XFD18" action="deleteRow">
    <rfmt sheetId="2" xfDxf="1" sqref="A18:XFD18" start="0" length="0">
      <dxf>
        <font>
          <sz val="14"/>
        </font>
        <alignment horizontal="center" readingOrder="0"/>
      </dxf>
    </rfmt>
    <rcc rId="0" sId="2" dxf="1">
      <nc r="A18">
        <v>12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B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8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L18">
        <f>IF(OR(NOT(ISERROR(MATCH(RIGHT(D18,3)+0,#REF!,0))),NOT(ISERROR(MATCH(LEFT(D18,3)+0,#REF!,0)))),"No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635" sId="2" ref="A18:XFD18" action="deleteRow">
    <rfmt sheetId="2" xfDxf="1" sqref="A18:XFD18" start="0" length="0">
      <dxf>
        <font>
          <sz val="14"/>
        </font>
        <alignment horizontal="center" readingOrder="0"/>
      </dxf>
    </rfmt>
    <rcc rId="0" sId="2" dxf="1">
      <nc r="A18">
        <v>13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B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8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L18">
        <f>IF(OR(NOT(ISERROR(MATCH(RIGHT(D18,3)+0,#REF!,0))),NOT(ISERROR(MATCH(LEFT(D18,3)+0,#REF!,0)))),"No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636" sId="2" ref="A18:XFD18" action="deleteRow">
    <rfmt sheetId="2" xfDxf="1" sqref="A18:XFD18" start="0" length="0">
      <dxf>
        <font>
          <sz val="14"/>
        </font>
        <alignment horizontal="center" readingOrder="0"/>
      </dxf>
    </rfmt>
    <rcc rId="0" sId="2" dxf="1">
      <nc r="A18">
        <v>14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B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8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L18">
        <f>IF(OR(NOT(ISERROR(MATCH(RIGHT(D18,3)+0,#REF!,0))),NOT(ISERROR(MATCH(LEFT(D18,3)+0,#REF!,0)))),"No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637" sId="2" ref="A18:XFD18" action="deleteRow">
    <rfmt sheetId="2" xfDxf="1" sqref="A18:XFD18" start="0" length="0">
      <dxf>
        <font>
          <sz val="14"/>
        </font>
        <alignment horizontal="center" readingOrder="0"/>
      </dxf>
    </rfmt>
    <rcc rId="0" sId="2" dxf="1">
      <nc r="A18">
        <v>15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B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8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L18">
        <f>IF(OR(NOT(ISERROR(MATCH(RIGHT(D18,3)+0,#REF!,0))),NOT(ISERROR(MATCH(LEFT(D18,3)+0,#REF!,0)))),"No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638" sId="2" ref="A18:XFD18" action="deleteRow">
    <rfmt sheetId="2" xfDxf="1" sqref="A18:XFD18" start="0" length="0">
      <dxf>
        <font>
          <sz val="14"/>
        </font>
        <alignment horizontal="center" readingOrder="0"/>
      </dxf>
    </rfmt>
    <rcc rId="0" sId="2" dxf="1">
      <nc r="A18">
        <v>16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B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8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L18">
        <f>IF(OR(NOT(ISERROR(MATCH(RIGHT(D18,3)+0,#REF!,0))),NOT(ISERROR(MATCH(LEFT(D18,3)+0,#REF!,0)))),"No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639" sId="2" ref="A18:XFD18" action="deleteRow">
    <rfmt sheetId="2" xfDxf="1" sqref="A18:XFD18" start="0" length="0">
      <dxf>
        <font>
          <sz val="14"/>
        </font>
        <alignment horizontal="center" readingOrder="0"/>
      </dxf>
    </rfmt>
    <rcc rId="0" sId="2" dxf="1">
      <nc r="A18">
        <v>17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B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8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L18">
        <f>IF(OR(NOT(ISERROR(MATCH(RIGHT(D18,3)+0,#REF!,0))),NOT(ISERROR(MATCH(LEFT(D18,3)+0,#REF!,0)))),"No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640" sId="2" ref="A18:XFD18" action="deleteRow">
    <rfmt sheetId="2" xfDxf="1" sqref="A18:XFD18" start="0" length="0">
      <dxf>
        <font>
          <sz val="14"/>
        </font>
        <alignment horizontal="center" readingOrder="0"/>
      </dxf>
    </rfmt>
    <rcc rId="0" sId="2" dxf="1">
      <nc r="A18">
        <v>18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B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8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L18">
        <f>IF(OR(NOT(ISERROR(MATCH(RIGHT(D18,3)+0,#REF!,0))),NOT(ISERROR(MATCH(LEFT(D18,3)+0,#REF!,0)))),"No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641" sId="2" ref="A18:XFD18" action="deleteRow">
    <rfmt sheetId="2" xfDxf="1" sqref="A18:XFD18" start="0" length="0">
      <dxf>
        <font>
          <sz val="14"/>
        </font>
        <alignment horizontal="center" readingOrder="0"/>
      </dxf>
    </rfmt>
    <rcc rId="0" sId="2" dxf="1">
      <nc r="A18">
        <v>19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B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8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18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8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L18">
        <f>IF(OR(NOT(ISERROR(MATCH(RIGHT(D18,3)+0,#REF!,0))),NOT(ISERROR(MATCH(LEFT(D18,3)+0,#REF!,0)))),"No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642" sId="2" ref="A18:XFD18" action="deleteRow">
    <undo index="0" exp="area" dr="H17:H18" r="H19" sId="2"/>
    <undo index="0" exp="area" dr="G17:G18" r="G19" sId="2"/>
    <rfmt sheetId="2" xfDxf="1" sqref="A18:XFD18" start="0" length="0">
      <dxf>
        <font>
          <b/>
          <sz val="15"/>
        </font>
        <alignment horizontal="center" readingOrder="0"/>
      </dxf>
    </rfmt>
    <rcc rId="0" sId="2" dxf="1">
      <nc r="A18">
        <v>20</v>
      </nc>
      <ndxf>
        <font>
          <b val="0"/>
          <sz val="14"/>
        </font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B18" start="0" length="0">
      <dxf>
        <font>
          <b val="0"/>
          <sz val="14"/>
        </font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8" start="0" length="0">
      <dxf>
        <font>
          <b val="0"/>
          <sz val="14"/>
        </font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8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18" start="0" length="0">
      <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8" start="0" length="0">
      <dxf>
        <font>
          <b val="0"/>
          <sz val="14"/>
        </font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8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8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18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8" start="0" length="0">
      <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8" start="0" length="0">
      <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L18">
        <f>IF(OR(NOT(ISERROR(MATCH(RIGHT(D18,3)+0,#REF!,0))),NOT(ISERROR(MATCH(LEFT(D18,3)+0,#REF!,0)))),"No Post","")</f>
      </nc>
      <ndxf>
        <font>
          <sz val="12"/>
          <color auto="1"/>
        </font>
        <alignment horizontal="general" vertical="bottom" readingOrder="0"/>
      </ndxf>
    </rcc>
  </rrc>
  <rcc rId="643" sId="3">
    <oc r="E8">
      <v>2</v>
    </oc>
    <nc r="E8" t="inlineStr">
      <is>
        <t>PP2</t>
      </is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4" sId="4" odxf="1" dxf="1">
    <nc r="B9" t="inlineStr">
      <is>
        <t>Prebooking</t>
      </is>
    </nc>
    <odxf>
      <border outline="0">
        <top style="thin">
          <color indexed="64"/>
        </top>
      </border>
    </odxf>
    <ndxf>
      <border outline="0">
        <top/>
      </border>
    </ndxf>
  </rcc>
  <rcc rId="645" sId="4">
    <nc r="C9" t="inlineStr">
      <is>
        <t>Ms Shrey Agarwal</t>
      </is>
    </nc>
  </rcc>
  <rcc rId="646" sId="4" numFmtId="19">
    <nc r="D9">
      <v>46147</v>
    </nc>
  </rcc>
  <rcc rId="647" sId="4">
    <nc r="E9" t="inlineStr">
      <is>
        <t>PP2</t>
      </is>
    </nc>
  </rcc>
  <rcc rId="648" sId="4">
    <nc r="H9">
      <v>3329178</v>
    </nc>
  </rcc>
  <rcc rId="649" sId="4">
    <nc r="I9" t="inlineStr">
      <is>
        <t>Carl/Faiha</t>
      </is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" sId="4">
    <oc r="B9" t="inlineStr">
      <is>
        <t>Prebooking</t>
      </is>
    </oc>
    <nc r="B9"/>
  </rcc>
  <rcc rId="651" sId="4">
    <oc r="C9" t="inlineStr">
      <is>
        <t>Ms Shrey Agarwal</t>
      </is>
    </oc>
    <nc r="C9"/>
  </rcc>
  <rcc rId="652" sId="4" numFmtId="19">
    <oc r="D9">
      <v>46147</v>
    </oc>
    <nc r="D9"/>
  </rcc>
  <rcc rId="653" sId="4">
    <oc r="E9" t="inlineStr">
      <is>
        <t>PP2</t>
      </is>
    </oc>
    <nc r="E9"/>
  </rcc>
  <rcc rId="654" sId="4">
    <oc r="H9">
      <v>3329178</v>
    </oc>
    <nc r="H9"/>
  </rcc>
  <rcc rId="655" sId="4">
    <oc r="I9" t="inlineStr">
      <is>
        <t>Carl/Faiha</t>
      </is>
    </oc>
    <nc r="I9"/>
  </rcc>
  <rcc rId="656" sId="3">
    <oc r="E8" t="inlineStr">
      <is>
        <t>PP2</t>
      </is>
    </oc>
    <nc r="E8">
      <v>2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7" sId="4">
    <nc r="B9" t="inlineStr">
      <is>
        <t>Prebooking</t>
      </is>
    </nc>
  </rcc>
  <rcc rId="658" sId="4">
    <nc r="C9" t="inlineStr">
      <is>
        <t>Ms Shrey Agarwal</t>
      </is>
    </nc>
  </rcc>
  <rcc rId="659" sId="4" numFmtId="19">
    <nc r="D9">
      <v>46147</v>
    </nc>
  </rcc>
  <rcc rId="660" sId="4">
    <nc r="E9">
      <v>2</v>
    </nc>
  </rcc>
  <rcc rId="661" sId="4">
    <nc r="H9">
      <v>3329178</v>
    </nc>
  </rcc>
  <rcc rId="662" sId="4">
    <nc r="I9" t="inlineStr">
      <is>
        <t>Carl/Faiha</t>
      </is>
    </nc>
  </rcc>
  <rcc rId="663" sId="3">
    <oc r="E8">
      <v>2</v>
    </oc>
    <nc r="E8" t="inlineStr">
      <is>
        <t>PP 2</t>
      </is>
    </nc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14:C14">
    <dxf>
      <fill>
        <patternFill>
          <bgColor rgb="FFFF0000"/>
        </patternFill>
      </fill>
    </dxf>
  </rfmt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15:C15">
    <dxf>
      <fill>
        <patternFill>
          <bgColor rgb="FFFF0000"/>
        </patternFill>
      </fill>
    </dxf>
  </rfmt>
  <rfmt sheetId="2" sqref="B7:C7">
    <dxf>
      <fill>
        <patternFill>
          <bgColor rgb="FFFF0000"/>
        </patternFill>
      </fill>
    </dxf>
  </rfmt>
  <rfmt sheetId="2" sqref="B11:C11">
    <dxf>
      <fill>
        <patternFill>
          <bgColor rgb="FFFF0000"/>
        </patternFill>
      </fill>
    </dxf>
  </rfmt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13:C13">
    <dxf>
      <fill>
        <patternFill>
          <bgColor rgb="FFFF0000"/>
        </patternFill>
      </fill>
    </dxf>
  </rfmt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8:C8">
    <dxf>
      <fill>
        <patternFill>
          <bgColor rgb="FFFF0000"/>
        </patternFill>
      </fill>
    </dxf>
  </rfmt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" sId="6">
    <nc r="B9">
      <v>819</v>
    </nc>
  </rcc>
  <rcc rId="665" sId="6">
    <nc r="E9">
      <v>2</v>
    </nc>
  </rcc>
  <rcc rId="666" sId="6">
    <nc r="I9" t="inlineStr">
      <is>
        <t>Faiha</t>
      </is>
    </nc>
  </rcc>
  <rcc rId="667" sId="5">
    <oc r="E14">
      <v>2</v>
    </oc>
    <nc r="E14" t="inlineStr">
      <is>
        <t>PP2</t>
      </is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8" sId="5">
    <nc r="C14" t="inlineStr">
      <is>
        <t>Emilio Pena Bonilla</t>
      </is>
    </nc>
  </rcc>
  <rcc rId="669" sId="5" numFmtId="19">
    <nc r="D14">
      <v>46149</v>
    </nc>
  </rcc>
  <rcc rId="670" sId="5">
    <nc r="C13" t="inlineStr">
      <is>
        <t>Wenqi Sun</t>
      </is>
    </nc>
  </rcc>
  <rcc rId="671" sId="5" numFmtId="19">
    <nc r="D13">
      <v>46145</v>
    </nc>
  </rcc>
  <rcc rId="672" sId="6">
    <nc r="C9" t="inlineStr">
      <is>
        <t>Emilio Pena Bonilla</t>
      </is>
    </nc>
  </rcc>
  <rcc rId="673" sId="6" numFmtId="19">
    <nc r="D9">
      <v>46149</v>
    </nc>
  </rcc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'3'!$A$1:$J$37</formula>
    <oldFormula>'3'!$A$1:$J$37</oldFormula>
  </rdn>
  <rdn rId="0" localSheetId="4" customView="1" name="Z_6222734F_EF03_4A42_A0AF_7421F8747AA6_.wvu.PrintArea" hidden="1" oldHidden="1">
    <formula>'4'!$A$1:$J$37</formula>
    <oldFormula>'4'!$A$1:$J$37</oldFormula>
  </rdn>
  <rdn rId="0" localSheetId="5" customView="1" name="Z_6222734F_EF03_4A42_A0AF_7421F8747AA6_.wvu.PrintArea" hidden="1" oldHidden="1">
    <formula>'5'!$A$1:$J$37</formula>
    <oldFormula>'5'!$A$1:$J$37</oldFormula>
  </rdn>
  <rdn rId="0" localSheetId="6" customView="1" name="Z_6222734F_EF03_4A42_A0AF_7421F8747AA6_.wvu.PrintArea" hidden="1" oldHidden="1">
    <formula>'6'!$A$1:$J$37</formula>
    <oldFormula>'6'!$A$1:$J$37</old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" sId="3">
    <nc r="C11" t="inlineStr">
      <is>
        <t>Zizhao Wu</t>
      </is>
    </nc>
  </rcc>
  <rcc rId="706" sId="3" numFmtId="19">
    <nc r="D11">
      <v>46146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7" sId="3">
    <nc r="B12">
      <v>214</v>
    </nc>
  </rcc>
  <rcc rId="708" sId="3">
    <nc r="E12">
      <v>2</v>
    </nc>
  </rcc>
  <rcc rId="709" sId="3">
    <nc r="I12" t="inlineStr">
      <is>
        <t>Faiha/Win</t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0" sId="3">
    <nc r="C12" t="inlineStr">
      <is>
        <t>Wenqi Sun</t>
      </is>
    </nc>
  </rcc>
  <rcc rId="711" sId="3" numFmtId="19">
    <nc r="D12">
      <v>46145</v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2" sId="4">
    <nc r="B10">
      <v>606</v>
    </nc>
  </rcc>
  <rcc rId="713" sId="4">
    <nc r="E10">
      <v>2</v>
    </nc>
  </rcc>
  <rcc rId="714" sId="4">
    <nc r="I10" t="inlineStr">
      <is>
        <t>Win/Faiha</t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5" sId="4">
    <nc r="C10" t="inlineStr">
      <is>
        <t>Juan Cui</t>
      </is>
    </nc>
  </rcc>
  <rcc rId="716" sId="4" numFmtId="19">
    <nc r="D10">
      <v>46146</v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7" sId="4">
    <nc r="B11">
      <v>626</v>
    </nc>
  </rcc>
  <rcc rId="718" sId="4">
    <nc r="B12">
      <v>627</v>
    </nc>
  </rcc>
  <rcc rId="719" sId="4">
    <nc r="E11">
      <v>2</v>
    </nc>
  </rcc>
  <rcc rId="720" sId="4">
    <nc r="E12">
      <v>2</v>
    </nc>
  </rcc>
  <rcc rId="721" sId="4">
    <nc r="I11" t="inlineStr">
      <is>
        <t>Win/Maaji</t>
      </is>
    </nc>
  </rcc>
  <rcc rId="722" sId="4">
    <nc r="I12" t="inlineStr">
      <is>
        <t>Win/Maaji</t>
      </is>
    </nc>
  </rcc>
  <rcc rId="723" sId="4">
    <nc r="C11" t="inlineStr">
      <is>
        <t>Weidong Mei</t>
      </is>
    </nc>
  </rcc>
  <rcc rId="724" sId="4" numFmtId="19">
    <nc r="D11">
      <v>46146</v>
    </nc>
  </rcc>
  <rcc rId="725" sId="4">
    <nc r="C12" t="inlineStr">
      <is>
        <t>Mingxia Zhu</t>
      </is>
    </nc>
  </rcc>
  <rcc rId="726" sId="4" numFmtId="19">
    <nc r="D12">
      <v>46146</v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7" sId="5">
    <nc r="B15">
      <v>617</v>
    </nc>
  </rcc>
  <rcc rId="728" sId="5">
    <nc r="E15">
      <v>3</v>
    </nc>
  </rcc>
  <rcc rId="729" sId="5">
    <nc r="I15" t="inlineStr">
      <is>
        <t>Faiha</t>
      </is>
    </nc>
  </rcc>
  <rcc rId="730" sId="5">
    <nc r="C15" t="inlineStr">
      <is>
        <t>Alexandra Abramova</t>
      </is>
    </nc>
  </rcc>
  <rcc rId="731" sId="5" numFmtId="19">
    <nc r="D15">
      <v>46124</v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2" sId="3">
    <nc r="B13">
      <v>217</v>
    </nc>
  </rcc>
  <rcc rId="733" sId="3">
    <nc r="E13">
      <v>2</v>
    </nc>
  </rcc>
  <rcc rId="734" sId="3">
    <nc r="I13" t="inlineStr">
      <is>
        <t>Faiha/Win</t>
      </is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5" sId="3">
    <oc r="B7" t="inlineStr">
      <is>
        <t>Prebooking</t>
      </is>
    </oc>
    <nc r="B7">
      <v>611</v>
    </nc>
  </rcc>
  <rcc rId="736" sId="3">
    <nc r="C13" t="inlineStr">
      <is>
        <t>Yungpeng he</t>
      </is>
    </nc>
  </rcc>
  <rcc rId="737" sId="3" numFmtId="19">
    <nc r="D13">
      <v>46146</v>
    </nc>
  </rcc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'3'!$A$1:$J$37</formula>
    <oldFormula>'3'!$A$1:$J$37</oldFormula>
  </rdn>
  <rdn rId="0" localSheetId="4" customView="1" name="Z_6222734F_EF03_4A42_A0AF_7421F8747AA6_.wvu.PrintArea" hidden="1" oldHidden="1">
    <formula>'4'!$A$1:$J$37</formula>
    <oldFormula>'4'!$A$1:$J$37</oldFormula>
  </rdn>
  <rdn rId="0" localSheetId="5" customView="1" name="Z_6222734F_EF03_4A42_A0AF_7421F8747AA6_.wvu.PrintArea" hidden="1" oldHidden="1">
    <formula>'5'!$A$1:$J$37</formula>
    <oldFormula>'5'!$A$1:$J$37</oldFormula>
  </rdn>
  <rdn rId="0" localSheetId="6" customView="1" name="Z_6222734F_EF03_4A42_A0AF_7421F8747AA6_.wvu.PrintArea" hidden="1" oldHidden="1">
    <formula>'6'!$A$1:$J$37</formula>
    <oldFormula>'6'!$A$1:$J$37</old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B7:I13">
    <dxf>
      <alignment vertical="center" readingOrder="0"/>
    </dxf>
  </rfmt>
  <rfmt sheetId="3" sqref="B7:I13">
    <dxf>
      <alignment horizontal="general" readingOrder="0"/>
    </dxf>
  </rfmt>
  <rfmt sheetId="3" sqref="B7:I13">
    <dxf>
      <alignment horizontal="center" readingOrder="0"/>
    </dxf>
  </rfmt>
  <rfmt sheetId="3" sqref="B7:I13" start="0" length="2147483647">
    <dxf>
      <font>
        <name val="Calibri"/>
        <scheme val="minor"/>
      </font>
    </dxf>
  </rfmt>
  <rfmt sheetId="3" sqref="B7:I13" start="0" length="2147483647">
    <dxf>
      <font>
        <sz val="14"/>
      </font>
    </dxf>
  </rfmt>
  <rfmt sheetId="3" sqref="B7:I13" start="0" length="2147483647">
    <dxf>
      <font>
        <color auto="1"/>
      </font>
    </dxf>
  </rfmt>
  <rfmt sheetId="3" sqref="B7:I13" start="0" length="2147483647">
    <dxf>
      <font>
        <b/>
      </font>
    </dxf>
  </rfmt>
  <rfmt sheetId="3" sqref="B7:I13" start="0" length="2147483647">
    <dxf>
      <font>
        <b val="0"/>
      </font>
    </dxf>
  </rfmt>
  <rcc rId="769" sId="4">
    <oc r="E9">
      <v>2</v>
    </oc>
    <nc r="E9" t="inlineStr">
      <is>
        <t>pp2</t>
      </is>
    </nc>
  </rcc>
  <rcc rId="770" sId="3">
    <oc r="B8" t="inlineStr">
      <is>
        <t>Prebooking</t>
      </is>
    </oc>
    <nc r="B8">
      <v>852</v>
    </nc>
  </rcc>
  <rcc rId="771" sId="3">
    <oc r="E8" t="inlineStr">
      <is>
        <t>PP 2</t>
      </is>
    </oc>
    <nc r="E8">
      <v>2</v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" sId="4">
    <nc r="B13">
      <v>614</v>
    </nc>
  </rcc>
  <rcc rId="773" sId="4">
    <nc r="E13">
      <v>2</v>
    </nc>
  </rcc>
  <rcc rId="774" sId="4">
    <nc r="F13">
      <v>1</v>
    </nc>
  </rcc>
  <rcc rId="775" sId="4">
    <nc r="I13" t="inlineStr">
      <is>
        <t>Win/Faiha</t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6" sId="3">
    <nc r="B14">
      <v>849</v>
    </nc>
  </rcc>
  <rcc rId="777" sId="3">
    <nc r="E14">
      <v>2</v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" sId="3">
    <nc r="C14" t="inlineStr">
      <is>
        <t>Moohyeon Yoo</t>
      </is>
    </nc>
  </rcc>
  <rcc rId="779" sId="3" numFmtId="19">
    <nc r="D14">
      <v>46148</v>
    </nc>
  </rcc>
  <rcc rId="780" sId="3">
    <nc r="I14" t="inlineStr">
      <is>
        <t>Habil/Faiha</t>
      </is>
    </nc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1" sId="3">
    <oc r="B12">
      <v>214</v>
    </oc>
    <nc r="B12" t="inlineStr">
      <is>
        <t>214/301</t>
      </is>
    </nc>
  </rcc>
  <rcc rId="782" sId="3">
    <nc r="H12" t="inlineStr">
      <is>
        <t>ALLOCATION</t>
      </is>
    </nc>
  </rcc>
  <rcc rId="783" sId="3" odxf="1" dxf="1">
    <nc r="H13" t="inlineStr">
      <is>
        <t>ALLOCATION</t>
      </is>
    </nc>
    <o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border outline="0">
        <left/>
        <right/>
        <top/>
        <bottom/>
      </border>
    </ndxf>
  </rcc>
  <rcc rId="784" sId="3" odxf="1" dxf="1">
    <oc r="H7" t="inlineStr">
      <is>
        <t xml:space="preserve">3278680, 3278681 </t>
      </is>
    </oc>
    <nc r="H7" t="inlineStr">
      <is>
        <t>ALLOCATION</t>
      </is>
    </nc>
    <odxf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solid">
          <bgColor theme="0"/>
        </patternFill>
      </fill>
      <border outline="0">
        <left/>
        <right/>
        <top/>
        <bottom/>
      </border>
    </ndxf>
  </rcc>
  <rcc rId="785" sId="3" odxf="1" dxf="1">
    <nc r="H11" t="inlineStr">
      <is>
        <t>ALLOCATION</t>
      </is>
    </nc>
    <o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border outline="0">
        <left/>
        <right/>
        <top/>
        <bottom/>
      </border>
    </ndxf>
  </rcc>
  <rcc rId="786" sId="3">
    <oc r="B9">
      <v>677</v>
    </oc>
    <nc r="B9" t="inlineStr">
      <is>
        <t>677/849</t>
      </is>
    </nc>
  </rcc>
  <rcc rId="787" sId="3">
    <nc r="H9" t="inlineStr">
      <is>
        <t>ITA(NP)</t>
      </is>
    </nc>
  </rcc>
  <rcc rId="788" sId="3">
    <oc r="J9">
      <f>IF(OR(NOT(ISERROR(MATCH(RIGHT(B11,3)+0,#REF!,0))),NOT(ISERROR(MATCH(LEFT(B11,3)+0,#REF!,0)))),"No Post","")</f>
    </oc>
    <nc r="J9" t="inlineStr">
      <is>
        <t>NO POST</t>
      </is>
    </nc>
  </rcc>
  <rcc rId="789" sId="3">
    <oc r="B10">
      <v>818</v>
    </oc>
    <nc r="B10" t="inlineStr">
      <is>
        <t>818/877</t>
      </is>
    </nc>
  </rcc>
  <rcc rId="790" sId="3">
    <nc r="H10" t="inlineStr">
      <is>
        <t>ITA(NP)</t>
      </is>
    </nc>
  </rcc>
  <rcc rId="791" sId="3">
    <oc r="J10">
      <f>IF(OR(NOT(ISERROR(MATCH(RIGHT(B12,3)+0,#REF!,0))),NOT(ISERROR(MATCH(LEFT(B12,3)+0,#REF!,0)))),"No Post","")</f>
    </oc>
    <nc r="J10" t="inlineStr">
      <is>
        <t>NO POST</t>
      </is>
    </nc>
  </rcc>
  <rcc rId="792" sId="3">
    <oc r="H8">
      <v>3329178</v>
    </oc>
    <nc r="H8" t="inlineStr">
      <is>
        <t>SAI</t>
      </is>
    </nc>
  </rcc>
  <rcc rId="793" sId="3">
    <oc r="B14">
      <v>849</v>
    </oc>
    <nc r="B14"/>
  </rcc>
  <rcc rId="794" sId="3">
    <oc r="C14" t="inlineStr">
      <is>
        <t>Moohyeon Yoo</t>
      </is>
    </oc>
    <nc r="C14"/>
  </rcc>
  <rcc rId="795" sId="3" numFmtId="19">
    <oc r="D14">
      <v>46148</v>
    </oc>
    <nc r="D14"/>
  </rcc>
  <rcc rId="796" sId="3">
    <oc r="E14">
      <v>2</v>
    </oc>
    <nc r="E14"/>
  </rcc>
  <rcc rId="797" sId="3">
    <oc r="I14" t="inlineStr">
      <is>
        <t>Habil/Faiha</t>
      </is>
    </oc>
    <nc r="I14"/>
  </rcc>
  <rfmt sheetId="3" sqref="B13:I13" start="0" length="0">
    <dxf>
      <border>
        <top style="thin">
          <color indexed="64"/>
        </top>
      </border>
    </dxf>
  </rfmt>
  <rfmt sheetId="3" sqref="B7:I13">
    <dxf>
      <alignment vertical="bottom" readingOrder="0"/>
    </dxf>
  </rfmt>
  <rfmt sheetId="3" sqref="B7:I13">
    <dxf>
      <alignment vertical="center" readingOrder="0"/>
    </dxf>
  </rfmt>
  <rfmt sheetId="3" sqref="B7:I13">
    <dxf>
      <alignment horizontal="general" readingOrder="0"/>
    </dxf>
  </rfmt>
  <rfmt sheetId="3" sqref="B7:I13">
    <dxf>
      <alignment horizontal="center" readingOrder="0"/>
    </dxf>
  </rfmt>
  <rfmt sheetId="3" sqref="B7 B7:B9 H13 H7 H11 H12 B12">
    <dxf>
      <fill>
        <patternFill>
          <bgColor rgb="FF92D050"/>
        </patternFill>
      </fill>
    </dxf>
  </rfmt>
  <rfmt sheetId="3" sqref="B10 H8">
    <dxf>
      <fill>
        <patternFill>
          <bgColor rgb="FFFFFF00"/>
        </patternFill>
      </fill>
    </dxf>
  </rfmt>
  <rfmt sheetId="3" sqref="H12:H13 B9 B10">
    <dxf>
      <fill>
        <patternFill>
          <bgColor rgb="FFFF66CC"/>
        </patternFill>
      </fill>
    </dxf>
  </rfmt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'3'!$A$1:$J$37</formula>
    <oldFormula>'3'!$A$1:$J$37</oldFormula>
  </rdn>
  <rdn rId="0" localSheetId="4" customView="1" name="Z_6222734F_EF03_4A42_A0AF_7421F8747AA6_.wvu.PrintArea" hidden="1" oldHidden="1">
    <formula>'4'!$A$1:$J$37</formula>
    <oldFormula>'4'!$A$1:$J$37</oldFormula>
  </rdn>
  <rdn rId="0" localSheetId="5" customView="1" name="Z_6222734F_EF03_4A42_A0AF_7421F8747AA6_.wvu.PrintArea" hidden="1" oldHidden="1">
    <formula>'5'!$A$1:$J$37</formula>
    <oldFormula>'5'!$A$1:$J$37</oldFormula>
  </rdn>
  <rdn rId="0" localSheetId="6" customView="1" name="Z_6222734F_EF03_4A42_A0AF_7421F8747AA6_.wvu.PrintArea" hidden="1" oldHidden="1">
    <formula>'6'!$A$1:$J$37</formula>
    <oldFormula>'6'!$A$1:$J$37</old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9" sId="3">
    <oc r="E27">
      <f>SUM(E17:E26)</f>
    </oc>
    <nc r="E27">
      <f>SUM(E7:E26)</f>
    </nc>
  </rcc>
  <rcc rId="830" sId="3">
    <oc r="F27">
      <f>SUM(F17:F26)</f>
    </oc>
    <nc r="F27">
      <f>SUM(F7:F26)</f>
    </nc>
  </rcc>
  <rrc rId="831" sId="3" ref="A17:XFD17" action="deleteRow">
    <rfmt sheetId="3" xfDxf="1" sqref="A17:XFD17" start="0" length="0">
      <dxf>
        <font>
          <sz val="14"/>
        </font>
        <alignment horizontal="center" readingOrder="0"/>
      </dxf>
    </rfmt>
    <rcc rId="0" sId="3" dxf="1">
      <nc r="A17">
        <v>11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3" sqref="B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17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G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3" dxf="1">
      <nc r="J17">
        <f>IF(OR(NOT(ISERROR(MATCH(RIGHT(B17,3)+0,#REF!,0))),NOT(ISERROR(MATCH(LEFT(B17,3)+0,#REF!,0)))),"No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832" sId="3" ref="A17:XFD17" action="deleteRow">
    <rfmt sheetId="3" xfDxf="1" sqref="A17:XFD17" start="0" length="0">
      <dxf>
        <font>
          <sz val="14"/>
        </font>
        <alignment horizontal="center" readingOrder="0"/>
      </dxf>
    </rfmt>
    <rcc rId="0" sId="3" dxf="1">
      <nc r="A17">
        <v>12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3" sqref="B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17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G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3" dxf="1">
      <nc r="J17">
        <f>IF(OR(NOT(ISERROR(MATCH(RIGHT(B17,3)+0,#REF!,0))),NOT(ISERROR(MATCH(LEFT(B17,3)+0,#REF!,0)))),"No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833" sId="3" ref="A17:XFD17" action="deleteRow">
    <rfmt sheetId="3" xfDxf="1" sqref="A17:XFD17" start="0" length="0">
      <dxf>
        <font>
          <sz val="14"/>
        </font>
        <alignment horizontal="center" readingOrder="0"/>
      </dxf>
    </rfmt>
    <rcc rId="0" sId="3" dxf="1">
      <nc r="A17">
        <v>13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3" sqref="B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17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G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3" dxf="1">
      <nc r="J17">
        <f>IF(OR(NOT(ISERROR(MATCH(RIGHT(B17,3)+0,#REF!,0))),NOT(ISERROR(MATCH(LEFT(B17,3)+0,#REF!,0)))),"No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834" sId="3" ref="A17:XFD17" action="deleteRow">
    <rfmt sheetId="3" xfDxf="1" sqref="A17:XFD17" start="0" length="0">
      <dxf>
        <font>
          <sz val="14"/>
        </font>
        <alignment horizontal="center" readingOrder="0"/>
      </dxf>
    </rfmt>
    <rcc rId="0" sId="3" dxf="1">
      <nc r="A17">
        <v>14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3" sqref="B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17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G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3" dxf="1">
      <nc r="J17">
        <f>IF(OR(NOT(ISERROR(MATCH(RIGHT(B17,3)+0,#REF!,0))),NOT(ISERROR(MATCH(LEFT(B17,3)+0,#REF!,0)))),"No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835" sId="3" ref="A17:XFD17" action="deleteRow">
    <rfmt sheetId="3" xfDxf="1" sqref="A17:XFD17" start="0" length="0">
      <dxf>
        <font>
          <sz val="14"/>
        </font>
        <alignment horizontal="center" readingOrder="0"/>
      </dxf>
    </rfmt>
    <rcc rId="0" sId="3" dxf="1">
      <nc r="A17">
        <v>15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3" sqref="B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17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G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3" dxf="1">
      <nc r="J17">
        <f>IF(OR(NOT(ISERROR(MATCH(RIGHT(B17,3)+0,#REF!,0))),NOT(ISERROR(MATCH(LEFT(B17,3)+0,#REF!,0)))),"No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836" sId="3" ref="A17:XFD17" action="deleteRow">
    <rfmt sheetId="3" xfDxf="1" sqref="A17:XFD17" start="0" length="0">
      <dxf>
        <font>
          <sz val="14"/>
        </font>
        <alignment horizontal="center" readingOrder="0"/>
      </dxf>
    </rfmt>
    <rcc rId="0" sId="3" dxf="1">
      <nc r="A17">
        <v>16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3" sqref="B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17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G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3" dxf="1">
      <nc r="J17">
        <f>IF(OR(NOT(ISERROR(MATCH(RIGHT(B17,3)+0,#REF!,0))),NOT(ISERROR(MATCH(LEFT(B17,3)+0,#REF!,0)))),"No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837" sId="3" ref="A17:XFD17" action="deleteRow">
    <rfmt sheetId="3" xfDxf="1" sqref="A17:XFD17" start="0" length="0">
      <dxf>
        <font>
          <sz val="14"/>
        </font>
        <alignment horizontal="center" readingOrder="0"/>
      </dxf>
    </rfmt>
    <rcc rId="0" sId="3" dxf="1">
      <nc r="A17">
        <v>17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3" sqref="B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17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G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3" dxf="1">
      <nc r="J17">
        <f>IF(OR(NOT(ISERROR(MATCH(RIGHT(B17,3)+0,#REF!,0))),NOT(ISERROR(MATCH(LEFT(B17,3)+0,#REF!,0)))),"No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838" sId="3" ref="A17:XFD17" action="deleteRow">
    <rfmt sheetId="3" xfDxf="1" sqref="A17:XFD17" start="0" length="0">
      <dxf>
        <font>
          <sz val="14"/>
        </font>
        <alignment horizontal="center" readingOrder="0"/>
      </dxf>
    </rfmt>
    <rcc rId="0" sId="3" dxf="1">
      <nc r="A17">
        <v>18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3" sqref="B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17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G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3" dxf="1">
      <nc r="J17">
        <f>IF(OR(NOT(ISERROR(MATCH(RIGHT(B17,3)+0,#REF!,0))),NOT(ISERROR(MATCH(LEFT(B17,3)+0,#REF!,0)))),"No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839" sId="3" ref="A17:XFD17" action="deleteRow">
    <rfmt sheetId="3" xfDxf="1" sqref="A17:XFD17" start="0" length="0">
      <dxf>
        <font>
          <sz val="14"/>
        </font>
        <alignment horizontal="center" readingOrder="0"/>
      </dxf>
    </rfmt>
    <rcc rId="0" sId="3" dxf="1">
      <nc r="A17">
        <v>19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3" sqref="B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17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G17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17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3" dxf="1">
      <nc r="J17">
        <f>IF(OR(NOT(ISERROR(MATCH(RIGHT(B17,3)+0,#REF!,0))),NOT(ISERROR(MATCH(LEFT(B17,3)+0,#REF!,0)))),"No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840" sId="3" ref="A17:XFD17" action="deleteRow">
    <undo index="0" exp="area" dr="F7:F17" r="F18" sId="3"/>
    <undo index="0" exp="area" dr="E7:E17" r="E18" sId="3"/>
    <rfmt sheetId="3" xfDxf="1" sqref="A17:XFD17" start="0" length="0">
      <dxf>
        <font>
          <b/>
          <sz val="15"/>
        </font>
        <alignment horizontal="center" readingOrder="0"/>
      </dxf>
    </rfmt>
    <rcc rId="0" sId="3" dxf="1">
      <nc r="A17">
        <v>20</v>
      </nc>
      <ndxf>
        <font>
          <b val="0"/>
          <sz val="14"/>
        </font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3" sqref="B17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17" start="0" length="0">
      <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17" start="0" length="0">
      <dxf>
        <font>
          <b val="0"/>
          <sz val="14"/>
        </font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17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17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G17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17" start="0" length="0">
      <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17" start="0" length="0">
      <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3" dxf="1">
      <nc r="J17">
        <f>IF(OR(NOT(ISERROR(MATCH(RIGHT(B17,3)+0,#REF!,0))),NOT(ISERROR(MATCH(LEFT(B17,3)+0,#REF!,0)))),"No Post","")</f>
      </nc>
      <ndxf>
        <font>
          <sz val="12"/>
          <color auto="1"/>
        </font>
        <alignment horizontal="general" vertical="bottom" readingOrder="0"/>
      </ndxf>
    </rcc>
  </rrc>
  <rcc rId="841" sId="6">
    <oc r="E9">
      <v>2</v>
    </oc>
    <nc r="E9" t="inlineStr">
      <is>
        <t>PP2</t>
      </is>
    </nc>
  </rcc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'4'!$A$1:$J$37</formula>
    <oldFormula>'4'!$A$1:$J$37</oldFormula>
  </rdn>
  <rdn rId="0" localSheetId="5" customView="1" name="Z_6222734F_EF03_4A42_A0AF_7421F8747AA6_.wvu.PrintArea" hidden="1" oldHidden="1">
    <formula>'5'!$A$1:$J$37</formula>
    <oldFormula>'5'!$A$1:$J$37</oldFormula>
  </rdn>
  <rdn rId="0" localSheetId="6" customView="1" name="Z_6222734F_EF03_4A42_A0AF_7421F8747AA6_.wvu.PrintArea" hidden="1" oldHidden="1">
    <formula>'6'!$A$1:$J$37</formula>
    <oldFormula>'6'!$A$1:$J$37</old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A10">
    <dxf>
      <fill>
        <patternFill>
          <bgColor rgb="FFBDD7EE"/>
        </patternFill>
      </fill>
    </dxf>
  </rfmt>
  <rfmt sheetId="3" sqref="A13">
    <dxf>
      <fill>
        <patternFill>
          <bgColor rgb="FFBDD7EE"/>
        </patternFill>
      </fill>
    </dxf>
  </rfmt>
  <rfmt sheetId="3" sqref="A11">
    <dxf>
      <fill>
        <patternFill>
          <bgColor rgb="FFBDD7EE"/>
        </patternFill>
      </fill>
    </dxf>
  </rfmt>
  <rfmt sheetId="3" sqref="A9">
    <dxf>
      <fill>
        <patternFill>
          <bgColor rgb="FFBDD7EE"/>
        </patternFill>
      </fill>
    </dxf>
  </rfmt>
  <rfmt sheetId="3" sqref="A8">
    <dxf>
      <fill>
        <patternFill>
          <bgColor rgb="FFBDD7EE"/>
        </patternFill>
      </fill>
    </dxf>
  </rfmt>
  <rfmt sheetId="3" sqref="A7">
    <dxf>
      <fill>
        <patternFill>
          <bgColor rgb="FFBDD7EE"/>
        </patternFill>
      </fill>
    </dxf>
  </rfmt>
  <rcc rId="873" sId="5">
    <nc r="B16">
      <v>685</v>
    </nc>
  </rcc>
  <rcc rId="874" sId="5">
    <nc r="E16">
      <v>2</v>
    </nc>
  </rcc>
  <rcc rId="875" sId="5">
    <nc r="I16" t="inlineStr">
      <is>
        <t>Haabil/Maaji</t>
      </is>
    </nc>
  </rcc>
  <rcc rId="876" sId="5">
    <nc r="C16" t="inlineStr">
      <is>
        <t>Lixue Zhang</t>
      </is>
    </nc>
  </rcc>
  <rcc rId="877" sId="5" numFmtId="19">
    <nc r="D16">
      <v>46147</v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8" sId="6">
    <nc r="B10">
      <v>317</v>
    </nc>
  </rcc>
  <rcc rId="879" sId="6">
    <nc r="E10">
      <v>2</v>
    </nc>
  </rcc>
  <rcc rId="880" sId="6">
    <nc r="I10" t="inlineStr">
      <is>
        <t>Astrid/Maaji</t>
      </is>
    </nc>
  </rcc>
  <rcc rId="881" sId="6">
    <nc r="C10" t="inlineStr">
      <is>
        <t>Akihide Nagase</t>
      </is>
    </nc>
  </rcc>
  <rcc rId="882" sId="6" numFmtId="19">
    <nc r="D10">
      <v>46151</v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3" sId="4">
    <nc r="C13" t="inlineStr">
      <is>
        <t>Xiaming Zhang</t>
      </is>
    </nc>
  </rcc>
  <rcc rId="884" sId="4" numFmtId="19">
    <nc r="D13">
      <v>46147</v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5" sId="4">
    <nc r="B14">
      <v>626</v>
    </nc>
  </rcc>
  <rcc rId="886" sId="4">
    <nc r="B15">
      <v>627</v>
    </nc>
  </rcc>
  <rcc rId="887" sId="4">
    <nc r="E14">
      <v>2</v>
    </nc>
  </rcc>
  <rcc rId="888" sId="4">
    <nc r="E15">
      <v>2</v>
    </nc>
  </rcc>
  <rcc rId="889" sId="4">
    <nc r="I14" t="inlineStr">
      <is>
        <t>Win/Faiha</t>
      </is>
    </nc>
  </rcc>
  <rcc rId="890" sId="4">
    <nc r="I15" t="inlineStr">
      <is>
        <t>Win/Faiha</t>
      </is>
    </nc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1" sId="4">
    <nc r="C14" t="inlineStr">
      <is>
        <t>Weidong Mei</t>
      </is>
    </nc>
  </rcc>
  <rcc rId="892" sId="4" numFmtId="19">
    <nc r="D14">
      <v>46146</v>
    </nc>
  </rcc>
  <rcc rId="893" sId="4">
    <nc r="C15" t="inlineStr">
      <is>
        <t>Tianijo Mei</t>
      </is>
    </nc>
  </rcc>
  <rcc rId="894" sId="4" numFmtId="19">
    <nc r="D15">
      <v>46146</v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5" sId="4">
    <oc r="B7" t="inlineStr">
      <is>
        <t>Prebooking</t>
      </is>
    </oc>
    <nc r="B7">
      <v>621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6" sId="4">
    <nc r="B16">
      <v>876</v>
    </nc>
  </rcc>
  <rcc rId="897" sId="4">
    <nc r="E16">
      <v>2</v>
    </nc>
  </rcc>
  <rcc rId="898" sId="4">
    <nc r="I16" t="inlineStr">
      <is>
        <t>Ektha/Faiha</t>
      </is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9" sId="4">
    <nc r="C16" t="inlineStr">
      <is>
        <t>Yuki Kimura</t>
      </is>
    </nc>
  </rcc>
  <rcc rId="900" sId="4" numFmtId="19">
    <nc r="D16">
      <v>46149</v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1" sId="6">
    <nc r="B11">
      <v>811</v>
    </nc>
  </rcc>
  <rcc rId="902" sId="6">
    <nc r="E11">
      <v>2</v>
    </nc>
  </rcc>
  <rcc rId="903" sId="6">
    <nc r="I11" t="inlineStr">
      <is>
        <t>Faiha</t>
      </is>
    </nc>
  </rcc>
  <rcc rId="904" sId="6">
    <nc r="C11" t="inlineStr">
      <is>
        <t>Finian Odriscoll</t>
      </is>
    </nc>
  </rcc>
  <rcc rId="905" sId="6" numFmtId="19">
    <nc r="D11">
      <v>46157</v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'4'!$A$1:$J$37</formula>
    <oldFormula>'4'!$A$1:$J$37</oldFormula>
  </rdn>
  <rdn rId="0" localSheetId="5" customView="1" name="Z_6222734F_EF03_4A42_A0AF_7421F8747AA6_.wvu.PrintArea" hidden="1" oldHidden="1">
    <formula>'5'!$A$1:$J$37</formula>
    <oldFormula>'5'!$A$1:$J$37</oldFormula>
  </rdn>
  <rdn rId="0" localSheetId="6" customView="1" name="Z_6222734F_EF03_4A42_A0AF_7421F8747AA6_.wvu.PrintArea" hidden="1" oldHidden="1">
    <formula>'6'!$A$1:$J$37</formula>
    <oldFormula>'6'!$A$1:$J$37</old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7" sId="5">
    <nc r="B17">
      <v>892</v>
    </nc>
  </rcc>
  <rcc rId="938" sId="5">
    <nc r="B18">
      <v>668</v>
    </nc>
  </rcc>
  <rcc rId="939" sId="5">
    <nc r="E17">
      <v>2</v>
    </nc>
  </rcc>
  <rcc rId="940" sId="5">
    <nc r="E18">
      <v>2</v>
    </nc>
  </rcc>
  <rcc rId="941" sId="5" odxf="1" dxf="1">
    <nc r="I17" t="inlineStr">
      <is>
        <t>UV/Faiha</t>
      </is>
    </nc>
    <odxf>
      <alignment horizontal="left" vertical="center" readingOrder="0"/>
    </odxf>
    <ndxf>
      <alignment horizontal="center" vertical="top" readingOrder="0"/>
    </ndxf>
  </rcc>
  <rcc rId="942" sId="5" odxf="1" dxf="1">
    <nc r="I18" t="inlineStr">
      <is>
        <t>UV/Faiha</t>
      </is>
    </nc>
    <odxf>
      <alignment horizontal="left" vertical="center" readingOrder="0"/>
    </odxf>
    <ndxf>
      <alignment horizontal="center" vertical="top" readingOrder="0"/>
    </ndxf>
  </rcc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7" sqref="C8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cc rId="943" sId="17" xfDxf="1" dxf="1">
    <nc r="C8" t="inlineStr">
      <is>
        <t xml:space="preserve">Mr. Shoji Matsushima </t>
      </is>
    </nc>
    <ndxf>
      <font>
        <sz val="12"/>
        <name val="Verdana"/>
        <scheme val="none"/>
      </font>
    </ndxf>
  </rcc>
  <rcc rId="944" sId="17" odxf="1" dxf="1">
    <nc r="B8" t="inlineStr">
      <is>
        <t>Prebooking</t>
      </is>
    </nc>
    <odxf>
      <border outline="0">
        <top style="thin">
          <color indexed="64"/>
        </top>
      </border>
    </odxf>
    <ndxf>
      <border outline="0">
        <top/>
      </border>
    </ndxf>
  </rcc>
  <rcc rId="945" sId="17" numFmtId="19">
    <nc r="D8">
      <v>46130</v>
    </nc>
  </rcc>
  <rcc rId="946" sId="17">
    <nc r="E8">
      <v>2</v>
    </nc>
  </rcc>
  <rcc rId="947" sId="17">
    <nc r="H8" t="inlineStr">
      <is>
        <t xml:space="preserve">Sales ENT </t>
      </is>
    </nc>
  </rcc>
  <rcc rId="948" sId="17">
    <nc r="I8" t="inlineStr">
      <is>
        <t>Sushmita/Tarush</t>
      </is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9" sId="6">
    <nc r="B12">
      <v>878</v>
    </nc>
  </rcc>
  <rcc rId="950" sId="6">
    <nc r="E12">
      <v>2</v>
    </nc>
  </rcc>
  <rcc rId="951" sId="6">
    <nc r="I12" t="inlineStr">
      <is>
        <t>Archana /Faiha</t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2" sId="4">
    <nc r="H10" t="inlineStr">
      <is>
        <t>ALLOCATION</t>
      </is>
    </nc>
  </rcc>
  <rcc rId="953" sId="4">
    <oc r="B10">
      <v>606</v>
    </oc>
    <nc r="B10" t="inlineStr">
      <is>
        <t>606/896</t>
      </is>
    </nc>
  </rcc>
  <rcc rId="954" sId="4">
    <nc r="H13" t="inlineStr">
      <is>
        <t>ALLOCATION</t>
      </is>
    </nc>
  </rcc>
  <rcc rId="955" sId="4">
    <oc r="H7" t="inlineStr">
      <is>
        <t xml:space="preserve">3336429, 3336431 </t>
      </is>
    </oc>
    <nc r="H7" t="inlineStr">
      <is>
        <t>ALLOCATION</t>
      </is>
    </nc>
  </rcc>
  <rcc rId="956" sId="4">
    <nc r="H11" t="inlineStr">
      <is>
        <t>ALLOCATION</t>
      </is>
    </nc>
  </rcc>
  <rcc rId="957" sId="4">
    <oc r="C14" t="inlineStr">
      <is>
        <t>Weidong Mei</t>
      </is>
    </oc>
    <nc r="C14" t="inlineStr">
      <is>
        <t>Mingxia Zhu</t>
      </is>
    </nc>
  </rcc>
  <rcc rId="958" sId="4">
    <oc r="I14" t="inlineStr">
      <is>
        <t>Win/Faiha</t>
      </is>
    </oc>
    <nc r="I14" t="inlineStr">
      <is>
        <t>Win/Maaji</t>
      </is>
    </nc>
  </rcc>
  <rfmt sheetId="4" sqref="B15" start="0" length="0">
    <dxf>
      <fill>
        <patternFill>
          <bgColor rgb="FFFFFF00"/>
        </patternFill>
      </fill>
      <alignment vertical="center" readingOrder="0"/>
    </dxf>
  </rfmt>
  <rfmt sheetId="4" sqref="C15" start="0" length="0">
    <dxf>
      <alignment vertical="center" readingOrder="0"/>
    </dxf>
  </rfmt>
  <rfmt sheetId="4" sqref="D15" start="0" length="0">
    <dxf>
      <alignment vertical="center" readingOrder="0"/>
    </dxf>
  </rfmt>
  <rfmt sheetId="4" sqref="E15" start="0" length="0">
    <dxf>
      <alignment vertical="center" readingOrder="0"/>
    </dxf>
  </rfmt>
  <rfmt sheetId="4" sqref="F15" start="0" length="0">
    <dxf>
      <alignment vertical="center" readingOrder="0"/>
    </dxf>
  </rfmt>
  <rfmt sheetId="4" sqref="G15" start="0" length="0">
    <dxf>
      <alignment vertical="center" readingOrder="0"/>
    </dxf>
  </rfmt>
  <rfmt sheetId="4" sqref="H15" start="0" length="0">
    <dxf>
      <fill>
        <patternFill>
          <bgColor rgb="FFFFFF00"/>
        </patternFill>
      </fill>
      <alignment vertical="center" readingOrder="0"/>
    </dxf>
  </rfmt>
  <rfmt sheetId="4" sqref="I15" start="0" length="0">
    <dxf>
      <alignment vertical="center" readingOrder="0"/>
    </dxf>
  </rfmt>
  <rfmt sheetId="4" sqref="B8" start="0" length="0">
    <dxf>
      <fill>
        <patternFill>
          <bgColor theme="0"/>
        </patternFill>
      </fill>
      <alignment vertical="top" readingOrder="0"/>
    </dxf>
  </rfmt>
  <rfmt sheetId="4" sqref="C8" start="0" length="0">
    <dxf>
      <alignment vertical="top" readingOrder="0"/>
    </dxf>
  </rfmt>
  <rfmt sheetId="4" sqref="D8" start="0" length="0">
    <dxf>
      <alignment vertical="top" readingOrder="0"/>
    </dxf>
  </rfmt>
  <rfmt sheetId="4" sqref="E8" start="0" length="0">
    <dxf>
      <alignment vertical="top" readingOrder="0"/>
    </dxf>
  </rfmt>
  <rfmt sheetId="4" sqref="F8" start="0" length="0">
    <dxf>
      <alignment vertical="top" readingOrder="0"/>
    </dxf>
  </rfmt>
  <rfmt sheetId="4" sqref="G8" start="0" length="0">
    <dxf>
      <alignment vertical="top" readingOrder="0"/>
    </dxf>
  </rfmt>
  <rfmt sheetId="4" sqref="H8" start="0" length="0">
    <dxf>
      <fill>
        <patternFill>
          <bgColor theme="0"/>
        </patternFill>
      </fill>
      <alignment vertical="top" readingOrder="0"/>
    </dxf>
  </rfmt>
  <rfmt sheetId="4" sqref="I8" start="0" length="0">
    <dxf>
      <alignment vertical="top" readingOrder="0"/>
    </dxf>
  </rfmt>
  <rcc rId="959" sId="4">
    <oc r="B9" t="inlineStr">
      <is>
        <t>Prebooking</t>
      </is>
    </oc>
    <nc r="B9"/>
  </rcc>
  <rcc rId="960" sId="4">
    <oc r="C9" t="inlineStr">
      <is>
        <t>Ms Shrey Agarwal</t>
      </is>
    </oc>
    <nc r="C9"/>
  </rcc>
  <rcc rId="961" sId="4" numFmtId="19">
    <oc r="D9">
      <v>46147</v>
    </oc>
    <nc r="D9"/>
  </rcc>
  <rcc rId="962" sId="4">
    <oc r="E9" t="inlineStr">
      <is>
        <t>pp2</t>
      </is>
    </oc>
    <nc r="E9"/>
  </rcc>
  <rcc rId="963" sId="4">
    <oc r="H9">
      <v>3329178</v>
    </oc>
    <nc r="H9"/>
  </rcc>
  <rcc rId="964" sId="4">
    <oc r="I9" t="inlineStr">
      <is>
        <t>Carl/Faiha</t>
      </is>
    </oc>
    <nc r="I9"/>
  </rcc>
  <rcc rId="965" sId="4">
    <oc r="B14">
      <v>626</v>
    </oc>
    <nc r="B14" t="inlineStr">
      <is>
        <t>627/889</t>
      </is>
    </nc>
  </rcc>
  <rcc rId="966" sId="4">
    <nc r="H14" t="inlineStr">
      <is>
        <t>ALLOCATION</t>
      </is>
    </nc>
  </rcc>
  <rcc rId="967" sId="4">
    <oc r="B11">
      <v>626</v>
    </oc>
    <nc r="B11" t="inlineStr">
      <is>
        <t>626/888</t>
      </is>
    </nc>
  </rcc>
  <rcc rId="968" sId="4" odxf="1" dxf="1">
    <oc r="B12">
      <v>627</v>
    </oc>
    <nc r="B12">
      <v>866</v>
    </nc>
    <ndxf>
      <fill>
        <patternFill>
          <bgColor rgb="FFFFFF00"/>
        </patternFill>
      </fill>
      <alignment vertical="center" readingOrder="0"/>
    </ndxf>
  </rcc>
  <rcc rId="969" sId="4" odxf="1" dxf="1">
    <oc r="C12" t="inlineStr">
      <is>
        <t>Mingxia Zhu</t>
      </is>
    </oc>
    <nc r="C12" t="inlineStr">
      <is>
        <t>Belyaev, Ivan</t>
      </is>
    </nc>
    <ndxf>
      <alignment vertical="center" readingOrder="0"/>
    </ndxf>
  </rcc>
  <rcc rId="970" sId="4" odxf="1" dxf="1" numFmtId="19">
    <oc r="D12">
      <v>46146</v>
    </oc>
    <nc r="D12">
      <v>46150</v>
    </nc>
    <ndxf>
      <alignment vertical="center" readingOrder="0"/>
    </ndxf>
  </rcc>
  <rfmt sheetId="4" sqref="E12" start="0" length="0">
    <dxf>
      <alignment vertical="center" readingOrder="0"/>
    </dxf>
  </rfmt>
  <rfmt sheetId="4" sqref="F12" start="0" length="0">
    <dxf>
      <alignment vertical="center" readingOrder="0"/>
    </dxf>
  </rfmt>
  <rfmt sheetId="4" sqref="G12" start="0" length="0">
    <dxf>
      <alignment vertical="center" readingOrder="0"/>
    </dxf>
  </rfmt>
  <rcc rId="971" sId="4" odxf="1" dxf="1">
    <nc r="H12" t="inlineStr">
      <is>
        <t>FB</t>
      </is>
    </nc>
    <ndxf>
      <fill>
        <patternFill>
          <bgColor rgb="FFFFFF00"/>
        </patternFill>
      </fill>
      <alignment vertical="center" readingOrder="0"/>
    </ndxf>
  </rcc>
  <rcc rId="972" sId="4" odxf="1" dxf="1">
    <oc r="I12" t="inlineStr">
      <is>
        <t>Win/Maaji</t>
      </is>
    </oc>
    <nc r="I12" t="inlineStr">
      <is>
        <t>Aiperi/Faiha</t>
      </is>
    </nc>
    <ndxf>
      <alignment vertical="center" readingOrder="0"/>
    </ndxf>
  </rcc>
  <rcc rId="973" sId="4" odxf="1" dxf="1">
    <oc r="B15">
      <v>627</v>
    </oc>
    <nc r="B15">
      <v>876</v>
    </nc>
    <ndxf>
      <fill>
        <patternFill>
          <bgColor theme="0"/>
        </patternFill>
      </fill>
      <alignment vertical="top" readingOrder="0"/>
    </ndxf>
  </rcc>
  <rcc rId="974" sId="4" odxf="1" dxf="1">
    <oc r="C15" t="inlineStr">
      <is>
        <t>Tianijo Mei</t>
      </is>
    </oc>
    <nc r="C15" t="inlineStr">
      <is>
        <t>Yuki Kimura</t>
      </is>
    </nc>
    <ndxf>
      <alignment vertical="top" readingOrder="0"/>
    </ndxf>
  </rcc>
  <rcc rId="975" sId="4" odxf="1" dxf="1" numFmtId="19">
    <oc r="D15">
      <v>46146</v>
    </oc>
    <nc r="D15">
      <v>46149</v>
    </nc>
    <ndxf>
      <alignment vertical="top" readingOrder="0"/>
    </ndxf>
  </rcc>
  <rfmt sheetId="4" sqref="E15" start="0" length="0">
    <dxf>
      <alignment vertical="top" readingOrder="0"/>
    </dxf>
  </rfmt>
  <rfmt sheetId="4" sqref="F15" start="0" length="0">
    <dxf>
      <alignment vertical="top" readingOrder="0"/>
    </dxf>
  </rfmt>
  <rfmt sheetId="4" sqref="G15" start="0" length="0">
    <dxf>
      <alignment vertical="top" readingOrder="0"/>
    </dxf>
  </rfmt>
  <rcc rId="976" sId="4" odxf="1" dxf="1">
    <nc r="H15" t="inlineStr">
      <is>
        <t>ALLOCATION</t>
      </is>
    </nc>
    <ndxf>
      <fill>
        <patternFill>
          <bgColor theme="0"/>
        </patternFill>
      </fill>
      <alignment vertical="top" readingOrder="0"/>
    </ndxf>
  </rcc>
  <rcc rId="977" sId="4" odxf="1" dxf="1">
    <oc r="I15" t="inlineStr">
      <is>
        <t>Win/Faiha</t>
      </is>
    </oc>
    <nc r="I15" t="inlineStr">
      <is>
        <t>Ektha/Faiha</t>
      </is>
    </nc>
    <ndxf>
      <alignment vertical="top" readingOrder="0"/>
    </ndxf>
  </rcc>
  <rcc rId="978" sId="4">
    <oc r="B8">
      <v>866</v>
    </oc>
    <nc r="B8" t="inlineStr">
      <is>
        <t>Prebooking</t>
      </is>
    </nc>
  </rcc>
  <rcc rId="979" sId="4">
    <oc r="C8" t="inlineStr">
      <is>
        <t>Belyaev, Ivan</t>
      </is>
    </oc>
    <nc r="C8" t="inlineStr">
      <is>
        <t>Ms Shrey Agarwal</t>
      </is>
    </nc>
  </rcc>
  <rcc rId="980" sId="4" numFmtId="19">
    <oc r="D8">
      <v>46150</v>
    </oc>
    <nc r="D8">
      <v>46147</v>
    </nc>
  </rcc>
  <rcc rId="981" sId="4">
    <oc r="E8">
      <v>2</v>
    </oc>
    <nc r="E8" t="inlineStr">
      <is>
        <t>pp2</t>
      </is>
    </nc>
  </rcc>
  <rcc rId="982" sId="4">
    <oc r="H8" t="inlineStr">
      <is>
        <t>FB</t>
      </is>
    </oc>
    <nc r="H8">
      <v>3329178</v>
    </nc>
  </rcc>
  <rcc rId="983" sId="4">
    <oc r="I8" t="inlineStr">
      <is>
        <t>Aiperi/Faiha</t>
      </is>
    </oc>
    <nc r="I8" t="inlineStr">
      <is>
        <t>Carl/Faiha</t>
      </is>
    </nc>
  </rcc>
  <rcc rId="984" sId="4">
    <oc r="B16">
      <v>876</v>
    </oc>
    <nc r="B16"/>
  </rcc>
  <rcc rId="985" sId="4">
    <oc r="C16" t="inlineStr">
      <is>
        <t>Yuki Kimura</t>
      </is>
    </oc>
    <nc r="C16"/>
  </rcc>
  <rcc rId="986" sId="4" numFmtId="19">
    <oc r="D16">
      <v>46149</v>
    </oc>
    <nc r="D16"/>
  </rcc>
  <rcc rId="987" sId="4">
    <oc r="E16">
      <v>2</v>
    </oc>
    <nc r="E16"/>
  </rcc>
  <rcc rId="988" sId="4">
    <oc r="I16" t="inlineStr">
      <is>
        <t>Ektha/Faiha</t>
      </is>
    </oc>
    <nc r="I16"/>
  </rcc>
  <rfmt sheetId="4" sqref="B13 B7 H10 H13 H7 H11 H14 H15 B10 B13 B7 B11 B14">
    <dxf>
      <fill>
        <patternFill>
          <bgColor rgb="FF92D050"/>
        </patternFill>
      </fill>
    </dxf>
  </rfmt>
  <rrc rId="989" sId="4" ref="B1:B1048576" action="insertCol"/>
  <rrc rId="990" sId="4" ref="B1:B1048576" action="insertCol"/>
  <rcc rId="991" sId="4">
    <oc r="G27">
      <f>SUM(G17:G26)</f>
    </oc>
    <nc r="G27">
      <f>SUM(G7:G26)</f>
    </nc>
  </rcc>
  <rcc rId="992" sId="4">
    <oc r="H27">
      <f>SUM(H17:H26)</f>
    </oc>
    <nc r="H27">
      <f>SUM(H7:H26)</f>
    </nc>
  </rcc>
  <rrc rId="993" sId="4" ref="A9:XFD9" action="deleteRow">
    <rfmt sheetId="4" xfDxf="1" sqref="A9:XFD9" start="0" length="0">
      <dxf>
        <font>
          <sz val="14"/>
        </font>
        <alignment horizontal="center" readingOrder="0"/>
      </dxf>
    </rfmt>
    <rcc rId="0" sId="4" dxf="1">
      <nc r="A9">
        <v>10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9" start="0" length="0">
      <dxf>
        <numFmt numFmtId="19" formatCode="dd/mm/yyyy"/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K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L9">
        <f>IF(OR(NOT(ISERROR(MATCH(RIGHT(D9,3)+0,#REF!,0))),NOT(ISERROR(MATCH(LEFT(D9,3)+0,#REF!,0)))),"No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994" sId="4" ref="A16:XFD16" action="deleteRow">
    <rfmt sheetId="4" xfDxf="1" sqref="A16:XFD16" start="0" length="0">
      <dxf>
        <font>
          <sz val="14"/>
        </font>
        <alignment horizontal="center" readingOrder="0"/>
      </dxf>
    </rfmt>
    <rcc rId="0" sId="4" dxf="1">
      <nc r="A16">
        <v>11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6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K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L16">
        <f>IF(OR(NOT(ISERROR(MATCH(RIGHT(D16,3)+0,#REF!,0))),NOT(ISERROR(MATCH(LEFT(D16,3)+0,#REF!,0)))),"No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995" sId="4" ref="A16:XFD16" action="deleteRow">
    <rfmt sheetId="4" xfDxf="1" sqref="A16:XFD16" start="0" length="0">
      <dxf>
        <font>
          <sz val="14"/>
        </font>
        <alignment horizontal="center" readingOrder="0"/>
      </dxf>
    </rfmt>
    <rcc rId="0" sId="4" dxf="1">
      <nc r="A16">
        <v>12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6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K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L16">
        <f>IF(OR(NOT(ISERROR(MATCH(RIGHT(D16,3)+0,#REF!,0))),NOT(ISERROR(MATCH(LEFT(D16,3)+0,#REF!,0)))),"No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996" sId="4" ref="A16:XFD16" action="deleteRow">
    <rfmt sheetId="4" xfDxf="1" sqref="A16:XFD16" start="0" length="0">
      <dxf>
        <font>
          <sz val="14"/>
        </font>
        <alignment horizontal="center" readingOrder="0"/>
      </dxf>
    </rfmt>
    <rcc rId="0" sId="4" dxf="1">
      <nc r="A16">
        <v>13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6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K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L16">
        <f>IF(OR(NOT(ISERROR(MATCH(RIGHT(D16,3)+0,#REF!,0))),NOT(ISERROR(MATCH(LEFT(D16,3)+0,#REF!,0)))),"No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997" sId="4" ref="A16:XFD16" action="deleteRow">
    <rfmt sheetId="4" xfDxf="1" sqref="A16:XFD16" start="0" length="0">
      <dxf>
        <font>
          <sz val="14"/>
        </font>
        <alignment horizontal="center" readingOrder="0"/>
      </dxf>
    </rfmt>
    <rcc rId="0" sId="4" dxf="1">
      <nc r="A16">
        <v>14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6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K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L16">
        <f>IF(OR(NOT(ISERROR(MATCH(RIGHT(D16,3)+0,#REF!,0))),NOT(ISERROR(MATCH(LEFT(D16,3)+0,#REF!,0)))),"No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998" sId="4" ref="A16:XFD16" action="deleteRow">
    <rfmt sheetId="4" xfDxf="1" sqref="A16:XFD16" start="0" length="0">
      <dxf>
        <font>
          <sz val="14"/>
        </font>
        <alignment horizontal="center" readingOrder="0"/>
      </dxf>
    </rfmt>
    <rcc rId="0" sId="4" dxf="1">
      <nc r="A16">
        <v>15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6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K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L16">
        <f>IF(OR(NOT(ISERROR(MATCH(RIGHT(D16,3)+0,#REF!,0))),NOT(ISERROR(MATCH(LEFT(D16,3)+0,#REF!,0)))),"No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999" sId="4" ref="A16:XFD16" action="deleteRow">
    <rfmt sheetId="4" xfDxf="1" sqref="A16:XFD16" start="0" length="0">
      <dxf>
        <font>
          <sz val="14"/>
        </font>
        <alignment horizontal="center" readingOrder="0"/>
      </dxf>
    </rfmt>
    <rcc rId="0" sId="4" dxf="1">
      <nc r="A16">
        <v>16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6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K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L16">
        <f>IF(OR(NOT(ISERROR(MATCH(RIGHT(D16,3)+0,#REF!,0))),NOT(ISERROR(MATCH(LEFT(D16,3)+0,#REF!,0)))),"No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1000" sId="4" ref="A16:XFD16" action="deleteRow">
    <rfmt sheetId="4" xfDxf="1" sqref="A16:XFD16" start="0" length="0">
      <dxf>
        <font>
          <sz val="14"/>
        </font>
        <alignment horizontal="center" readingOrder="0"/>
      </dxf>
    </rfmt>
    <rcc rId="0" sId="4" dxf="1">
      <nc r="A16">
        <v>17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6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K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L16">
        <f>IF(OR(NOT(ISERROR(MATCH(RIGHT(D16,3)+0,#REF!,0))),NOT(ISERROR(MATCH(LEFT(D16,3)+0,#REF!,0)))),"No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1001" sId="4" ref="A16:XFD16" action="deleteRow">
    <rfmt sheetId="4" xfDxf="1" sqref="A16:XFD16" start="0" length="0">
      <dxf>
        <font>
          <sz val="14"/>
        </font>
        <alignment horizontal="center" readingOrder="0"/>
      </dxf>
    </rfmt>
    <rcc rId="0" sId="4" dxf="1">
      <nc r="A16">
        <v>18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6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K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L16">
        <f>IF(OR(NOT(ISERROR(MATCH(RIGHT(D16,3)+0,#REF!,0))),NOT(ISERROR(MATCH(LEFT(D16,3)+0,#REF!,0)))),"No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1002" sId="4" ref="A16:XFD16" action="deleteRow">
    <rfmt sheetId="4" xfDxf="1" sqref="A16:XFD16" start="0" length="0">
      <dxf>
        <font>
          <sz val="14"/>
        </font>
        <alignment horizontal="center" readingOrder="0"/>
      </dxf>
    </rfmt>
    <rcc rId="0" sId="4" dxf="1">
      <nc r="A16">
        <v>19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6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K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L16">
        <f>IF(OR(NOT(ISERROR(MATCH(RIGHT(D16,3)+0,#REF!,0))),NOT(ISERROR(MATCH(LEFT(D16,3)+0,#REF!,0)))),"No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1003" sId="4" ref="A16:XFD16" action="deleteRow">
    <undo index="0" exp="area" dr="H7:H16" r="H17" sId="4"/>
    <undo index="0" exp="area" dr="G7:G16" r="G17" sId="4"/>
    <rfmt sheetId="4" xfDxf="1" sqref="A16:XFD16" start="0" length="0">
      <dxf>
        <font>
          <b/>
          <sz val="15"/>
        </font>
        <alignment horizontal="center" readingOrder="0"/>
      </dxf>
    </rfmt>
    <rcc rId="0" sId="4" dxf="1">
      <nc r="A16">
        <v>20</v>
      </nc>
      <ndxf>
        <font>
          <b val="0"/>
          <sz val="14"/>
        </font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6" start="0" length="0">
      <dxf>
        <font>
          <b val="0"/>
          <sz val="14"/>
        </font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6" start="0" length="0">
      <dxf>
        <font>
          <b val="0"/>
          <sz val="14"/>
        </font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6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6" start="0" length="0">
      <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6" start="0" length="0">
      <dxf>
        <font>
          <b val="0"/>
          <sz val="14"/>
        </font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6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6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6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6" start="0" length="0">
      <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K16" start="0" length="0">
      <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dxf="1">
      <nc r="L16">
        <f>IF(OR(NOT(ISERROR(MATCH(RIGHT(D16,3)+0,#REF!,0))),NOT(ISERROR(MATCH(LEFT(D16,3)+0,#REF!,0)))),"No Post","")</f>
      </nc>
      <ndxf>
        <font>
          <sz val="12"/>
          <color auto="1"/>
        </font>
        <alignment horizontal="general" vertical="bottom" readingOrder="0"/>
      </ndxf>
    </rcc>
  </rr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D8:G8">
    <dxf>
      <fill>
        <patternFill>
          <bgColor rgb="FFFF0000"/>
        </patternFill>
      </fill>
    </dxf>
  </rfmt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4" sId="5">
    <nc r="C17" t="inlineStr">
      <is>
        <t>Dongyoung Lee</t>
      </is>
    </nc>
  </rcc>
  <rcc rId="1005" sId="5" numFmtId="19">
    <nc r="D17">
      <v>46150</v>
    </nc>
  </rcc>
  <rcc rId="1006" sId="5">
    <nc r="C18" t="inlineStr">
      <is>
        <t>Soohwan Kim</t>
      </is>
    </nc>
  </rcc>
  <rcc rId="1007" sId="5" numFmtId="19">
    <nc r="D18">
      <v>46148</v>
    </nc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B9:C9">
    <dxf>
      <fill>
        <patternFill>
          <bgColor theme="5" tint="0.59999389629810485"/>
        </patternFill>
      </fill>
    </dxf>
  </rfmt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C11">
    <dxf>
      <fill>
        <patternFill>
          <bgColor theme="5" tint="0.39997558519241921"/>
        </patternFill>
      </fill>
    </dxf>
  </rfmt>
  <rfmt sheetId="4" sqref="B11">
    <dxf>
      <fill>
        <patternFill>
          <bgColor theme="5" tint="0.39997558519241921"/>
        </patternFill>
      </fill>
    </dxf>
  </rfmt>
  <rfmt sheetId="4" sqref="B9:C9">
    <dxf>
      <fill>
        <patternFill>
          <bgColor theme="5" tint="0.39997558519241921"/>
        </patternFill>
      </fill>
    </dxf>
  </rfmt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C14">
    <dxf>
      <fill>
        <patternFill>
          <bgColor theme="5" tint="0.39997558519241921"/>
        </patternFill>
      </fill>
    </dxf>
  </rfmt>
  <rfmt sheetId="4" sqref="B14">
    <dxf>
      <fill>
        <patternFill>
          <bgColor theme="5" tint="0.39997558519241921"/>
        </patternFill>
      </fill>
    </dxf>
  </rfmt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C12">
    <dxf>
      <fill>
        <patternFill>
          <bgColor theme="5" tint="0.39997558519241921"/>
        </patternFill>
      </fill>
    </dxf>
  </rfmt>
  <rfmt sheetId="4" sqref="B12">
    <dxf>
      <fill>
        <patternFill>
          <bgColor theme="5" tint="0.39997558519241921"/>
        </patternFill>
      </fill>
    </dxf>
  </rfmt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8" sId="4">
    <nc r="L19">
      <v>60</v>
    </nc>
  </rcc>
  <rcc rId="1009" sId="4">
    <oc r="L12">
      <f>IF(OR(NOT(ISERROR(MATCH(RIGHT(D12,3)+0,#REF!,0))),NOT(ISERROR(MATCH(LEFT(D12,3)+0,#REF!,0)))),"No Post","")</f>
    </oc>
    <nc r="L12" t="inlineStr">
      <is>
        <t>Child charged at 33++</t>
      </is>
    </nc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L19" start="0" length="0">
    <dxf>
      <numFmt numFmtId="14" formatCode="0.00%"/>
    </dxf>
  </rfmt>
  <rcc rId="1010" sId="4">
    <oc r="L19">
      <v>60</v>
    </oc>
    <nc r="L19"/>
  </rcc>
  <rcv guid="{B3797D0B-1E44-402B-AD05-6509081B1712}" action="delete"/>
  <rdn rId="0" localSheetId="1" customView="1" name="Z_B3797D0B_1E44_402B_AD05_6509081B1712_.wvu.PrintArea" hidden="1" oldHidden="1">
    <formula>'1'!$A$1:$L$48</formula>
    <oldFormula>'1'!$A$1:$L$48</oldFormula>
  </rdn>
  <rdn rId="0" localSheetId="2" customView="1" name="Z_B3797D0B_1E44_402B_AD05_6509081B1712_.wvu.PrintArea" hidden="1" oldHidden="1">
    <formula>'2'!$A$1:$L$29</formula>
    <oldFormula>'2'!$A$1:$L$29</oldFormula>
  </rdn>
  <rdn rId="0" localSheetId="3" customView="1" name="Z_B3797D0B_1E44_402B_AD05_6509081B1712_.wvu.PrintArea" hidden="1" oldHidden="1">
    <formula>'3'!$A$1:$J$27</formula>
    <oldFormula>'3'!$A$1:$J$27</oldFormula>
  </rdn>
  <rdn rId="0" localSheetId="4" customView="1" name="Z_B3797D0B_1E44_402B_AD05_6509081B1712_.wvu.PrintArea" hidden="1" oldHidden="1">
    <formula>'4'!$A$1:$L$26</formula>
    <oldFormula>'4'!$A$1:$L$26</oldFormula>
  </rdn>
  <rdn rId="0" localSheetId="5" customView="1" name="Z_B3797D0B_1E44_402B_AD05_6509081B1712_.wvu.PrintArea" hidden="1" oldHidden="1">
    <formula>'5'!$A$1:$J$37</formula>
    <oldFormula>'5'!$A$1:$J$37</oldFormula>
  </rdn>
  <rdn rId="0" localSheetId="6" customView="1" name="Z_B3797D0B_1E44_402B_AD05_6509081B1712_.wvu.PrintArea" hidden="1" oldHidden="1">
    <formula>'6'!$A$1:$J$37</formula>
    <oldFormula>'6'!$A$1:$J$37</oldFormula>
  </rdn>
  <rdn rId="0" localSheetId="7" customView="1" name="Z_B3797D0B_1E44_402B_AD05_6509081B1712_.wvu.PrintArea" hidden="1" oldHidden="1">
    <formula>'7'!$A$1:$J$37</formula>
    <oldFormula>'7'!$A$1:$J$37</oldFormula>
  </rdn>
  <rdn rId="0" localSheetId="8" customView="1" name="Z_B3797D0B_1E44_402B_AD05_6509081B1712_.wvu.PrintArea" hidden="1" oldHidden="1">
    <formula>'8'!$A$1:$J$37</formula>
    <oldFormula>'8'!$A$1:$J$37</oldFormula>
  </rdn>
  <rdn rId="0" localSheetId="9" customView="1" name="Z_B3797D0B_1E44_402B_AD05_6509081B1712_.wvu.PrintArea" hidden="1" oldHidden="1">
    <formula>'9'!$A$1:$J$37</formula>
    <oldFormula>'9'!$A$1:$J$37</oldFormula>
  </rdn>
  <rdn rId="0" localSheetId="10" customView="1" name="Z_B3797D0B_1E44_402B_AD05_6509081B1712_.wvu.PrintArea" hidden="1" oldHidden="1">
    <formula>'10'!$A$1:$J$37</formula>
    <oldFormula>'10'!$A$1:$J$37</oldFormula>
  </rdn>
  <rdn rId="0" localSheetId="11" customView="1" name="Z_B3797D0B_1E44_402B_AD05_6509081B1712_.wvu.PrintArea" hidden="1" oldHidden="1">
    <formula>'11'!$A$1:$J$40</formula>
    <oldFormula>'11'!$A$1:$J$40</oldFormula>
  </rdn>
  <rdn rId="0" localSheetId="12" customView="1" name="Z_B3797D0B_1E44_402B_AD05_6509081B1712_.wvu.PrintArea" hidden="1" oldHidden="1">
    <formula>'12'!$A$1:$J$38</formula>
    <oldFormula>'12'!$A$1:$J$38</oldFormula>
  </rdn>
  <rdn rId="0" localSheetId="13" customView="1" name="Z_B3797D0B_1E44_402B_AD05_6509081B1712_.wvu.PrintArea" hidden="1" oldHidden="1">
    <formula>'13'!$A$1:$J$38</formula>
    <oldFormula>'13'!$A$1:$J$38</oldFormula>
  </rdn>
  <rdn rId="0" localSheetId="14" customView="1" name="Z_B3797D0B_1E44_402B_AD05_6509081B1712_.wvu.PrintArea" hidden="1" oldHidden="1">
    <formula>'14'!$A$1:$J$38</formula>
    <oldFormula>'14'!$A$1:$J$38</oldFormula>
  </rdn>
  <rdn rId="0" localSheetId="15" customView="1" name="Z_B3797D0B_1E44_402B_AD05_6509081B1712_.wvu.PrintArea" hidden="1" oldHidden="1">
    <formula>'15'!$A$1:$J$38</formula>
    <oldFormula>'15'!$A$1:$J$38</oldFormula>
  </rdn>
  <rdn rId="0" localSheetId="16" customView="1" name="Z_B3797D0B_1E44_402B_AD05_6509081B1712_.wvu.PrintArea" hidden="1" oldHidden="1">
    <formula>'16'!$A$1:$J$38</formula>
    <oldFormula>'16'!$A$1:$J$38</oldFormula>
  </rdn>
  <rdn rId="0" localSheetId="17" customView="1" name="Z_B3797D0B_1E44_402B_AD05_6509081B1712_.wvu.PrintArea" hidden="1" oldHidden="1">
    <formula>'17'!$A$1:$J$38</formula>
    <oldFormula>'17'!$A$1:$J$38</oldFormula>
  </rdn>
  <rdn rId="0" localSheetId="18" customView="1" name="Z_B3797D0B_1E44_402B_AD05_6509081B1712_.wvu.PrintArea" hidden="1" oldHidden="1">
    <formula>'18'!$A$1:$J$38</formula>
    <oldFormula>'18'!$A$1:$J$38</oldFormula>
  </rdn>
  <rdn rId="0" localSheetId="19" customView="1" name="Z_B3797D0B_1E44_402B_AD05_6509081B1712_.wvu.PrintArea" hidden="1" oldHidden="1">
    <formula>'19'!$A$1:$J$38</formula>
    <oldFormula>'19'!$A$1:$J$38</oldFormula>
  </rdn>
  <rdn rId="0" localSheetId="20" customView="1" name="Z_B3797D0B_1E44_402B_AD05_6509081B1712_.wvu.PrintArea" hidden="1" oldHidden="1">
    <formula>'20'!$A$1:$J$38</formula>
    <oldFormula>'20'!$A$1:$J$38</oldFormula>
  </rdn>
  <rdn rId="0" localSheetId="21" customView="1" name="Z_B3797D0B_1E44_402B_AD05_6509081B1712_.wvu.PrintArea" hidden="1" oldHidden="1">
    <formula>'21'!$A$1:$J$38</formula>
    <oldFormula>'21'!$A$1:$J$38</oldFormula>
  </rdn>
  <rdn rId="0" localSheetId="22" customView="1" name="Z_B3797D0B_1E44_402B_AD05_6509081B1712_.wvu.PrintArea" hidden="1" oldHidden="1">
    <formula>'22'!$A$1:$J$38</formula>
    <oldFormula>'22'!$A$1:$J$38</oldFormula>
  </rdn>
  <rdn rId="0" localSheetId="23" customView="1" name="Z_B3797D0B_1E44_402B_AD05_6509081B1712_.wvu.PrintArea" hidden="1" oldHidden="1">
    <formula>'23'!$A$1:$J$38</formula>
    <oldFormula>'23'!$A$1:$J$38</oldFormula>
  </rdn>
  <rdn rId="0" localSheetId="24" customView="1" name="Z_B3797D0B_1E44_402B_AD05_6509081B1712_.wvu.PrintArea" hidden="1" oldHidden="1">
    <formula>'24'!$A$1:$J$38</formula>
    <oldFormula>'24'!$A$1:$J$38</oldFormula>
  </rdn>
  <rdn rId="0" localSheetId="25" customView="1" name="Z_B3797D0B_1E44_402B_AD05_6509081B1712_.wvu.PrintArea" hidden="1" oldHidden="1">
    <formula>'25'!$A$1:$J$38</formula>
    <oldFormula>'25'!$A$1:$J$38</oldFormula>
  </rdn>
  <rdn rId="0" localSheetId="26" customView="1" name="Z_B3797D0B_1E44_402B_AD05_6509081B1712_.wvu.PrintArea" hidden="1" oldHidden="1">
    <formula>'26'!$A$1:$J$38</formula>
    <oldFormula>'26'!$A$1:$J$38</oldFormula>
  </rdn>
  <rdn rId="0" localSheetId="27" customView="1" name="Z_B3797D0B_1E44_402B_AD05_6509081B1712_.wvu.PrintArea" hidden="1" oldHidden="1">
    <formula>'27'!$A$1:$J$38</formula>
    <oldFormula>'27'!$A$1:$J$38</oldFormula>
  </rdn>
  <rdn rId="0" localSheetId="28" customView="1" name="Z_B3797D0B_1E44_402B_AD05_6509081B1712_.wvu.PrintArea" hidden="1" oldHidden="1">
    <formula>'28'!$A$1:$J$38</formula>
    <oldFormula>'28'!$A$1:$J$38</oldFormula>
  </rdn>
  <rdn rId="0" localSheetId="29" customView="1" name="Z_B3797D0B_1E44_402B_AD05_6509081B1712_.wvu.PrintArea" hidden="1" oldHidden="1">
    <formula>'29'!$A$1:$J$38</formula>
    <oldFormula>'29'!$A$1:$J$38</oldFormula>
  </rdn>
  <rdn rId="0" localSheetId="30" customView="1" name="Z_B3797D0B_1E44_402B_AD05_6509081B1712_.wvu.PrintArea" hidden="1" oldHidden="1">
    <formula>'30'!$A$1:$J$38</formula>
    <oldFormula>'30'!$A$1:$J$38</oldFormula>
  </rdn>
  <rdn rId="0" localSheetId="31" customView="1" name="Z_B3797D0B_1E44_402B_AD05_6509081B1712_.wvu.PrintArea" hidden="1" oldHidden="1">
    <formula>'31'!$A$1:$J$38</formula>
    <oldFormula>'31'!$A$1:$J$38</oldFormula>
  </rdn>
  <rcv guid="{B3797D0B-1E44-402B-AD05-6509081B1712}" action="add"/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2" sId="5">
    <oc r="E27">
      <f>SUM(E17:E26)</f>
    </oc>
    <nc r="E27">
      <f>SUM(E7:E26)</f>
    </nc>
  </rcc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3" sId="5">
    <nc r="B19">
      <v>885</v>
    </nc>
  </rcc>
  <rcc rId="1044" sId="5">
    <nc r="E19">
      <v>2</v>
    </nc>
  </rcc>
  <rcc rId="1045" sId="5">
    <nc r="I19" t="inlineStr">
      <is>
        <t>Raahil</t>
      </is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6" sId="5" odxf="1" dxf="1">
    <nc r="B20" t="inlineStr">
      <is>
        <t>626/888</t>
      </is>
    </nc>
    <odxf>
      <fill>
        <patternFill>
          <bgColor theme="0"/>
        </patternFill>
      </fill>
      <alignment vertical="center" readingOrder="0"/>
    </odxf>
    <ndxf>
      <fill>
        <patternFill>
          <bgColor rgb="FF92D050"/>
        </patternFill>
      </fill>
      <alignment vertical="top" readingOrder="0"/>
    </ndxf>
  </rcc>
  <rcc rId="1047" sId="5" odxf="1" dxf="1">
    <nc r="C20" t="inlineStr">
      <is>
        <t>Weidong Mei</t>
      </is>
    </nc>
    <odxf>
      <alignment horizontal="left" vertical="center" readingOrder="0"/>
    </odxf>
    <ndxf>
      <alignment horizontal="center" vertical="top" readingOrder="0"/>
    </ndxf>
  </rcc>
  <rcc rId="1048" sId="5" odxf="1" dxf="1" numFmtId="19">
    <nc r="D20">
      <v>46146</v>
    </nc>
    <odxf>
      <alignment vertical="center" readingOrder="0"/>
    </odxf>
    <ndxf>
      <alignment vertical="top" readingOrder="0"/>
    </ndxf>
  </rcc>
  <rcc rId="1049" sId="5" odxf="1" dxf="1">
    <nc r="E20">
      <v>2</v>
    </nc>
    <odxf>
      <alignment vertical="center" readingOrder="0"/>
    </odxf>
    <ndxf>
      <alignment vertical="top" readingOrder="0"/>
    </ndxf>
  </rcc>
  <rfmt sheetId="5" sqref="F20" start="0" length="0">
    <dxf>
      <alignment vertical="top" readingOrder="0"/>
    </dxf>
  </rfmt>
  <rfmt sheetId="5" sqref="G20" start="0" length="0">
    <dxf>
      <alignment vertical="top" readingOrder="0"/>
    </dxf>
  </rfmt>
  <rcc rId="1050" sId="5" odxf="1" dxf="1">
    <nc r="H20" t="inlineStr">
      <is>
        <t>ALLOCATION</t>
      </is>
    </nc>
    <odxf>
      <fill>
        <patternFill>
          <bgColor theme="0"/>
        </patternFill>
      </fill>
      <alignment horizontal="left" vertical="center" readingOrder="0"/>
    </odxf>
    <ndxf>
      <fill>
        <patternFill>
          <bgColor rgb="FF92D050"/>
        </patternFill>
      </fill>
      <alignment horizontal="center" vertical="top" readingOrder="0"/>
    </ndxf>
  </rcc>
  <rcc rId="1051" sId="5" odxf="1" dxf="1">
    <nc r="I20" t="inlineStr">
      <is>
        <t>Win/Maaji</t>
      </is>
    </nc>
    <odxf>
      <alignment horizontal="left" vertical="center" readingOrder="0"/>
    </odxf>
    <ndxf>
      <alignment horizontal="center" vertical="top" readingOrder="0"/>
    </ndxf>
  </rcc>
  <rcc rId="1052" sId="5" odxf="1" dxf="1">
    <nc r="B21" t="inlineStr">
      <is>
        <t>627/889</t>
      </is>
    </nc>
    <odxf>
      <fill>
        <patternFill>
          <bgColor theme="0"/>
        </patternFill>
      </fill>
      <alignment vertical="center" readingOrder="0"/>
    </odxf>
    <ndxf>
      <fill>
        <patternFill>
          <bgColor rgb="FF92D050"/>
        </patternFill>
      </fill>
      <alignment vertical="top" readingOrder="0"/>
    </ndxf>
  </rcc>
  <rcc rId="1053" sId="5" odxf="1" dxf="1">
    <nc r="C21" t="inlineStr">
      <is>
        <t>Mingxia Zhu</t>
      </is>
    </nc>
    <odxf>
      <alignment horizontal="left" vertical="center" readingOrder="0"/>
    </odxf>
    <ndxf>
      <alignment horizontal="center" vertical="top" readingOrder="0"/>
    </ndxf>
  </rcc>
  <rcc rId="1054" sId="5" odxf="1" dxf="1" numFmtId="19">
    <nc r="D21">
      <v>46146</v>
    </nc>
    <odxf>
      <alignment vertical="center" readingOrder="0"/>
    </odxf>
    <ndxf>
      <alignment vertical="top" readingOrder="0"/>
    </ndxf>
  </rcc>
  <rcc rId="1055" sId="5" odxf="1" dxf="1">
    <nc r="E21">
      <v>2</v>
    </nc>
    <odxf>
      <alignment vertical="center" readingOrder="0"/>
    </odxf>
    <ndxf>
      <alignment vertical="top" readingOrder="0"/>
    </ndxf>
  </rcc>
  <rfmt sheetId="5" sqref="F21" start="0" length="0">
    <dxf>
      <alignment vertical="top" readingOrder="0"/>
    </dxf>
  </rfmt>
  <rfmt sheetId="5" sqref="G21" start="0" length="0">
    <dxf>
      <alignment vertical="top" readingOrder="0"/>
    </dxf>
  </rfmt>
  <rcc rId="1056" sId="5" odxf="1" dxf="1">
    <nc r="H21" t="inlineStr">
      <is>
        <t>ALLOCATION</t>
      </is>
    </nc>
    <odxf>
      <fill>
        <patternFill>
          <bgColor theme="0"/>
        </patternFill>
      </fill>
      <alignment horizontal="left" vertical="center" readingOrder="0"/>
    </odxf>
    <ndxf>
      <fill>
        <patternFill>
          <bgColor rgb="FF92D050"/>
        </patternFill>
      </fill>
      <alignment horizontal="center" vertical="top" readingOrder="0"/>
    </ndxf>
  </rcc>
  <rcc rId="1057" sId="5" odxf="1" dxf="1">
    <nc r="I21" t="inlineStr">
      <is>
        <t>Win/Maaji</t>
      </is>
    </nc>
    <odxf>
      <alignment horizontal="left" vertical="center" readingOrder="0"/>
    </odxf>
    <ndxf>
      <alignment horizontal="center" vertical="top" readingOrder="0"/>
    </ndxf>
  </rcc>
  <rcc rId="1058" sId="5">
    <nc r="C23" t="inlineStr">
      <is>
        <t>BOOKING CLOSED</t>
      </is>
    </nc>
  </rcc>
  <rfmt sheetId="5" sqref="C23">
    <dxf>
      <fill>
        <patternFill>
          <bgColor rgb="FFFF0000"/>
        </patternFill>
      </fill>
    </dxf>
  </rfmt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9" sId="5">
    <nc r="C19" t="inlineStr">
      <is>
        <t>Kihoko Kawai</t>
      </is>
    </nc>
  </rcc>
  <rcc rId="1060" sId="5" numFmtId="19">
    <nc r="D19">
      <v>46150</v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7:I21">
    <dxf>
      <alignment vertical="center" readingOrder="0"/>
    </dxf>
  </rfmt>
  <rfmt sheetId="5" sqref="B7:I21">
    <dxf>
      <alignment horizontal="general" readingOrder="0"/>
    </dxf>
  </rfmt>
  <rfmt sheetId="5" sqref="B7:I21">
    <dxf>
      <alignment horizontal="center" readingOrder="0"/>
    </dxf>
  </rfmt>
  <rfmt sheetId="5" sqref="B7:I21" start="0" length="2147483647">
    <dxf>
      <font>
        <sz val="14"/>
      </font>
    </dxf>
  </rfmt>
  <rfmt sheetId="5" sqref="B7:I21" start="0" length="2147483647">
    <dxf>
      <font>
        <name val="Calibri"/>
        <scheme val="minor"/>
      </font>
    </dxf>
  </rfmt>
  <rfmt sheetId="5" sqref="B7:I21" start="0" length="2147483647">
    <dxf>
      <font>
        <b/>
      </font>
    </dxf>
  </rfmt>
  <rfmt sheetId="5" sqref="B7:I21" start="0" length="2147483647">
    <dxf>
      <font>
        <b val="0"/>
      </font>
    </dxf>
  </rfmt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1" sId="6">
    <nc r="B13">
      <v>621</v>
    </nc>
  </rcc>
  <rcc rId="1062" sId="6">
    <nc r="C13" t="inlineStr">
      <is>
        <t>Yufen Zhao</t>
      </is>
    </nc>
  </rcc>
  <rcc rId="1063" sId="6" numFmtId="19">
    <nc r="D13">
      <v>46148</v>
    </nc>
  </rcc>
  <rcc rId="1064" sId="6">
    <nc r="E13">
      <v>2</v>
    </nc>
  </rcc>
  <rcc rId="1065" sId="6">
    <nc r="I13" t="inlineStr">
      <is>
        <t>Win/Faiha</t>
      </is>
    </nc>
  </rcc>
  <rcc rId="1066" sId="6">
    <nc r="C12" t="inlineStr">
      <is>
        <t>Narimichi Mokutani</t>
      </is>
    </nc>
  </rcc>
  <rcc rId="1067" sId="6" numFmtId="19">
    <nc r="D12">
      <v>46149</v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8" sId="7">
    <nc r="B9">
      <v>666</v>
    </nc>
  </rcc>
  <rcc rId="1069" sId="7">
    <nc r="C9" t="inlineStr">
      <is>
        <t>Jinyong Nam</t>
      </is>
    </nc>
  </rcc>
  <rcc rId="1070" sId="7" numFmtId="19">
    <nc r="D9">
      <v>46148</v>
    </nc>
  </rcc>
  <rcc rId="1071" sId="7">
    <nc r="E9">
      <v>2</v>
    </nc>
  </rcc>
  <rcc rId="1072" sId="7">
    <nc r="I9" t="inlineStr">
      <is>
        <t>Win/Faiha</t>
      </is>
    </nc>
  </rcc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'5'!$A$1:$J$37</formula>
    <oldFormula>'5'!$A$1:$J$37</oldFormula>
  </rdn>
  <rdn rId="0" localSheetId="6" customView="1" name="Z_6222734F_EF03_4A42_A0AF_7421F8747AA6_.wvu.PrintArea" hidden="1" oldHidden="1">
    <formula>'6'!$A$1:$J$37</formula>
    <oldFormula>'6'!$A$1:$J$37</old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4" sId="5">
    <oc r="B7" t="inlineStr">
      <is>
        <t>Prebooking</t>
      </is>
    </oc>
    <nc r="B7">
      <v>689</v>
    </nc>
  </rcc>
  <rcc rId="1105" sId="7">
    <nc r="B10">
      <v>607</v>
    </nc>
  </rcc>
  <rcc rId="1106" sId="7">
    <nc r="E10">
      <v>2</v>
    </nc>
  </rcc>
  <rcc rId="1107" sId="7">
    <nc r="I10" t="inlineStr">
      <is>
        <t>Archana/Faiha</t>
      </is>
    </nc>
  </rcc>
  <rcc rId="1108" sId="7">
    <nc r="C10" t="inlineStr">
      <is>
        <t>Kevin Peters</t>
      </is>
    </nc>
  </rcc>
  <rcc rId="1109" sId="7" numFmtId="19">
    <nc r="D10">
      <v>46148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10" sId="6">
    <nc r="B14">
      <v>691</v>
    </nc>
  </rcc>
  <rcc rId="1111" sId="6">
    <nc r="C14" t="inlineStr">
      <is>
        <t>Xuzheng Wu</t>
      </is>
    </nc>
  </rcc>
  <rcc rId="1112" sId="6" numFmtId="19">
    <nc r="D14">
      <v>46148</v>
    </nc>
  </rcc>
  <rcc rId="1113" sId="6">
    <nc r="E14">
      <v>2</v>
    </nc>
  </rcc>
  <rcc rId="1114" sId="6">
    <nc r="I14" t="inlineStr">
      <is>
        <t>Faiha</t>
      </is>
    </nc>
  </rcc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'5'!$A$1:$J$37</formula>
    <oldFormula>'5'!$A$1:$J$37</oldFormula>
  </rdn>
  <rdn rId="0" localSheetId="6" customView="1" name="Z_6222734F_EF03_4A42_A0AF_7421F8747AA6_.wvu.PrintArea" hidden="1" oldHidden="1">
    <formula>'6'!$A$1:$J$37</formula>
    <oldFormula>'6'!$A$1:$J$37</old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6" sId="5">
    <nc r="B24" t="inlineStr">
      <is>
        <t>test</t>
      </is>
    </nc>
  </rcc>
  <rcc rId="1147" sId="5">
    <nc r="C24" t="inlineStr">
      <is>
        <t>test</t>
      </is>
    </nc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8" sId="5">
    <oc r="B24" t="inlineStr">
      <is>
        <t>test</t>
      </is>
    </oc>
    <nc r="B24"/>
  </rcc>
  <rcc rId="1149" sId="5">
    <oc r="C24" t="inlineStr">
      <is>
        <t>test</t>
      </is>
    </oc>
    <nc r="C24"/>
  </rcc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0" sId="5">
    <oc r="B8" t="inlineStr">
      <is>
        <t>Prebooking</t>
      </is>
    </oc>
    <nc r="B8">
      <v>319</v>
    </nc>
  </rcc>
  <rm rId="1151" sheetId="5" source="B14:I14" destination="B22:I22" sourceSheetId="5">
    <undo index="10" exp="ref" v="1" dr="B22" r="J22" sId="5"/>
    <undo index="0" exp="ref" v="1" dr="B22" r="J22" sId="5"/>
    <rfmt sheetId="5" sqref="B2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C2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D22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E2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F2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G2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H2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I2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1152" sId="5" odxf="1" dxf="1">
    <nc r="B14">
      <v>843</v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3" sId="5" odxf="1" dxf="1">
    <nc r="C14" t="inlineStr">
      <is>
        <t>CHEN,XINXIN .MS</t>
      </is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4" sId="5" odxf="1" dxf="1" numFmtId="19">
    <nc r="D14">
      <v>46149</v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5" sId="5" odxf="1" dxf="1">
    <nc r="E14">
      <v>2</v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F14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G14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56" sId="5" odxf="1" dxf="1">
    <nc r="H14" t="inlineStr">
      <is>
        <t xml:space="preserve">3322688, 3322690 </t>
      </is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7" sId="5" odxf="1" dxf="1">
    <nc r="I14" t="inlineStr">
      <is>
        <t>Monica/Faiha</t>
      </is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8" sId="5">
    <oc r="B9" t="inlineStr">
      <is>
        <t>Prebooking</t>
      </is>
    </oc>
    <nc r="B9">
      <v>857</v>
    </nc>
  </rcc>
  <rcc rId="1159" sId="5">
    <oc r="C9" t="inlineStr">
      <is>
        <t>CHEN,XINXIN .MS</t>
      </is>
    </oc>
    <nc r="C9" t="inlineStr">
      <is>
        <t xml:space="preserve">MR.LI/YANG  </t>
      </is>
    </nc>
  </rcc>
  <rcc rId="1160" sId="5">
    <oc r="H9" t="inlineStr">
      <is>
        <t xml:space="preserve">3322688, 3322690 </t>
      </is>
    </oc>
    <nc r="H9" t="inlineStr">
      <is>
        <t>3345176, 3345177</t>
      </is>
    </nc>
  </rcc>
  <rcc rId="1161" sId="5">
    <oc r="I9" t="inlineStr">
      <is>
        <t>Monica/Faiha</t>
      </is>
    </oc>
    <nc r="I9" t="inlineStr">
      <is>
        <t>Carl/Faiha</t>
      </is>
    </nc>
  </rcc>
  <rcc rId="1162" sId="5">
    <oc r="B10" t="inlineStr">
      <is>
        <t>Prebooking</t>
      </is>
    </oc>
    <nc r="B10">
      <v>885</v>
    </nc>
  </rcc>
  <rcc rId="1163" sId="5">
    <oc r="C10" t="inlineStr">
      <is>
        <t xml:space="preserve">MR.LI/YANG  </t>
      </is>
    </oc>
    <nc r="C10" t="inlineStr">
      <is>
        <t>Kihoko Kawai</t>
      </is>
    </nc>
  </rcc>
  <rcc rId="1164" sId="5" numFmtId="19">
    <oc r="D10">
      <v>46149</v>
    </oc>
    <nc r="D10">
      <v>46150</v>
    </nc>
  </rcc>
  <rcc rId="1165" sId="5">
    <oc r="H10" t="inlineStr">
      <is>
        <t>3345176, 3345177</t>
      </is>
    </oc>
    <nc r="H10"/>
  </rcc>
  <rcc rId="1166" sId="5">
    <oc r="I10" t="inlineStr">
      <is>
        <t>Carl/Faiha</t>
      </is>
    </oc>
    <nc r="I10" t="inlineStr">
      <is>
        <t>Raahil</t>
      </is>
    </nc>
  </rcc>
  <rcc rId="1167" sId="5">
    <oc r="B19">
      <v>885</v>
    </oc>
    <nc r="B19">
      <v>892</v>
    </nc>
  </rcc>
  <rcc rId="1168" sId="5">
    <oc r="C19" t="inlineStr">
      <is>
        <t>Kihoko Kawai</t>
      </is>
    </oc>
    <nc r="C19" t="inlineStr">
      <is>
        <t>Dongyoung Lee</t>
      </is>
    </nc>
  </rcc>
  <rcc rId="1169" sId="5">
    <oc r="I19" t="inlineStr">
      <is>
        <t>Raahil</t>
      </is>
    </oc>
    <nc r="I19" t="inlineStr">
      <is>
        <t>UV/Faiha</t>
      </is>
    </nc>
  </rcc>
  <rcc rId="1170" sId="5" odxf="1" dxf="1">
    <oc r="B17">
      <v>892</v>
    </oc>
    <nc r="B17" t="inlineStr">
      <is>
        <t>626/888</t>
      </is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1171" sId="5">
    <oc r="C17" t="inlineStr">
      <is>
        <t>Dongyoung Lee</t>
      </is>
    </oc>
    <nc r="C17" t="inlineStr">
      <is>
        <t>Weidong Mei</t>
      </is>
    </nc>
  </rcc>
  <rcc rId="1172" sId="5" numFmtId="19">
    <oc r="D17">
      <v>46150</v>
    </oc>
    <nc r="D17">
      <v>46146</v>
    </nc>
  </rcc>
  <rcc rId="1173" sId="5" odxf="1" dxf="1">
    <nc r="H17" t="inlineStr">
      <is>
        <t>ALLOCATION</t>
      </is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1174" sId="5">
    <oc r="I17" t="inlineStr">
      <is>
        <t>UV/Faiha</t>
      </is>
    </oc>
    <nc r="I17" t="inlineStr">
      <is>
        <t>Win/Maaji</t>
      </is>
    </nc>
  </rcc>
  <rcc rId="1175" sId="5">
    <oc r="B20" t="inlineStr">
      <is>
        <t>626/888</t>
      </is>
    </oc>
    <nc r="B20" t="inlineStr">
      <is>
        <t>627/889</t>
      </is>
    </nc>
  </rcc>
  <rcc rId="1176" sId="5">
    <oc r="C20" t="inlineStr">
      <is>
        <t>Weidong Mei</t>
      </is>
    </oc>
    <nc r="C20" t="inlineStr">
      <is>
        <t>Mingxia Zhu</t>
      </is>
    </nc>
  </rcc>
  <rcc rId="1177" sId="5" odxf="1" dxf="1">
    <oc r="B21" t="inlineStr">
      <is>
        <t>627/889</t>
      </is>
    </oc>
    <nc r="B21" t="inlineStr">
      <is>
        <t>Prebooking</t>
      </is>
    </nc>
    <odxf>
      <fill>
        <patternFill>
          <bgColor rgb="FF92D050"/>
        </patternFill>
      </fill>
    </odxf>
    <ndxf>
      <fill>
        <patternFill>
          <bgColor theme="0"/>
        </patternFill>
      </fill>
    </ndxf>
  </rcc>
  <rcc rId="1178" sId="5" odxf="1" dxf="1">
    <oc r="C21" t="inlineStr">
      <is>
        <t>Mingxia Zhu</t>
      </is>
    </oc>
    <nc r="C21" t="inlineStr">
      <is>
        <t xml:space="preserve">Mrs. Tinna Berg 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179" sId="5" numFmtId="19">
    <oc r="D21">
      <v>46146</v>
    </oc>
    <nc r="D21"/>
  </rcc>
  <rcc rId="1180" sId="5" odxf="1" dxf="1">
    <oc r="H21" t="inlineStr">
      <is>
        <t>ALLOCATION</t>
      </is>
    </oc>
    <nc r="H21" t="inlineStr">
      <is>
        <t>SALES ENT</t>
      </is>
    </nc>
    <odxf>
      <fill>
        <patternFill>
          <bgColor rgb="FF92D050"/>
        </patternFill>
      </fill>
    </odxf>
    <ndxf>
      <fill>
        <patternFill>
          <bgColor theme="0"/>
        </patternFill>
      </fill>
    </ndxf>
  </rcc>
  <rcc rId="1181" sId="5">
    <oc r="I21" t="inlineStr">
      <is>
        <t>Win/Maaji</t>
      </is>
    </oc>
    <nc r="I21" t="inlineStr">
      <is>
        <t>Sushmita/Tarush</t>
      </is>
    </nc>
  </rcc>
  <rcc rId="1182" sId="5">
    <oc r="B11" t="inlineStr">
      <is>
        <t>Prebooking</t>
      </is>
    </oc>
    <nc r="B11">
      <v>819</v>
    </nc>
  </rcc>
  <rcc rId="1183" sId="5" odxf="1" dxf="1">
    <oc r="C11" t="inlineStr">
      <is>
        <t xml:space="preserve">Mrs. Tinna Berg </t>
      </is>
    </oc>
    <nc r="C11" t="inlineStr">
      <is>
        <t>Emilio Pena Bonilla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1184" sId="5" numFmtId="19">
    <nc r="D11">
      <v>46149</v>
    </nc>
  </rcc>
  <rcc rId="1185" sId="5">
    <oc r="E11">
      <v>2</v>
    </oc>
    <nc r="E11" t="inlineStr">
      <is>
        <t>PP2</t>
      </is>
    </nc>
  </rcc>
  <rcc rId="1186" sId="5">
    <oc r="H11" t="inlineStr">
      <is>
        <t>SALES ENT</t>
      </is>
    </oc>
    <nc r="H11"/>
  </rcc>
  <rcc rId="1187" sId="5">
    <oc r="I11" t="inlineStr">
      <is>
        <t>Sushmita/Tarush</t>
      </is>
    </oc>
    <nc r="I11" t="inlineStr">
      <is>
        <t>Faiha</t>
      </is>
    </nc>
  </rcc>
  <rcc rId="1188" sId="5">
    <oc r="B22">
      <v>819</v>
    </oc>
    <nc r="B22"/>
  </rcc>
  <rcc rId="1189" sId="5">
    <oc r="C22" t="inlineStr">
      <is>
        <t>Emilio Pena Bonilla</t>
      </is>
    </oc>
    <nc r="C22"/>
  </rcc>
  <rcc rId="1190" sId="5" numFmtId="19">
    <oc r="D22">
      <v>46149</v>
    </oc>
    <nc r="D22"/>
  </rcc>
  <rcc rId="1191" sId="5">
    <oc r="E22" t="inlineStr">
      <is>
        <t>PP2</t>
      </is>
    </oc>
    <nc r="E22"/>
  </rcc>
  <rcc rId="1192" sId="5">
    <oc r="I22" t="inlineStr">
      <is>
        <t>Faiha</t>
      </is>
    </oc>
    <nc r="I22"/>
  </rcc>
  <rfmt sheetId="5" sqref="E21 B11">
    <dxf>
      <fill>
        <patternFill>
          <bgColor rgb="FFFF0000"/>
        </patternFill>
      </fill>
    </dxf>
  </rfmt>
  <rcc rId="1193" sId="5">
    <oc r="E27">
      <f>SUM(E7:E26)</f>
    </oc>
    <nc r="E27">
      <f>SUM(E7:E26)</f>
    </nc>
  </rcc>
  <rrc rId="1194" sId="5" ref="A24:XFD24" action="deleteRow">
    <rfmt sheetId="5" xfDxf="1" sqref="A24:XFD24" start="0" length="0">
      <dxf>
        <font>
          <sz val="14"/>
        </font>
        <alignment horizontal="center" readingOrder="0"/>
      </dxf>
    </rfmt>
    <rcc rId="0" sId="5" dxf="1">
      <nc r="A24">
        <v>18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5" sqref="B24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C24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D24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E24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F24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G24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H24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I24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5" dxf="1">
      <nc r="J24">
        <f>IF(OR(NOT(ISERROR(MATCH(RIGHT(B24,3)+0,#REF!,0))),NOT(ISERROR(MATCH(LEFT(B24,3)+0,#REF!,0)))),"No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1195" sId="5" ref="A24:XFD24" action="deleteRow">
    <rfmt sheetId="5" xfDxf="1" sqref="A24:XFD24" start="0" length="0">
      <dxf>
        <font>
          <sz val="14"/>
        </font>
        <alignment horizontal="center" readingOrder="0"/>
      </dxf>
    </rfmt>
    <rcc rId="0" sId="5" dxf="1">
      <nc r="A24">
        <v>19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5" sqref="B24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C24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D24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E24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F24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G24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H24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I24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5" dxf="1">
      <nc r="J24">
        <f>IF(OR(NOT(ISERROR(MATCH(RIGHT(B24,3)+0,#REF!,0))),NOT(ISERROR(MATCH(LEFT(B24,3)+0,#REF!,0)))),"No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1196" sId="5" ref="A24:XFD24" action="deleteRow">
    <undo index="0" exp="area" dr="F17:F24" r="F25" sId="5"/>
    <undo index="0" exp="area" dr="E7:E24" r="E25" sId="5"/>
    <rfmt sheetId="5" xfDxf="1" sqref="A24:XFD24" start="0" length="0">
      <dxf>
        <font>
          <b/>
          <sz val="15"/>
        </font>
        <alignment horizontal="center" readingOrder="0"/>
      </dxf>
    </rfmt>
    <rcc rId="0" sId="5" dxf="1">
      <nc r="A24">
        <v>20</v>
      </nc>
      <ndxf>
        <font>
          <b val="0"/>
          <sz val="14"/>
        </font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5" sqref="B24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C24" start="0" length="0">
      <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D24" start="0" length="0">
      <dxf>
        <font>
          <b val="0"/>
          <sz val="14"/>
        </font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E24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F24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G24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H24" start="0" length="0">
      <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I24" start="0" length="0">
      <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5" dxf="1">
      <nc r="J24">
        <f>IF(OR(NOT(ISERROR(MATCH(RIGHT(B24,3)+0,#REF!,0))),NOT(ISERROR(MATCH(LEFT(B24,3)+0,#REF!,0)))),"No Post","")</f>
      </nc>
      <ndxf>
        <font>
          <sz val="12"/>
          <color auto="1"/>
        </font>
        <alignment horizontal="general" vertical="bottom" readingOrder="0"/>
      </ndxf>
    </rcc>
  </rrc>
  <rfmt sheetId="5" sqref="A23:I23">
    <dxf>
      <fill>
        <patternFill>
          <bgColor rgb="FFFF0000"/>
        </patternFill>
      </fill>
    </dxf>
  </rfmt>
  <rfmt sheetId="5" sqref="A23:I23" start="0" length="2147483647">
    <dxf>
      <font/>
    </dxf>
  </rfmt>
  <rfmt sheetId="5" sqref="A23:I23" start="0" length="2147483647">
    <dxf>
      <font/>
    </dxf>
  </rfmt>
  <rfmt sheetId="5" sqref="A23" start="0" length="0">
    <dxf>
      <border>
        <left/>
      </border>
    </dxf>
  </rfmt>
  <rfmt sheetId="5" sqref="A23:I23" start="0" length="0">
    <dxf>
      <border>
        <top/>
      </border>
    </dxf>
  </rfmt>
  <rfmt sheetId="5" sqref="I23" start="0" length="0">
    <dxf>
      <border>
        <right/>
      </border>
    </dxf>
  </rfmt>
  <rfmt sheetId="5" sqref="A23:I23" start="0" length="0">
    <dxf>
      <border>
        <bottom/>
      </border>
    </dxf>
  </rfmt>
  <rfmt sheetId="5" sqref="A23:I23">
    <dxf>
      <border>
        <left/>
        <right/>
        <vertical/>
      </border>
    </dxf>
  </rfmt>
  <rfmt sheetId="5" sqref="A23" start="0" length="0">
    <dxf>
      <border>
        <left style="thin">
          <color indexed="64"/>
        </left>
      </border>
    </dxf>
  </rfmt>
  <rfmt sheetId="5" sqref="A23:I23" start="0" length="0">
    <dxf>
      <border>
        <top style="thin">
          <color indexed="64"/>
        </top>
      </border>
    </dxf>
  </rfmt>
  <rfmt sheetId="5" sqref="I23" start="0" length="0">
    <dxf>
      <border>
        <right style="thin">
          <color indexed="64"/>
        </right>
      </border>
    </dxf>
  </rfmt>
  <rfmt sheetId="5" sqref="A23:I23" start="0" length="0">
    <dxf>
      <border>
        <bottom style="thin">
          <color indexed="64"/>
        </bottom>
      </border>
    </dxf>
  </rfmt>
  <rfmt sheetId="5" sqref="A23:I23" start="0" length="2147483647">
    <dxf>
      <font>
        <b/>
      </font>
    </dxf>
  </rfmt>
  <rfmt sheetId="5" sqref="A23:I23" start="0" length="2147483647">
    <dxf>
      <font>
        <color theme="0"/>
      </font>
    </dxf>
  </rfmt>
  <rcc rId="1197" sId="5">
    <oc r="A23">
      <v>17</v>
    </oc>
    <nc r="A23"/>
  </rcc>
  <rcc rId="1198" sId="5">
    <oc r="C23" t="inlineStr">
      <is>
        <t>BOOKING CLOSED</t>
      </is>
    </oc>
    <nc r="C23"/>
  </rcc>
  <rcc rId="1199" sId="5">
    <nc r="D23" t="inlineStr">
      <is>
        <t>BOOKING CLOSED</t>
      </is>
    </nc>
  </rcc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'5'!$A$1:$J$34</formula>
    <oldFormula>'5'!$A$1:$J$34</oldFormula>
  </rdn>
  <rdn rId="0" localSheetId="6" customView="1" name="Z_6222734F_EF03_4A42_A0AF_7421F8747AA6_.wvu.PrintArea" hidden="1" oldHidden="1">
    <formula>'6'!$A$1:$J$37</formula>
    <oldFormula>'6'!$A$1:$J$37</old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B3797D0B-1E44-402B-AD05-6509081B1712}" action="delete"/>
  <rdn rId="0" localSheetId="1" customView="1" name="Z_B3797D0B_1E44_402B_AD05_6509081B1712_.wvu.PrintArea" hidden="1" oldHidden="1">
    <formula>'1'!$A$1:$L$48</formula>
    <oldFormula>'1'!$A$1:$L$48</oldFormula>
  </rdn>
  <rdn rId="0" localSheetId="2" customView="1" name="Z_B3797D0B_1E44_402B_AD05_6509081B1712_.wvu.PrintArea" hidden="1" oldHidden="1">
    <formula>'2'!$A$1:$L$29</formula>
    <oldFormula>'2'!$A$1:$L$29</oldFormula>
  </rdn>
  <rdn rId="0" localSheetId="3" customView="1" name="Z_B3797D0B_1E44_402B_AD05_6509081B1712_.wvu.PrintArea" hidden="1" oldHidden="1">
    <formula>'3'!$A$1:$J$27</formula>
    <oldFormula>'3'!$A$1:$J$27</oldFormula>
  </rdn>
  <rdn rId="0" localSheetId="4" customView="1" name="Z_B3797D0B_1E44_402B_AD05_6509081B1712_.wvu.PrintArea" hidden="1" oldHidden="1">
    <formula>'4'!$A$1:$L$26</formula>
    <oldFormula>'4'!$A$1:$L$26</oldFormula>
  </rdn>
  <rdn rId="0" localSheetId="5" customView="1" name="Z_B3797D0B_1E44_402B_AD05_6509081B1712_.wvu.PrintArea" hidden="1" oldHidden="1">
    <formula>'5'!$A$1:$J$34</formula>
    <oldFormula>'5'!$A$1:$J$34</oldFormula>
  </rdn>
  <rdn rId="0" localSheetId="6" customView="1" name="Z_B3797D0B_1E44_402B_AD05_6509081B1712_.wvu.PrintArea" hidden="1" oldHidden="1">
    <formula>'6'!$A$1:$J$37</formula>
    <oldFormula>'6'!$A$1:$J$37</oldFormula>
  </rdn>
  <rdn rId="0" localSheetId="7" customView="1" name="Z_B3797D0B_1E44_402B_AD05_6509081B1712_.wvu.PrintArea" hidden="1" oldHidden="1">
    <formula>'7'!$A$1:$J$37</formula>
    <oldFormula>'7'!$A$1:$J$37</oldFormula>
  </rdn>
  <rdn rId="0" localSheetId="8" customView="1" name="Z_B3797D0B_1E44_402B_AD05_6509081B1712_.wvu.PrintArea" hidden="1" oldHidden="1">
    <formula>'8'!$A$1:$J$37</formula>
    <oldFormula>'8'!$A$1:$J$37</oldFormula>
  </rdn>
  <rdn rId="0" localSheetId="9" customView="1" name="Z_B3797D0B_1E44_402B_AD05_6509081B1712_.wvu.PrintArea" hidden="1" oldHidden="1">
    <formula>'9'!$A$1:$J$37</formula>
    <oldFormula>'9'!$A$1:$J$37</oldFormula>
  </rdn>
  <rdn rId="0" localSheetId="10" customView="1" name="Z_B3797D0B_1E44_402B_AD05_6509081B1712_.wvu.PrintArea" hidden="1" oldHidden="1">
    <formula>'10'!$A$1:$J$37</formula>
    <oldFormula>'10'!$A$1:$J$37</oldFormula>
  </rdn>
  <rdn rId="0" localSheetId="11" customView="1" name="Z_B3797D0B_1E44_402B_AD05_6509081B1712_.wvu.PrintArea" hidden="1" oldHidden="1">
    <formula>'11'!$A$1:$J$40</formula>
    <oldFormula>'11'!$A$1:$J$40</oldFormula>
  </rdn>
  <rdn rId="0" localSheetId="12" customView="1" name="Z_B3797D0B_1E44_402B_AD05_6509081B1712_.wvu.PrintArea" hidden="1" oldHidden="1">
    <formula>'12'!$A$1:$J$38</formula>
    <oldFormula>'12'!$A$1:$J$38</oldFormula>
  </rdn>
  <rdn rId="0" localSheetId="13" customView="1" name="Z_B3797D0B_1E44_402B_AD05_6509081B1712_.wvu.PrintArea" hidden="1" oldHidden="1">
    <formula>'13'!$A$1:$J$38</formula>
    <oldFormula>'13'!$A$1:$J$38</oldFormula>
  </rdn>
  <rdn rId="0" localSheetId="14" customView="1" name="Z_B3797D0B_1E44_402B_AD05_6509081B1712_.wvu.PrintArea" hidden="1" oldHidden="1">
    <formula>'14'!$A$1:$J$38</formula>
    <oldFormula>'14'!$A$1:$J$38</oldFormula>
  </rdn>
  <rdn rId="0" localSheetId="15" customView="1" name="Z_B3797D0B_1E44_402B_AD05_6509081B1712_.wvu.PrintArea" hidden="1" oldHidden="1">
    <formula>'15'!$A$1:$J$38</formula>
    <oldFormula>'15'!$A$1:$J$38</oldFormula>
  </rdn>
  <rdn rId="0" localSheetId="16" customView="1" name="Z_B3797D0B_1E44_402B_AD05_6509081B1712_.wvu.PrintArea" hidden="1" oldHidden="1">
    <formula>'16'!$A$1:$J$38</formula>
    <oldFormula>'16'!$A$1:$J$38</oldFormula>
  </rdn>
  <rdn rId="0" localSheetId="17" customView="1" name="Z_B3797D0B_1E44_402B_AD05_6509081B1712_.wvu.PrintArea" hidden="1" oldHidden="1">
    <formula>'17'!$A$1:$J$38</formula>
    <oldFormula>'17'!$A$1:$J$38</oldFormula>
  </rdn>
  <rdn rId="0" localSheetId="18" customView="1" name="Z_B3797D0B_1E44_402B_AD05_6509081B1712_.wvu.PrintArea" hidden="1" oldHidden="1">
    <formula>'18'!$A$1:$J$38</formula>
    <oldFormula>'18'!$A$1:$J$38</oldFormula>
  </rdn>
  <rdn rId="0" localSheetId="19" customView="1" name="Z_B3797D0B_1E44_402B_AD05_6509081B1712_.wvu.PrintArea" hidden="1" oldHidden="1">
    <formula>'19'!$A$1:$J$38</formula>
    <oldFormula>'19'!$A$1:$J$38</oldFormula>
  </rdn>
  <rdn rId="0" localSheetId="20" customView="1" name="Z_B3797D0B_1E44_402B_AD05_6509081B1712_.wvu.PrintArea" hidden="1" oldHidden="1">
    <formula>'20'!$A$1:$J$38</formula>
    <oldFormula>'20'!$A$1:$J$38</oldFormula>
  </rdn>
  <rdn rId="0" localSheetId="21" customView="1" name="Z_B3797D0B_1E44_402B_AD05_6509081B1712_.wvu.PrintArea" hidden="1" oldHidden="1">
    <formula>'21'!$A$1:$J$38</formula>
    <oldFormula>'21'!$A$1:$J$38</oldFormula>
  </rdn>
  <rdn rId="0" localSheetId="22" customView="1" name="Z_B3797D0B_1E44_402B_AD05_6509081B1712_.wvu.PrintArea" hidden="1" oldHidden="1">
    <formula>'22'!$A$1:$J$38</formula>
    <oldFormula>'22'!$A$1:$J$38</oldFormula>
  </rdn>
  <rdn rId="0" localSheetId="23" customView="1" name="Z_B3797D0B_1E44_402B_AD05_6509081B1712_.wvu.PrintArea" hidden="1" oldHidden="1">
    <formula>'23'!$A$1:$J$38</formula>
    <oldFormula>'23'!$A$1:$J$38</oldFormula>
  </rdn>
  <rdn rId="0" localSheetId="24" customView="1" name="Z_B3797D0B_1E44_402B_AD05_6509081B1712_.wvu.PrintArea" hidden="1" oldHidden="1">
    <formula>'24'!$A$1:$J$38</formula>
    <oldFormula>'24'!$A$1:$J$38</oldFormula>
  </rdn>
  <rdn rId="0" localSheetId="25" customView="1" name="Z_B3797D0B_1E44_402B_AD05_6509081B1712_.wvu.PrintArea" hidden="1" oldHidden="1">
    <formula>'25'!$A$1:$J$38</formula>
    <oldFormula>'25'!$A$1:$J$38</oldFormula>
  </rdn>
  <rdn rId="0" localSheetId="26" customView="1" name="Z_B3797D0B_1E44_402B_AD05_6509081B1712_.wvu.PrintArea" hidden="1" oldHidden="1">
    <formula>'26'!$A$1:$J$38</formula>
    <oldFormula>'26'!$A$1:$J$38</oldFormula>
  </rdn>
  <rdn rId="0" localSheetId="27" customView="1" name="Z_B3797D0B_1E44_402B_AD05_6509081B1712_.wvu.PrintArea" hidden="1" oldHidden="1">
    <formula>'27'!$A$1:$J$38</formula>
    <oldFormula>'27'!$A$1:$J$38</oldFormula>
  </rdn>
  <rdn rId="0" localSheetId="28" customView="1" name="Z_B3797D0B_1E44_402B_AD05_6509081B1712_.wvu.PrintArea" hidden="1" oldHidden="1">
    <formula>'28'!$A$1:$J$38</formula>
    <oldFormula>'28'!$A$1:$J$38</oldFormula>
  </rdn>
  <rdn rId="0" localSheetId="29" customView="1" name="Z_B3797D0B_1E44_402B_AD05_6509081B1712_.wvu.PrintArea" hidden="1" oldHidden="1">
    <formula>'29'!$A$1:$J$38</formula>
    <oldFormula>'29'!$A$1:$J$38</oldFormula>
  </rdn>
  <rdn rId="0" localSheetId="30" customView="1" name="Z_B3797D0B_1E44_402B_AD05_6509081B1712_.wvu.PrintArea" hidden="1" oldHidden="1">
    <formula>'30'!$A$1:$J$38</formula>
    <oldFormula>'30'!$A$1:$J$38</oldFormula>
  </rdn>
  <rdn rId="0" localSheetId="31" customView="1" name="Z_B3797D0B_1E44_402B_AD05_6509081B1712_.wvu.PrintArea" hidden="1" oldHidden="1">
    <formula>'31'!$A$1:$J$38</formula>
    <oldFormula>'31'!$A$1:$J$38</oldFormula>
  </rdn>
  <rcv guid="{B3797D0B-1E44-402B-AD05-6509081B1712}" action="add"/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2" sId="5">
    <oc r="E21">
      <v>2</v>
    </oc>
    <nc r="E21" t="inlineStr">
      <is>
        <t>CXL 2</t>
      </is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21">
    <dxf>
      <fill>
        <patternFill>
          <bgColor rgb="FFFF0000"/>
        </patternFill>
      </fill>
    </dxf>
  </rfmt>
  <rfmt sheetId="5" sqref="E21">
    <dxf>
      <fill>
        <patternFill>
          <bgColor rgb="FFFF0000"/>
        </patternFill>
      </fill>
    </dxf>
  </rfmt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3" sId="19">
    <nc r="B9" t="inlineStr">
      <is>
        <t>Prebooking</t>
      </is>
    </nc>
  </rcc>
  <rfmt sheetId="19" sqref="C9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cc rId="1264" sId="19" xfDxf="1" dxf="1">
    <nc r="C9" t="inlineStr">
      <is>
        <t xml:space="preserve">NOH/GEONWOO MR  </t>
      </is>
    </nc>
    <ndxf>
      <font>
        <color rgb="FF4F3629"/>
        <name val="Arial"/>
        <scheme val="none"/>
      </font>
    </ndxf>
  </rcc>
  <rcc rId="1265" sId="19" numFmtId="19">
    <nc r="D9">
      <v>46164</v>
    </nc>
  </rcc>
  <rcc rId="1266" sId="19">
    <nc r="E9">
      <v>2</v>
    </nc>
  </rcc>
  <rcc rId="1267" sId="19" xfDxf="1" dxf="1">
    <nc r="H9" t="inlineStr">
      <is>
        <t>2778930/2778469</t>
      </is>
    </nc>
    <ndxf>
      <font>
        <sz val="14"/>
      </font>
      <fill>
        <patternFill patternType="solid">
          <bgColor theme="0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8" sId="19">
    <nc r="I9" t="inlineStr">
      <is>
        <t>Shamrath/Faiha</t>
      </is>
    </nc>
  </rcc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9" sId="5">
    <nc r="H15" t="inlineStr">
      <is>
        <t>PAI</t>
      </is>
    </nc>
  </rcc>
  <rcc rId="1270" sId="5">
    <nc r="H18" t="inlineStr">
      <is>
        <t>ITA(NP)</t>
      </is>
    </nc>
  </rcc>
  <rcc rId="1271" sId="5">
    <oc r="J18">
      <f>IF(OR(NOT(ISERROR(MATCH(RIGHT(B11,3)+0,#REF!,0))),NOT(ISERROR(MATCH(LEFT(B11,3)+0,#REF!,0)))),"No Post","")</f>
    </oc>
    <nc r="J18" t="inlineStr">
      <is>
        <t>NO POST</t>
      </is>
    </nc>
  </rcc>
  <rcc rId="1272" sId="5">
    <oc r="B16">
      <v>685</v>
    </oc>
    <nc r="B16" t="inlineStr">
      <is>
        <t>685/868</t>
      </is>
    </nc>
  </rcc>
  <rcc rId="1273" sId="5">
    <nc r="H16" t="inlineStr">
      <is>
        <t>ALLOCATION</t>
      </is>
    </nc>
  </rcc>
  <rcc rId="1274" sId="5">
    <oc r="H7" t="inlineStr">
      <is>
        <r>
          <t>3203702,</t>
        </r>
        <r>
          <rPr>
            <sz val="14"/>
            <color rgb="FF000000"/>
            <rFont val="Calibri"/>
            <family val="2"/>
          </rPr>
          <t xml:space="preserve"> </t>
        </r>
        <r>
          <rPr>
            <sz val="14"/>
            <color rgb="FF4F3629"/>
            <rFont val="Calibri"/>
            <family val="2"/>
          </rPr>
          <t>3203703-TRMD</t>
        </r>
      </is>
    </oc>
    <nc r="H7" t="inlineStr">
      <is>
        <t>ALLOCATION</t>
      </is>
    </nc>
  </rcc>
  <rcc rId="1275" sId="5">
    <oc r="H14" t="inlineStr">
      <is>
        <t xml:space="preserve">3322688, 3322690 </t>
      </is>
    </oc>
    <nc r="H14" t="inlineStr">
      <is>
        <t>ALLOCATION</t>
      </is>
    </nc>
  </rcc>
  <rcc rId="1276" sId="5">
    <oc r="H9" t="inlineStr">
      <is>
        <t>3345176, 3345177</t>
      </is>
    </oc>
    <nc r="H9" t="inlineStr">
      <is>
        <t>ALLOCATION</t>
      </is>
    </nc>
  </rcc>
  <rcc rId="1277" sId="5">
    <nc r="H10" t="inlineStr">
      <is>
        <t>ALLOCATION</t>
      </is>
    </nc>
  </rcc>
  <rcc rId="1278" sId="5">
    <nc r="H19" t="inlineStr">
      <is>
        <t>ITA(NP)</t>
      </is>
    </nc>
  </rcc>
  <rcc rId="1279" sId="5">
    <oc r="J19">
      <f>IF(OR(NOT(ISERROR(MATCH(RIGHT(B17,3)+0,#REF!,0))),NOT(ISERROR(MATCH(LEFT(B17,3)+0,#REF!,0)))),"No Post","")</f>
    </oc>
    <nc r="J19" t="inlineStr">
      <is>
        <t>NO POST</t>
      </is>
    </nc>
  </rcc>
  <rfmt sheetId="5" sqref="H19 B16">
    <dxf>
      <fill>
        <patternFill>
          <bgColor rgb="FF92D050"/>
        </patternFill>
      </fill>
    </dxf>
  </rfmt>
  <rfmt sheetId="5" sqref="B11 H11 B19 H19">
    <dxf>
      <fill>
        <patternFill>
          <bgColor rgb="FFFF66CC"/>
        </patternFill>
      </fill>
    </dxf>
  </rfmt>
  <rfmt sheetId="5" sqref="B10 H15">
    <dxf>
      <fill>
        <patternFill>
          <bgColor rgb="FF00B0F0"/>
        </patternFill>
      </fill>
    </dxf>
  </rfmt>
  <rfmt sheetId="5" sqref="B12:B15 H7 H14 H9 H10">
    <dxf>
      <fill>
        <patternFill>
          <bgColor rgb="FF92D050"/>
        </patternFill>
      </fill>
    </dxf>
  </rfmt>
  <rcc rId="1280" sId="5">
    <oc r="B13">
      <v>214</v>
    </oc>
    <nc r="B13" t="inlineStr">
      <is>
        <t>214/301</t>
      </is>
    </nc>
  </rcc>
  <rcc rId="1281" sId="5">
    <nc r="H13" t="inlineStr">
      <is>
        <t>ALLOCATION</t>
      </is>
    </nc>
  </rcc>
  <rcc rId="1282" sId="5">
    <nc r="H12" t="inlineStr">
      <is>
        <t>SAI</t>
      </is>
    </nc>
  </rcc>
  <rcc rId="1283" sId="5">
    <oc r="J12">
      <f>IF(OR(NOT(ISERROR(MATCH(RIGHT(B8,3)+0,#REF!,0))),NOT(ISERROR(MATCH(LEFT(B8,3)+0,#REF!,0)))),"No Post","")</f>
    </oc>
    <nc r="J12" t="inlineStr">
      <is>
        <t>NO POST</t>
      </is>
    </nc>
  </rcc>
  <rcc rId="1284" sId="5">
    <oc r="E8">
      <v>2</v>
    </oc>
    <nc r="E8">
      <v>1</v>
    </nc>
  </rcc>
  <rcc rId="1285" sId="5">
    <oc r="H8" t="inlineStr">
      <is>
        <t>26240404 (TRML)</t>
      </is>
    </oc>
    <nc r="H8" t="inlineStr">
      <is>
        <t>ALLOCATION</t>
      </is>
    </nc>
  </rcc>
  <rfmt sheetId="5" sqref="B9 B7 H13 H8">
    <dxf>
      <fill>
        <patternFill>
          <bgColor rgb="FF92D050"/>
        </patternFill>
      </fill>
    </dxf>
  </rfmt>
  <rfmt sheetId="5" sqref="H8 B12">
    <dxf>
      <fill>
        <patternFill>
          <bgColor rgb="FFFFFF00"/>
        </patternFill>
      </fill>
    </dxf>
  </rfmt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'5'!$A$1:$J$34</formula>
    <oldFormula>'5'!$A$1:$J$34</oldFormula>
  </rdn>
  <rdn rId="0" localSheetId="6" customView="1" name="Z_6222734F_EF03_4A42_A0AF_7421F8747AA6_.wvu.PrintArea" hidden="1" oldHidden="1">
    <formula>'6'!$A$1:$J$37</formula>
    <oldFormula>'6'!$A$1:$J$37</old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17" sId="5" ref="B1:B1048576" action="insertCol"/>
  <rrc rId="1318" sId="5" ref="B1:B1048576" action="insertCol"/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B3797D0B-1E44-402B-AD05-6509081B1712}" action="delete"/>
  <rdn rId="0" localSheetId="1" customView="1" name="Z_B3797D0B_1E44_402B_AD05_6509081B1712_.wvu.PrintArea" hidden="1" oldHidden="1">
    <formula>'1'!$A$1:$L$48</formula>
    <oldFormula>'1'!$A$1:$L$48</oldFormula>
  </rdn>
  <rdn rId="0" localSheetId="2" customView="1" name="Z_B3797D0B_1E44_402B_AD05_6509081B1712_.wvu.PrintArea" hidden="1" oldHidden="1">
    <formula>'2'!$A$1:$L$29</formula>
    <oldFormula>'2'!$A$1:$L$29</oldFormula>
  </rdn>
  <rdn rId="0" localSheetId="3" customView="1" name="Z_B3797D0B_1E44_402B_AD05_6509081B1712_.wvu.PrintArea" hidden="1" oldHidden="1">
    <formula>'3'!$A$1:$J$27</formula>
    <oldFormula>'3'!$A$1:$J$27</oldFormula>
  </rdn>
  <rdn rId="0" localSheetId="4" customView="1" name="Z_B3797D0B_1E44_402B_AD05_6509081B1712_.wvu.PrintArea" hidden="1" oldHidden="1">
    <formula>'4'!$A$1:$L$26</formula>
    <oldFormula>'4'!$A$1:$L$26</oldFormula>
  </rdn>
  <rdn rId="0" localSheetId="5" customView="1" name="Z_B3797D0B_1E44_402B_AD05_6509081B1712_.wvu.PrintArea" hidden="1" oldHidden="1">
    <formula>'5'!$A$1:$L$34</formula>
    <oldFormula>'5'!$A$1:$L$34</oldFormula>
  </rdn>
  <rdn rId="0" localSheetId="6" customView="1" name="Z_B3797D0B_1E44_402B_AD05_6509081B1712_.wvu.PrintArea" hidden="1" oldHidden="1">
    <formula>'6'!$A$1:$J$37</formula>
    <oldFormula>'6'!$A$1:$J$37</oldFormula>
  </rdn>
  <rdn rId="0" localSheetId="7" customView="1" name="Z_B3797D0B_1E44_402B_AD05_6509081B1712_.wvu.PrintArea" hidden="1" oldHidden="1">
    <formula>'7'!$A$1:$J$37</formula>
    <oldFormula>'7'!$A$1:$J$37</oldFormula>
  </rdn>
  <rdn rId="0" localSheetId="8" customView="1" name="Z_B3797D0B_1E44_402B_AD05_6509081B1712_.wvu.PrintArea" hidden="1" oldHidden="1">
    <formula>'8'!$A$1:$J$37</formula>
    <oldFormula>'8'!$A$1:$J$37</oldFormula>
  </rdn>
  <rdn rId="0" localSheetId="9" customView="1" name="Z_B3797D0B_1E44_402B_AD05_6509081B1712_.wvu.PrintArea" hidden="1" oldHidden="1">
    <formula>'9'!$A$1:$J$37</formula>
    <oldFormula>'9'!$A$1:$J$37</oldFormula>
  </rdn>
  <rdn rId="0" localSheetId="10" customView="1" name="Z_B3797D0B_1E44_402B_AD05_6509081B1712_.wvu.PrintArea" hidden="1" oldHidden="1">
    <formula>'10'!$A$1:$J$37</formula>
    <oldFormula>'10'!$A$1:$J$37</oldFormula>
  </rdn>
  <rdn rId="0" localSheetId="11" customView="1" name="Z_B3797D0B_1E44_402B_AD05_6509081B1712_.wvu.PrintArea" hidden="1" oldHidden="1">
    <formula>'11'!$A$1:$J$40</formula>
    <oldFormula>'11'!$A$1:$J$40</oldFormula>
  </rdn>
  <rdn rId="0" localSheetId="12" customView="1" name="Z_B3797D0B_1E44_402B_AD05_6509081B1712_.wvu.PrintArea" hidden="1" oldHidden="1">
    <formula>'12'!$A$1:$J$38</formula>
    <oldFormula>'12'!$A$1:$J$38</oldFormula>
  </rdn>
  <rdn rId="0" localSheetId="13" customView="1" name="Z_B3797D0B_1E44_402B_AD05_6509081B1712_.wvu.PrintArea" hidden="1" oldHidden="1">
    <formula>'13'!$A$1:$J$38</formula>
    <oldFormula>'13'!$A$1:$J$38</oldFormula>
  </rdn>
  <rdn rId="0" localSheetId="14" customView="1" name="Z_B3797D0B_1E44_402B_AD05_6509081B1712_.wvu.PrintArea" hidden="1" oldHidden="1">
    <formula>'14'!$A$1:$J$38</formula>
    <oldFormula>'14'!$A$1:$J$38</oldFormula>
  </rdn>
  <rdn rId="0" localSheetId="15" customView="1" name="Z_B3797D0B_1E44_402B_AD05_6509081B1712_.wvu.PrintArea" hidden="1" oldHidden="1">
    <formula>'15'!$A$1:$J$38</formula>
    <oldFormula>'15'!$A$1:$J$38</oldFormula>
  </rdn>
  <rdn rId="0" localSheetId="16" customView="1" name="Z_B3797D0B_1E44_402B_AD05_6509081B1712_.wvu.PrintArea" hidden="1" oldHidden="1">
    <formula>'16'!$A$1:$J$38</formula>
    <oldFormula>'16'!$A$1:$J$38</oldFormula>
  </rdn>
  <rdn rId="0" localSheetId="17" customView="1" name="Z_B3797D0B_1E44_402B_AD05_6509081B1712_.wvu.PrintArea" hidden="1" oldHidden="1">
    <formula>'17'!$A$1:$J$38</formula>
    <oldFormula>'17'!$A$1:$J$38</oldFormula>
  </rdn>
  <rdn rId="0" localSheetId="18" customView="1" name="Z_B3797D0B_1E44_402B_AD05_6509081B1712_.wvu.PrintArea" hidden="1" oldHidden="1">
    <formula>'18'!$A$1:$J$38</formula>
    <oldFormula>'18'!$A$1:$J$38</oldFormula>
  </rdn>
  <rdn rId="0" localSheetId="19" customView="1" name="Z_B3797D0B_1E44_402B_AD05_6509081B1712_.wvu.PrintArea" hidden="1" oldHidden="1">
    <formula>'19'!$A$1:$J$38</formula>
    <oldFormula>'19'!$A$1:$J$38</oldFormula>
  </rdn>
  <rdn rId="0" localSheetId="20" customView="1" name="Z_B3797D0B_1E44_402B_AD05_6509081B1712_.wvu.PrintArea" hidden="1" oldHidden="1">
    <formula>'20'!$A$1:$J$38</formula>
    <oldFormula>'20'!$A$1:$J$38</oldFormula>
  </rdn>
  <rdn rId="0" localSheetId="21" customView="1" name="Z_B3797D0B_1E44_402B_AD05_6509081B1712_.wvu.PrintArea" hidden="1" oldHidden="1">
    <formula>'21'!$A$1:$J$38</formula>
    <oldFormula>'21'!$A$1:$J$38</oldFormula>
  </rdn>
  <rdn rId="0" localSheetId="22" customView="1" name="Z_B3797D0B_1E44_402B_AD05_6509081B1712_.wvu.PrintArea" hidden="1" oldHidden="1">
    <formula>'22'!$A$1:$J$38</formula>
    <oldFormula>'22'!$A$1:$J$38</oldFormula>
  </rdn>
  <rdn rId="0" localSheetId="23" customView="1" name="Z_B3797D0B_1E44_402B_AD05_6509081B1712_.wvu.PrintArea" hidden="1" oldHidden="1">
    <formula>'23'!$A$1:$J$38</formula>
    <oldFormula>'23'!$A$1:$J$38</oldFormula>
  </rdn>
  <rdn rId="0" localSheetId="24" customView="1" name="Z_B3797D0B_1E44_402B_AD05_6509081B1712_.wvu.PrintArea" hidden="1" oldHidden="1">
    <formula>'24'!$A$1:$J$38</formula>
    <oldFormula>'24'!$A$1:$J$38</oldFormula>
  </rdn>
  <rdn rId="0" localSheetId="25" customView="1" name="Z_B3797D0B_1E44_402B_AD05_6509081B1712_.wvu.PrintArea" hidden="1" oldHidden="1">
    <formula>'25'!$A$1:$J$38</formula>
    <oldFormula>'25'!$A$1:$J$38</oldFormula>
  </rdn>
  <rdn rId="0" localSheetId="26" customView="1" name="Z_B3797D0B_1E44_402B_AD05_6509081B1712_.wvu.PrintArea" hidden="1" oldHidden="1">
    <formula>'26'!$A$1:$J$38</formula>
    <oldFormula>'26'!$A$1:$J$38</oldFormula>
  </rdn>
  <rdn rId="0" localSheetId="27" customView="1" name="Z_B3797D0B_1E44_402B_AD05_6509081B1712_.wvu.PrintArea" hidden="1" oldHidden="1">
    <formula>'27'!$A$1:$J$38</formula>
    <oldFormula>'27'!$A$1:$J$38</oldFormula>
  </rdn>
  <rdn rId="0" localSheetId="28" customView="1" name="Z_B3797D0B_1E44_402B_AD05_6509081B1712_.wvu.PrintArea" hidden="1" oldHidden="1">
    <formula>'28'!$A$1:$J$38</formula>
    <oldFormula>'28'!$A$1:$J$38</oldFormula>
  </rdn>
  <rdn rId="0" localSheetId="29" customView="1" name="Z_B3797D0B_1E44_402B_AD05_6509081B1712_.wvu.PrintArea" hidden="1" oldHidden="1">
    <formula>'29'!$A$1:$J$38</formula>
    <oldFormula>'29'!$A$1:$J$38</oldFormula>
  </rdn>
  <rdn rId="0" localSheetId="30" customView="1" name="Z_B3797D0B_1E44_402B_AD05_6509081B1712_.wvu.PrintArea" hidden="1" oldHidden="1">
    <formula>'30'!$A$1:$J$38</formula>
    <oldFormula>'30'!$A$1:$J$38</oldFormula>
  </rdn>
  <rdn rId="0" localSheetId="31" customView="1" name="Z_B3797D0B_1E44_402B_AD05_6509081B1712_.wvu.PrintArea" hidden="1" oldHidden="1">
    <formula>'31'!$A$1:$J$38</formula>
    <oldFormula>'31'!$A$1:$J$38</oldFormula>
  </rdn>
  <rcv guid="{B3797D0B-1E44-402B-AD05-6509081B1712}" action="add"/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0" sId="6">
    <nc r="B15">
      <v>329</v>
    </nc>
  </rcc>
  <rcc rId="1351" sId="6">
    <nc r="E15">
      <v>2</v>
    </nc>
  </rcc>
  <rcc rId="1352" sId="6">
    <nc r="I15" t="inlineStr">
      <is>
        <t>uv/Faiha</t>
      </is>
    </nc>
  </rcc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'6'!$A$1:$J$37</formula>
    <oldFormula>'6'!$A$1:$J$37</old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4" sId="5">
    <oc r="G9">
      <v>2</v>
    </oc>
    <nc r="G9" t="inlineStr">
      <is>
        <t>PP2</t>
      </is>
    </nc>
  </rcc>
  <rfmt sheetId="5" sqref="C9">
    <dxf>
      <fill>
        <patternFill>
          <bgColor rgb="FF92D050"/>
        </patternFill>
      </fill>
    </dxf>
  </rfmt>
  <rfmt sheetId="5" sqref="C9">
    <dxf>
      <fill>
        <patternFill>
          <bgColor theme="9" tint="-0.499984740745262"/>
        </patternFill>
      </fill>
    </dxf>
  </rfmt>
  <rfmt sheetId="5" sqref="C12">
    <dxf>
      <fill>
        <patternFill>
          <bgColor theme="9" tint="-0.499984740745262"/>
        </patternFill>
      </fill>
    </dxf>
  </rfmt>
  <rcc rId="1385" sId="6" odxf="1" dxf="1">
    <nc r="B16">
      <v>302</v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1386" sId="6" odxf="1" dxf="1">
    <nc r="C16" t="inlineStr">
      <is>
        <t>Jonathon Cavanagh</t>
      </is>
    </nc>
    <odxf>
      <alignment vertical="top" readingOrder="0"/>
    </odxf>
    <ndxf>
      <alignment vertical="center" readingOrder="0"/>
    </ndxf>
  </rcc>
  <rcc rId="1387" sId="6" odxf="1" dxf="1" numFmtId="19">
    <nc r="D16">
      <v>46152</v>
    </nc>
    <odxf>
      <alignment vertical="top" readingOrder="0"/>
    </odxf>
    <ndxf>
      <alignment vertical="center" readingOrder="0"/>
    </ndxf>
  </rcc>
  <rcc rId="1388" sId="6" odxf="1" dxf="1">
    <nc r="E16">
      <v>2</v>
    </nc>
    <odxf>
      <alignment vertical="top" readingOrder="0"/>
    </odxf>
    <ndxf>
      <alignment vertical="center" readingOrder="0"/>
    </ndxf>
  </rcc>
  <rfmt sheetId="6" sqref="F16" start="0" length="0">
    <dxf>
      <alignment vertical="center" readingOrder="0"/>
    </dxf>
  </rfmt>
  <rfmt sheetId="6" sqref="G16" start="0" length="0">
    <dxf>
      <alignment vertical="center" readingOrder="0"/>
    </dxf>
  </rfmt>
  <rcc rId="1389" sId="6" odxf="1" dxf="1">
    <nc r="H16" t="inlineStr">
      <is>
        <t>SAI</t>
      </is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1390" sId="6" odxf="1" dxf="1">
    <nc r="I16" t="inlineStr">
      <is>
        <t>UV/Faiha</t>
      </is>
    </nc>
    <odxf>
      <alignment vertical="top" readingOrder="0"/>
    </odxf>
    <ndxf>
      <alignment vertical="center" readingOrder="0"/>
    </ndxf>
  </rcc>
  <rcc rId="1391" sId="6" odxf="1" dxf="1">
    <nc r="B17">
      <v>857</v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1392" sId="6" odxf="1" dxf="1">
    <nc r="C17" t="inlineStr">
      <is>
        <t xml:space="preserve">MR.LI/YANG  </t>
      </is>
    </nc>
    <odxf>
      <alignment horizontal="left" readingOrder="0"/>
    </odxf>
    <ndxf>
      <alignment horizontal="center" readingOrder="0"/>
    </ndxf>
  </rcc>
  <rcc rId="1393" sId="6" numFmtId="19">
    <nc r="D17">
      <v>46149</v>
    </nc>
  </rcc>
  <rcc rId="1394" sId="6">
    <nc r="E17" t="inlineStr">
      <is>
        <t>PP2</t>
      </is>
    </nc>
  </rcc>
  <rcc rId="1395" sId="6" odxf="1" dxf="1">
    <nc r="H17" t="inlineStr">
      <is>
        <t>ALLOCATION</t>
      </is>
    </nc>
    <odxf>
      <fill>
        <patternFill>
          <bgColor theme="0"/>
        </patternFill>
      </fill>
      <alignment horizontal="left" readingOrder="0"/>
    </odxf>
    <ndxf>
      <fill>
        <patternFill>
          <bgColor rgb="FF92D050"/>
        </patternFill>
      </fill>
      <alignment horizontal="center" readingOrder="0"/>
    </ndxf>
  </rcc>
  <rcc rId="1396" sId="6" odxf="1" dxf="1">
    <nc r="I17" t="inlineStr">
      <is>
        <t>Carl/Faiha</t>
      </is>
    </nc>
    <odxf>
      <alignment horizontal="left" readingOrder="0"/>
    </odxf>
    <ndxf>
      <alignment horizontal="center" readingOrder="0"/>
    </ndxf>
  </rcc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'6'!$A$1:$J$37</formula>
    <oldFormula>'6'!$A$1:$J$37</old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C8">
    <dxf>
      <fill>
        <patternFill>
          <bgColor theme="9" tint="-0.499984740745262"/>
        </patternFill>
      </fill>
    </dxf>
  </rfmt>
  <rfmt sheetId="5" sqref="C15">
    <dxf>
      <fill>
        <patternFill>
          <bgColor rgb="FFFF0000"/>
        </patternFill>
      </fill>
    </dxf>
  </rfmt>
  <rfmt sheetId="5" sqref="C18">
    <dxf>
      <fill>
        <patternFill>
          <bgColor theme="9" tint="-0.499984740745262"/>
        </patternFill>
      </fill>
    </dxf>
  </rfmt>
  <rcc rId="1428" sId="6" odxf="1" dxf="1">
    <nc r="B18">
      <v>668</v>
    </nc>
    <odxf>
      <fill>
        <patternFill>
          <bgColor theme="0"/>
        </patternFill>
      </fill>
    </odxf>
    <ndxf>
      <fill>
        <patternFill>
          <bgColor rgb="FFFF66CC"/>
        </patternFill>
      </fill>
    </ndxf>
  </rcc>
  <rcc rId="1429" sId="6" odxf="1" dxf="1">
    <nc r="C18" t="inlineStr">
      <is>
        <t>Soohwan Kim</t>
      </is>
    </nc>
    <odxf>
      <alignment horizontal="left" readingOrder="0"/>
    </odxf>
    <ndxf>
      <alignment horizontal="center" readingOrder="0"/>
    </ndxf>
  </rcc>
  <rcc rId="1430" sId="6" numFmtId="19">
    <nc r="D18">
      <v>46148</v>
    </nc>
  </rcc>
  <rcc rId="1431" sId="6">
    <nc r="E18">
      <v>2</v>
    </nc>
  </rcc>
  <rcc rId="1432" sId="6" odxf="1" dxf="1">
    <nc r="H18" t="inlineStr">
      <is>
        <t>ITA(NP)</t>
      </is>
    </nc>
    <odxf>
      <fill>
        <patternFill>
          <bgColor theme="0"/>
        </patternFill>
      </fill>
      <alignment horizontal="left" readingOrder="0"/>
    </odxf>
    <ndxf>
      <fill>
        <patternFill>
          <bgColor rgb="FFFF66CC"/>
        </patternFill>
      </fill>
      <alignment horizontal="center" readingOrder="0"/>
    </ndxf>
  </rcc>
  <rcc rId="1433" sId="6" odxf="1" dxf="1">
    <nc r="I18" t="inlineStr">
      <is>
        <t>UV/Faiha</t>
      </is>
    </nc>
    <odxf>
      <alignment horizontal="left" readingOrder="0"/>
    </odxf>
    <ndxf>
      <alignment horizontal="center" readingOrder="0"/>
    </ndxf>
  </rcc>
  <rcc rId="1434" sId="6">
    <oc r="J18">
      <f>IF(OR(NOT(ISERROR(MATCH(RIGHT(B18,3)+0,#REF!,0))),NOT(ISERROR(MATCH(LEFT(B18,3)+0,#REF!,0)))),"No Post","")</f>
    </oc>
    <nc r="J18" t="inlineStr">
      <is>
        <t>NO POST</t>
      </is>
    </nc>
  </rcc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C14">
    <dxf>
      <fill>
        <patternFill>
          <bgColor theme="9" tint="-0.499984740745262"/>
        </patternFill>
      </fill>
    </dxf>
  </rfmt>
  <rcc rId="1435" sId="6" odxf="1" dxf="1">
    <nc r="B19">
      <v>843</v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1436" sId="6" odxf="1" dxf="1">
    <nc r="C19" t="inlineStr">
      <is>
        <t>CHEN,XINXIN .MS</t>
      </is>
    </nc>
    <odxf>
      <alignment horizontal="left" readingOrder="0"/>
    </odxf>
    <ndxf>
      <alignment horizontal="center" readingOrder="0"/>
    </ndxf>
  </rcc>
  <rcc rId="1437" sId="6" numFmtId="19">
    <nc r="D19">
      <v>46149</v>
    </nc>
  </rcc>
  <rcc rId="1438" sId="6">
    <nc r="E19">
      <v>2</v>
    </nc>
  </rcc>
  <rcc rId="1439" sId="6" odxf="1" dxf="1">
    <nc r="H19" t="inlineStr">
      <is>
        <t>ALLOCATION</t>
      </is>
    </nc>
    <odxf>
      <fill>
        <patternFill>
          <bgColor theme="0"/>
        </patternFill>
      </fill>
      <alignment horizontal="left" readingOrder="0"/>
    </odxf>
    <ndxf>
      <fill>
        <patternFill>
          <bgColor rgb="FF92D050"/>
        </patternFill>
      </fill>
      <alignment horizontal="center" readingOrder="0"/>
    </ndxf>
  </rcc>
  <rcc rId="1440" sId="6" odxf="1" dxf="1">
    <nc r="I19" t="inlineStr">
      <is>
        <t>Monica/Faiha</t>
      </is>
    </nc>
    <odxf>
      <alignment horizontal="left" readingOrder="0"/>
    </odxf>
    <ndxf>
      <alignment horizontal="center" readingOrder="0"/>
    </ndxf>
  </rcc>
  <rcc rId="1441" sId="7" odxf="1" dxf="1">
    <nc r="B11">
      <v>617</v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cc rId="1442" sId="7" odxf="1" dxf="1">
    <nc r="C11" t="inlineStr">
      <is>
        <t>Alexandra Abramova</t>
      </is>
    </nc>
    <odxf>
      <alignment vertical="top" readingOrder="0"/>
    </odxf>
    <ndxf>
      <alignment vertical="center" readingOrder="0"/>
    </ndxf>
  </rcc>
  <rcc rId="1443" sId="7" odxf="1" dxf="1" numFmtId="19">
    <nc r="D11">
      <v>46124</v>
    </nc>
    <odxf>
      <alignment vertical="top" readingOrder="0"/>
    </odxf>
    <ndxf>
      <alignment vertical="center" readingOrder="0"/>
    </ndxf>
  </rcc>
  <rcc rId="1444" sId="7" odxf="1" dxf="1">
    <nc r="E11">
      <v>3</v>
    </nc>
    <odxf>
      <alignment vertical="top" readingOrder="0"/>
    </odxf>
    <ndxf>
      <alignment vertical="center" readingOrder="0"/>
    </ndxf>
  </rcc>
  <rfmt sheetId="7" sqref="F11" start="0" length="0">
    <dxf>
      <alignment vertical="center" readingOrder="0"/>
    </dxf>
  </rfmt>
  <rfmt sheetId="7" sqref="G11" start="0" length="0">
    <dxf>
      <alignment vertical="center" readingOrder="0"/>
    </dxf>
  </rfmt>
  <rcc rId="1445" sId="7" odxf="1" dxf="1">
    <nc r="H11" t="inlineStr">
      <is>
        <t>PAI</t>
      </is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cc rId="1446" sId="7" odxf="1" dxf="1">
    <nc r="I11" t="inlineStr">
      <is>
        <t>Faiha</t>
      </is>
    </nc>
    <odxf>
      <alignment vertical="top" readingOrder="0"/>
    </odxf>
    <ndxf>
      <alignment vertical="center" readingOrder="0"/>
    </ndxf>
  </rcc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C15">
    <dxf>
      <fill>
        <patternFill>
          <bgColor theme="9" tint="-0.499984740745262"/>
        </patternFill>
      </fill>
    </dxf>
  </rfmt>
  <rcc rId="1447" sId="6" odxf="1" dxf="1">
    <nc r="B20">
      <v>319</v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1448" sId="6" odxf="1" dxf="1">
    <nc r="C20" t="inlineStr">
      <is>
        <t>MS.XUE,KAIWEI</t>
      </is>
    </nc>
    <odxf>
      <font>
        <sz val="14"/>
      </font>
      <fill>
        <patternFill patternType="solid">
          <bgColor theme="0"/>
        </patternFill>
      </fill>
      <alignment horizontal="left" readingOrder="0"/>
    </odxf>
    <ndxf>
      <font>
        <sz val="14"/>
        <color rgb="FF4F3629"/>
      </font>
      <fill>
        <patternFill patternType="none">
          <bgColor indexed="65"/>
        </patternFill>
      </fill>
      <alignment horizontal="center" readingOrder="0"/>
    </ndxf>
  </rcc>
  <rcc rId="1449" sId="6" numFmtId="19">
    <nc r="D20">
      <v>46149</v>
    </nc>
  </rcc>
  <rcc rId="1450" sId="6">
    <nc r="E20">
      <v>1</v>
    </nc>
  </rcc>
  <rcc rId="1451" sId="6" odxf="1" dxf="1">
    <nc r="H20" t="inlineStr">
      <is>
        <t>ALLOCATION</t>
      </is>
    </nc>
    <odxf>
      <font>
        <sz val="14"/>
      </font>
      <fill>
        <patternFill>
          <bgColor theme="0"/>
        </patternFill>
      </fill>
      <alignment horizontal="left" readingOrder="0"/>
    </odxf>
    <ndxf>
      <font>
        <sz val="14"/>
        <color rgb="FF4F3629"/>
      </font>
      <fill>
        <patternFill>
          <bgColor rgb="FF92D050"/>
        </patternFill>
      </fill>
      <alignment horizontal="center" readingOrder="0"/>
    </ndxf>
  </rcc>
  <rcc rId="1452" sId="6" odxf="1" dxf="1">
    <nc r="I20" t="inlineStr">
      <is>
        <t>Carl/Maaji</t>
      </is>
    </nc>
    <odxf>
      <alignment horizontal="left" readingOrder="0"/>
    </odxf>
    <ndxf>
      <alignment horizontal="center" readingOrder="0"/>
    </ndxf>
  </rcc>
  <rfmt sheetId="5" sqref="C13">
    <dxf>
      <fill>
        <patternFill>
          <bgColor theme="9" tint="-0.499984740745262"/>
        </patternFill>
      </fill>
    </dxf>
  </rfmt>
  <rcc rId="1453" sId="6" odxf="1" dxf="1">
    <nc r="B21" t="inlineStr">
      <is>
        <t>214/301</t>
      </is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1454" sId="6" odxf="1" dxf="1">
    <nc r="C21" t="inlineStr">
      <is>
        <t>Wenqi Sun</t>
      </is>
    </nc>
    <odxf>
      <alignment horizontal="left" readingOrder="0"/>
    </odxf>
    <ndxf>
      <alignment horizontal="center" readingOrder="0"/>
    </ndxf>
  </rcc>
  <rcc rId="1455" sId="6" numFmtId="19">
    <nc r="D21">
      <v>46145</v>
    </nc>
  </rcc>
  <rcc rId="1456" sId="6">
    <nc r="E21">
      <v>2</v>
    </nc>
  </rcc>
  <rcc rId="1457" sId="6" odxf="1" dxf="1">
    <nc r="H21" t="inlineStr">
      <is>
        <t>ALLOCATION</t>
      </is>
    </nc>
    <odxf>
      <fill>
        <patternFill>
          <bgColor theme="0"/>
        </patternFill>
      </fill>
      <alignment horizontal="left" readingOrder="0"/>
    </odxf>
    <ndxf>
      <fill>
        <patternFill>
          <bgColor rgb="FF92D050"/>
        </patternFill>
      </fill>
      <alignment horizontal="center" readingOrder="0"/>
    </ndxf>
  </rcc>
  <rcc rId="1458" sId="6" odxf="1" dxf="1">
    <nc r="I21" t="inlineStr">
      <is>
        <t>Mausoom/Faiha</t>
      </is>
    </nc>
    <odxf>
      <alignment horizontal="left" readingOrder="0"/>
    </odxf>
    <ndxf>
      <alignment horizontal="center" readingOrder="0"/>
    </ndxf>
  </rcc>
  <rcc rId="1459" sId="6" odxf="1" dxf="1">
    <nc r="B22">
      <v>689</v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1460" sId="6" odxf="1" dxf="1">
    <nc r="C22" t="inlineStr">
      <is>
        <t>QIAN, YUJIA .MS</t>
      </is>
    </nc>
    <odxf>
      <font>
        <sz val="14"/>
      </font>
      <fill>
        <patternFill patternType="solid">
          <bgColor theme="0"/>
        </patternFill>
      </fill>
      <alignment horizontal="left" readingOrder="0"/>
    </odxf>
    <ndxf>
      <font>
        <sz val="14"/>
        <color rgb="FF4F3629"/>
      </font>
      <fill>
        <patternFill patternType="none">
          <bgColor indexed="65"/>
        </patternFill>
      </fill>
      <alignment horizontal="center" readingOrder="0"/>
    </ndxf>
  </rcc>
  <rcc rId="1461" sId="6" numFmtId="19">
    <nc r="D22">
      <v>46150</v>
    </nc>
  </rcc>
  <rcc rId="1462" sId="6">
    <nc r="E22">
      <v>2</v>
    </nc>
  </rcc>
  <rcc rId="1463" sId="6" odxf="1" dxf="1">
    <nc r="H22" t="inlineStr">
      <is>
        <t>ALLOCATION</t>
      </is>
    </nc>
    <odxf>
      <font>
        <sz val="14"/>
      </font>
      <fill>
        <patternFill>
          <bgColor theme="0"/>
        </patternFill>
      </fill>
      <alignment horizontal="left" readingOrder="0"/>
    </odxf>
    <ndxf>
      <font>
        <sz val="14"/>
        <color rgb="FF4F3629"/>
      </font>
      <fill>
        <patternFill>
          <bgColor rgb="FF92D050"/>
        </patternFill>
      </fill>
      <alignment horizontal="center" readingOrder="0"/>
    </ndxf>
  </rcc>
  <rcc rId="1464" sId="6" odxf="1" dxf="1">
    <nc r="I22" t="inlineStr">
      <is>
        <t>Shamrath/Tarush</t>
      </is>
    </nc>
    <odxf>
      <alignment horizontal="left" readingOrder="0"/>
    </odxf>
    <ndxf>
      <alignment horizontal="center" readingOrder="0"/>
    </ndxf>
  </rcc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C7">
    <dxf>
      <fill>
        <patternFill>
          <bgColor theme="9" tint="-0.499984740745262"/>
        </patternFill>
      </fill>
    </dxf>
  </rfmt>
  <rfmt sheetId="5" sqref="C10">
    <dxf>
      <fill>
        <patternFill>
          <bgColor rgb="FFC00000"/>
        </patternFill>
      </fill>
    </dxf>
  </rfmt>
  <rfmt sheetId="5" sqref="C19">
    <dxf>
      <fill>
        <patternFill>
          <bgColor rgb="FFC00000"/>
        </patternFill>
      </fill>
    </dxf>
  </rfmt>
  <rfmt sheetId="5" sqref="C17">
    <dxf>
      <fill>
        <patternFill>
          <bgColor rgb="FFC00000"/>
        </patternFill>
      </fill>
    </dxf>
  </rfmt>
  <rfmt sheetId="5" sqref="C20">
    <dxf>
      <fill>
        <patternFill>
          <bgColor theme="9" tint="-0.499984740745262"/>
        </patternFill>
      </fill>
    </dxf>
  </rfmt>
  <rfmt sheetId="5" sqref="C16">
    <dxf>
      <fill>
        <patternFill>
          <bgColor rgb="FFFF0000"/>
        </patternFill>
      </fill>
    </dxf>
  </rfmt>
  <rfmt sheetId="5" sqref="C16">
    <dxf>
      <fill>
        <patternFill>
          <bgColor rgb="FFC00000"/>
        </patternFill>
      </fill>
    </dxf>
  </rfmt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C10">
    <dxf>
      <fill>
        <patternFill>
          <bgColor theme="9" tint="-0.499984740745262"/>
        </patternFill>
      </fill>
    </dxf>
  </rfmt>
  <rcc rId="1465" sId="7" odxf="1" dxf="1">
    <nc r="B12">
      <v>885</v>
    </nc>
    <odxf>
      <fill>
        <patternFill>
          <bgColor theme="0"/>
        </patternFill>
      </fill>
      <alignment vertical="top" readingOrder="0"/>
    </odxf>
    <ndxf>
      <fill>
        <patternFill>
          <bgColor rgb="FF92D050"/>
        </patternFill>
      </fill>
      <alignment vertical="center" readingOrder="0"/>
    </ndxf>
  </rcc>
  <rcc rId="1466" sId="7" odxf="1" dxf="1">
    <nc r="C12" t="inlineStr">
      <is>
        <t>Kihoko Kawai</t>
      </is>
    </nc>
    <odxf>
      <alignment vertical="top" readingOrder="0"/>
    </odxf>
    <ndxf>
      <alignment vertical="center" readingOrder="0"/>
    </ndxf>
  </rcc>
  <rcc rId="1467" sId="7" odxf="1" dxf="1" numFmtId="19">
    <nc r="D12">
      <v>46150</v>
    </nc>
    <odxf>
      <alignment vertical="top" readingOrder="0"/>
    </odxf>
    <ndxf>
      <alignment vertical="center" readingOrder="0"/>
    </ndxf>
  </rcc>
  <rcc rId="1468" sId="7" odxf="1" dxf="1">
    <nc r="E12">
      <v>2</v>
    </nc>
    <odxf>
      <alignment vertical="top" readingOrder="0"/>
    </odxf>
    <ndxf>
      <alignment vertical="center" readingOrder="0"/>
    </ndxf>
  </rcc>
  <rfmt sheetId="7" sqref="F12" start="0" length="0">
    <dxf>
      <alignment vertical="center" readingOrder="0"/>
    </dxf>
  </rfmt>
  <rfmt sheetId="7" sqref="G12" start="0" length="0">
    <dxf>
      <alignment vertical="center" readingOrder="0"/>
    </dxf>
  </rfmt>
  <rcc rId="1469" sId="7" odxf="1" dxf="1">
    <nc r="H12" t="inlineStr">
      <is>
        <t>ALLOCATION</t>
      </is>
    </nc>
    <odxf>
      <fill>
        <patternFill>
          <bgColor theme="0"/>
        </patternFill>
      </fill>
      <alignment vertical="top" readingOrder="0"/>
    </odxf>
    <ndxf>
      <fill>
        <patternFill>
          <bgColor rgb="FF92D050"/>
        </patternFill>
      </fill>
      <alignment vertical="center" readingOrder="0"/>
    </ndxf>
  </rcc>
  <rcc rId="1470" sId="7" odxf="1" dxf="1">
    <nc r="I12" t="inlineStr">
      <is>
        <t>Raahil</t>
      </is>
    </nc>
    <odxf>
      <alignment vertical="top" readingOrder="0"/>
    </odxf>
    <ndxf>
      <alignment vertical="center" readingOrder="0"/>
    </ndxf>
  </rcc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1" sId="6" odxf="1" dxf="1">
    <nc r="B23" t="inlineStr">
      <is>
        <t>685/868</t>
      </is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1472" sId="6" odxf="1" dxf="1">
    <nc r="C23" t="inlineStr">
      <is>
        <t>Lixue Zhang</t>
      </is>
    </nc>
    <odxf>
      <alignment horizontal="left" readingOrder="0"/>
    </odxf>
    <ndxf>
      <alignment horizontal="center" readingOrder="0"/>
    </ndxf>
  </rcc>
  <rcc rId="1473" sId="6" numFmtId="19">
    <nc r="D23">
      <v>46147</v>
    </nc>
  </rcc>
  <rcc rId="1474" sId="6">
    <nc r="E23">
      <v>2</v>
    </nc>
  </rcc>
  <rcc rId="1475" sId="6" odxf="1" dxf="1">
    <nc r="H23" t="inlineStr">
      <is>
        <t>ALLOCATION</t>
      </is>
    </nc>
    <odxf>
      <fill>
        <patternFill>
          <bgColor theme="0"/>
        </patternFill>
      </fill>
      <alignment horizontal="left" readingOrder="0"/>
    </odxf>
    <ndxf>
      <fill>
        <patternFill>
          <bgColor rgb="FF92D050"/>
        </patternFill>
      </fill>
      <alignment horizontal="center" readingOrder="0"/>
    </ndxf>
  </rcc>
  <rcc rId="1476" sId="6" odxf="1" dxf="1">
    <nc r="I23" t="inlineStr">
      <is>
        <t>Haabil/Maaji</t>
      </is>
    </nc>
    <odxf>
      <alignment horizontal="left" readingOrder="0"/>
    </odxf>
    <ndxf>
      <alignment horizontal="center" readingOrder="0"/>
    </ndxf>
  </rcc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7" sId="6" odxf="1" dxf="1">
    <nc r="B24">
      <v>892</v>
    </nc>
    <odxf>
      <fill>
        <patternFill>
          <bgColor theme="0"/>
        </patternFill>
      </fill>
    </odxf>
    <ndxf>
      <fill>
        <patternFill>
          <bgColor rgb="FFFF66CC"/>
        </patternFill>
      </fill>
    </ndxf>
  </rcc>
  <rcc rId="1478" sId="6" odxf="1" dxf="1">
    <nc r="C24" t="inlineStr">
      <is>
        <t>Dongyoung Lee</t>
      </is>
    </nc>
    <odxf>
      <alignment horizontal="left" readingOrder="0"/>
    </odxf>
    <ndxf>
      <alignment horizontal="center" readingOrder="0"/>
    </ndxf>
  </rcc>
  <rcc rId="1479" sId="6" numFmtId="19">
    <nc r="D24">
      <v>46150</v>
    </nc>
  </rcc>
  <rcc rId="1480" sId="6">
    <nc r="E24">
      <v>2</v>
    </nc>
  </rcc>
  <rcc rId="1481" sId="6" odxf="1" dxf="1">
    <nc r="H24" t="inlineStr">
      <is>
        <t>ITA(NP)</t>
      </is>
    </nc>
    <odxf>
      <fill>
        <patternFill>
          <bgColor theme="0"/>
        </patternFill>
      </fill>
      <alignment horizontal="left" readingOrder="0"/>
    </odxf>
    <ndxf>
      <fill>
        <patternFill>
          <bgColor rgb="FFFF66CC"/>
        </patternFill>
      </fill>
      <alignment horizontal="center" readingOrder="0"/>
    </ndxf>
  </rcc>
  <rcc rId="1482" sId="6" odxf="1" dxf="1">
    <nc r="I24" t="inlineStr">
      <is>
        <t>UV/Faiha</t>
      </is>
    </nc>
    <odxf>
      <alignment horizontal="left" readingOrder="0"/>
    </odxf>
    <ndxf>
      <alignment horizontal="center" readingOrder="0"/>
    </ndxf>
  </rcc>
  <rcc rId="1483" sId="6">
    <oc r="J24">
      <f>IF(OR(NOT(ISERROR(MATCH(RIGHT(B24,3)+0,#REF!,0))),NOT(ISERROR(MATCH(LEFT(B24,3)+0,#REF!,0)))),"No Post","")</f>
    </oc>
    <nc r="J24" t="inlineStr">
      <is>
        <t>NO POST</t>
      </is>
    </nc>
  </rcc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4" sId="6">
    <oc r="E27">
      <f>SUM(E17:E26)</f>
    </oc>
    <nc r="E27">
      <f>SUM(E7:E26)</f>
    </nc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5" sId="6">
    <nc r="B25">
      <v>845</v>
    </nc>
  </rcc>
  <rcc rId="1486" sId="6">
    <nc r="E25">
      <v>2</v>
    </nc>
  </rcc>
  <rcc rId="1487" sId="6">
    <nc r="I25" t="inlineStr">
      <is>
        <t>Faiha</t>
      </is>
    </nc>
  </rcc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8" sId="6">
    <nc r="B26">
      <v>307</v>
    </nc>
  </rcc>
  <rcc rId="1489" sId="6">
    <nc r="E26">
      <v>2</v>
    </nc>
  </rcc>
  <rcc rId="1490" sId="6">
    <nc r="I26" t="inlineStr">
      <is>
        <t>Tarush</t>
      </is>
    </nc>
  </rcc>
  <rcc rId="1491" sId="6">
    <nc r="C26" t="inlineStr">
      <is>
        <t>Mauro Rossetto</t>
      </is>
    </nc>
  </rcc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92" sId="6" ref="A26:XFD26" action="insertRow"/>
  <rrc rId="1493" sId="6" ref="A26:XFD26" action="insertRow"/>
  <rrc rId="1494" sId="6" ref="A26:XFD26" action="insertRow"/>
  <rrc rId="1495" sId="6" ref="A26:XFD26" action="insertRow"/>
  <rcc rId="1496" sId="6">
    <nc r="A26">
      <v>20</v>
    </nc>
  </rcc>
  <rcc rId="1497" sId="6">
    <nc r="A27">
      <v>21</v>
    </nc>
  </rcc>
  <rcc rId="1498" sId="6">
    <nc r="A28">
      <v>22</v>
    </nc>
  </rcc>
  <rcc rId="1499" sId="6">
    <nc r="A29">
      <v>23</v>
    </nc>
  </rcc>
  <rcc rId="1500" sId="6">
    <oc r="A30">
      <v>20</v>
    </oc>
    <nc r="A30">
      <v>24</v>
    </nc>
  </rcc>
  <rcc rId="1501" sId="6">
    <nc r="B26">
      <v>670</v>
    </nc>
  </rcc>
  <rcc rId="1502" sId="6">
    <nc r="J26">
      <f>IF(OR(NOT(ISERROR(MATCH(RIGHT(B26,3)+0,#REF!,0))),NOT(ISERROR(MATCH(LEFT(B26,3)+0,#REF!,0)))),"No Post","")</f>
    </nc>
  </rcc>
  <rcc rId="1503" sId="6">
    <nc r="E26">
      <v>2</v>
    </nc>
  </rcc>
  <rcc rId="1504" sId="6">
    <nc r="I26" t="inlineStr">
      <is>
        <t>UV/Tarush</t>
      </is>
    </nc>
  </rcc>
  <rcc rId="1505" sId="6">
    <nc r="C26" t="inlineStr">
      <is>
        <t>Subeom Yang</t>
      </is>
    </nc>
  </rcc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6" sId="8">
    <nc r="B7">
      <v>337</v>
    </nc>
  </rcc>
  <rcc rId="1507" sId="8">
    <nc r="E7">
      <v>2</v>
    </nc>
  </rcc>
  <rcc rId="1508" sId="8">
    <nc r="I7" t="inlineStr">
      <is>
        <t>UV/Tarush</t>
      </is>
    </nc>
  </rcc>
  <rcc rId="1509" sId="8">
    <nc r="C7" t="inlineStr">
      <is>
        <t>Kouji Nishiyama</t>
      </is>
    </nc>
  </rcc>
  <rcc rId="1510" sId="8" numFmtId="19">
    <nc r="D7">
      <v>46151</v>
    </nc>
  </rcc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1" sId="6">
    <nc r="B27">
      <v>671</v>
    </nc>
  </rcc>
  <rcc rId="1512" sId="6">
    <nc r="B28">
      <v>673</v>
    </nc>
  </rcc>
  <rcc rId="1513" sId="6">
    <nc r="E27">
      <v>2</v>
    </nc>
  </rcc>
  <rcc rId="1514" sId="6">
    <nc r="E28">
      <v>2</v>
    </nc>
  </rcc>
  <rcc rId="1515" sId="6">
    <nc r="I27" t="inlineStr">
      <is>
        <t>Tarush</t>
      </is>
    </nc>
  </rcc>
  <rcc rId="1516" sId="6">
    <nc r="I28" t="inlineStr">
      <is>
        <t>Tarush</t>
      </is>
    </nc>
  </rcc>
  <rcc rId="1517" sId="6" xfDxf="1" dxf="1">
    <nc r="C27" t="inlineStr">
      <is>
        <t>Mrs. Reka Sebok</t>
      </is>
    </nc>
    <ndxf>
      <font>
        <sz val="14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8" sId="6" xfDxf="1" dxf="1">
    <nc r="C28" t="inlineStr">
      <is>
        <t>Mrs. Timea Bodrics</t>
      </is>
    </nc>
    <ndxf>
      <font>
        <sz val="14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B3797D0B-1E44-402B-AD05-6509081B1712}" action="delete"/>
  <rdn rId="0" localSheetId="1" customView="1" name="Z_B3797D0B_1E44_402B_AD05_6509081B1712_.wvu.PrintArea" hidden="1" oldHidden="1">
    <formula>'1'!$A$1:$L$48</formula>
    <oldFormula>'1'!$A$1:$L$48</oldFormula>
  </rdn>
  <rdn rId="0" localSheetId="2" customView="1" name="Z_B3797D0B_1E44_402B_AD05_6509081B1712_.wvu.PrintArea" hidden="1" oldHidden="1">
    <formula>'2'!$A$1:$L$29</formula>
    <oldFormula>'2'!$A$1:$L$29</oldFormula>
  </rdn>
  <rdn rId="0" localSheetId="3" customView="1" name="Z_B3797D0B_1E44_402B_AD05_6509081B1712_.wvu.PrintArea" hidden="1" oldHidden="1">
    <formula>'3'!$A$1:$J$27</formula>
    <oldFormula>'3'!$A$1:$J$27</oldFormula>
  </rdn>
  <rdn rId="0" localSheetId="4" customView="1" name="Z_B3797D0B_1E44_402B_AD05_6509081B1712_.wvu.PrintArea" hidden="1" oldHidden="1">
    <formula>'4'!$A$1:$L$26</formula>
    <oldFormula>'4'!$A$1:$L$26</oldFormula>
  </rdn>
  <rdn rId="0" localSheetId="5" customView="1" name="Z_B3797D0B_1E44_402B_AD05_6509081B1712_.wvu.PrintArea" hidden="1" oldHidden="1">
    <formula>'5'!$A$1:$L$34</formula>
    <oldFormula>'5'!$A$1:$L$34</oldFormula>
  </rdn>
  <rdn rId="0" localSheetId="6" customView="1" name="Z_B3797D0B_1E44_402B_AD05_6509081B1712_.wvu.PrintArea" hidden="1" oldHidden="1">
    <formula>'6'!$A$1:$J$41</formula>
    <oldFormula>'6'!$A$1:$J$41</oldFormula>
  </rdn>
  <rdn rId="0" localSheetId="7" customView="1" name="Z_B3797D0B_1E44_402B_AD05_6509081B1712_.wvu.PrintArea" hidden="1" oldHidden="1">
    <formula>'7'!$A$1:$J$37</formula>
    <oldFormula>'7'!$A$1:$J$37</oldFormula>
  </rdn>
  <rdn rId="0" localSheetId="8" customView="1" name="Z_B3797D0B_1E44_402B_AD05_6509081B1712_.wvu.PrintArea" hidden="1" oldHidden="1">
    <formula>'8'!$A$1:$J$37</formula>
    <oldFormula>'8'!$A$1:$J$37</oldFormula>
  </rdn>
  <rdn rId="0" localSheetId="9" customView="1" name="Z_B3797D0B_1E44_402B_AD05_6509081B1712_.wvu.PrintArea" hidden="1" oldHidden="1">
    <formula>'9'!$A$1:$J$37</formula>
    <oldFormula>'9'!$A$1:$J$37</oldFormula>
  </rdn>
  <rdn rId="0" localSheetId="10" customView="1" name="Z_B3797D0B_1E44_402B_AD05_6509081B1712_.wvu.PrintArea" hidden="1" oldHidden="1">
    <formula>'10'!$A$1:$J$37</formula>
    <oldFormula>'10'!$A$1:$J$37</oldFormula>
  </rdn>
  <rdn rId="0" localSheetId="11" customView="1" name="Z_B3797D0B_1E44_402B_AD05_6509081B1712_.wvu.PrintArea" hidden="1" oldHidden="1">
    <formula>'11'!$A$1:$J$40</formula>
    <oldFormula>'11'!$A$1:$J$40</oldFormula>
  </rdn>
  <rdn rId="0" localSheetId="12" customView="1" name="Z_B3797D0B_1E44_402B_AD05_6509081B1712_.wvu.PrintArea" hidden="1" oldHidden="1">
    <formula>'12'!$A$1:$J$38</formula>
    <oldFormula>'12'!$A$1:$J$38</oldFormula>
  </rdn>
  <rdn rId="0" localSheetId="13" customView="1" name="Z_B3797D0B_1E44_402B_AD05_6509081B1712_.wvu.PrintArea" hidden="1" oldHidden="1">
    <formula>'13'!$A$1:$J$38</formula>
    <oldFormula>'13'!$A$1:$J$38</oldFormula>
  </rdn>
  <rdn rId="0" localSheetId="14" customView="1" name="Z_B3797D0B_1E44_402B_AD05_6509081B1712_.wvu.PrintArea" hidden="1" oldHidden="1">
    <formula>'14'!$A$1:$J$38</formula>
    <oldFormula>'14'!$A$1:$J$38</oldFormula>
  </rdn>
  <rdn rId="0" localSheetId="15" customView="1" name="Z_B3797D0B_1E44_402B_AD05_6509081B1712_.wvu.PrintArea" hidden="1" oldHidden="1">
    <formula>'15'!$A$1:$J$38</formula>
    <oldFormula>'15'!$A$1:$J$38</oldFormula>
  </rdn>
  <rdn rId="0" localSheetId="16" customView="1" name="Z_B3797D0B_1E44_402B_AD05_6509081B1712_.wvu.PrintArea" hidden="1" oldHidden="1">
    <formula>'16'!$A$1:$J$38</formula>
    <oldFormula>'16'!$A$1:$J$38</oldFormula>
  </rdn>
  <rdn rId="0" localSheetId="17" customView="1" name="Z_B3797D0B_1E44_402B_AD05_6509081B1712_.wvu.PrintArea" hidden="1" oldHidden="1">
    <formula>'17'!$A$1:$J$38</formula>
    <oldFormula>'17'!$A$1:$J$38</oldFormula>
  </rdn>
  <rdn rId="0" localSheetId="18" customView="1" name="Z_B3797D0B_1E44_402B_AD05_6509081B1712_.wvu.PrintArea" hidden="1" oldHidden="1">
    <formula>'18'!$A$1:$J$38</formula>
    <oldFormula>'18'!$A$1:$J$38</oldFormula>
  </rdn>
  <rdn rId="0" localSheetId="19" customView="1" name="Z_B3797D0B_1E44_402B_AD05_6509081B1712_.wvu.PrintArea" hidden="1" oldHidden="1">
    <formula>'19'!$A$1:$J$38</formula>
    <oldFormula>'19'!$A$1:$J$38</oldFormula>
  </rdn>
  <rdn rId="0" localSheetId="20" customView="1" name="Z_B3797D0B_1E44_402B_AD05_6509081B1712_.wvu.PrintArea" hidden="1" oldHidden="1">
    <formula>'20'!$A$1:$J$38</formula>
    <oldFormula>'20'!$A$1:$J$38</oldFormula>
  </rdn>
  <rdn rId="0" localSheetId="21" customView="1" name="Z_B3797D0B_1E44_402B_AD05_6509081B1712_.wvu.PrintArea" hidden="1" oldHidden="1">
    <formula>'21'!$A$1:$J$38</formula>
    <oldFormula>'21'!$A$1:$J$38</oldFormula>
  </rdn>
  <rdn rId="0" localSheetId="22" customView="1" name="Z_B3797D0B_1E44_402B_AD05_6509081B1712_.wvu.PrintArea" hidden="1" oldHidden="1">
    <formula>'22'!$A$1:$J$38</formula>
    <oldFormula>'22'!$A$1:$J$38</oldFormula>
  </rdn>
  <rdn rId="0" localSheetId="23" customView="1" name="Z_B3797D0B_1E44_402B_AD05_6509081B1712_.wvu.PrintArea" hidden="1" oldHidden="1">
    <formula>'23'!$A$1:$J$38</formula>
    <oldFormula>'23'!$A$1:$J$38</oldFormula>
  </rdn>
  <rdn rId="0" localSheetId="24" customView="1" name="Z_B3797D0B_1E44_402B_AD05_6509081B1712_.wvu.PrintArea" hidden="1" oldHidden="1">
    <formula>'24'!$A$1:$J$38</formula>
    <oldFormula>'24'!$A$1:$J$38</oldFormula>
  </rdn>
  <rdn rId="0" localSheetId="25" customView="1" name="Z_B3797D0B_1E44_402B_AD05_6509081B1712_.wvu.PrintArea" hidden="1" oldHidden="1">
    <formula>'25'!$A$1:$J$38</formula>
    <oldFormula>'25'!$A$1:$J$38</oldFormula>
  </rdn>
  <rdn rId="0" localSheetId="26" customView="1" name="Z_B3797D0B_1E44_402B_AD05_6509081B1712_.wvu.PrintArea" hidden="1" oldHidden="1">
    <formula>'26'!$A$1:$J$38</formula>
    <oldFormula>'26'!$A$1:$J$38</oldFormula>
  </rdn>
  <rdn rId="0" localSheetId="27" customView="1" name="Z_B3797D0B_1E44_402B_AD05_6509081B1712_.wvu.PrintArea" hidden="1" oldHidden="1">
    <formula>'27'!$A$1:$J$38</formula>
    <oldFormula>'27'!$A$1:$J$38</oldFormula>
  </rdn>
  <rdn rId="0" localSheetId="28" customView="1" name="Z_B3797D0B_1E44_402B_AD05_6509081B1712_.wvu.PrintArea" hidden="1" oldHidden="1">
    <formula>'28'!$A$1:$J$38</formula>
    <oldFormula>'28'!$A$1:$J$38</oldFormula>
  </rdn>
  <rdn rId="0" localSheetId="29" customView="1" name="Z_B3797D0B_1E44_402B_AD05_6509081B1712_.wvu.PrintArea" hidden="1" oldHidden="1">
    <formula>'29'!$A$1:$J$38</formula>
    <oldFormula>'29'!$A$1:$J$38</oldFormula>
  </rdn>
  <rdn rId="0" localSheetId="30" customView="1" name="Z_B3797D0B_1E44_402B_AD05_6509081B1712_.wvu.PrintArea" hidden="1" oldHidden="1">
    <formula>'30'!$A$1:$J$38</formula>
    <oldFormula>'30'!$A$1:$J$38</oldFormula>
  </rdn>
  <rdn rId="0" localSheetId="31" customView="1" name="Z_B3797D0B_1E44_402B_AD05_6509081B1712_.wvu.PrintArea" hidden="1" oldHidden="1">
    <formula>'31'!$A$1:$J$38</formula>
    <oldFormula>'31'!$A$1:$J$38</oldFormula>
  </rdn>
  <rcv guid="{B3797D0B-1E44-402B-AD05-6509081B1712}" action="add"/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0" sId="6">
    <nc r="B29">
      <v>880</v>
    </nc>
  </rcc>
  <rcc rId="1551" sId="6">
    <nc r="E29">
      <v>2</v>
    </nc>
  </rcc>
  <rcc rId="1552" sId="6">
    <nc r="I29" t="inlineStr">
      <is>
        <t>Maaji</t>
      </is>
    </nc>
  </rcc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3" sId="6">
    <nc r="C29" t="inlineStr">
      <is>
        <t>Yusuke Yoshikaie</t>
      </is>
    </nc>
  </rcc>
  <rcc rId="1554" sId="6" numFmtId="19">
    <nc r="D29">
      <v>46151</v>
    </nc>
  </rcc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5" sId="7">
    <nc r="B13">
      <v>818</v>
    </nc>
  </rcc>
  <rcc rId="1556" sId="7">
    <nc r="E13">
      <v>2</v>
    </nc>
  </rcc>
  <rcc rId="1557" sId="7">
    <nc r="I13" t="inlineStr">
      <is>
        <t>Ekta/Maaji</t>
      </is>
    </nc>
  </rcc>
  <rcc rId="1558" sId="7">
    <nc r="C13" t="inlineStr">
      <is>
        <t>Philip Packman</t>
      </is>
    </nc>
  </rcc>
  <rcc rId="1559" sId="7" numFmtId="19">
    <nc r="D13">
      <v>46153</v>
    </nc>
  </rcc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0" sId="6">
    <oc r="B7" t="inlineStr">
      <is>
        <t>Prebooking</t>
      </is>
    </oc>
    <nc r="B7">
      <v>669</v>
    </nc>
  </rcc>
  <rcc rId="1561" sId="6">
    <oc r="B8" t="inlineStr">
      <is>
        <t>Prebooking</t>
      </is>
    </oc>
    <nc r="B8">
      <v>304</v>
    </nc>
  </rcc>
  <rrc rId="1562" sId="6" ref="A31:XFD31" action="insertRow"/>
  <rrc rId="1563" sId="6" ref="A32:XFD32" action="insertRow"/>
  <rrc rId="1564" sId="6" ref="A17:XFD17" action="insertRow"/>
  <rcc rId="1565" sId="6" odxf="1" dxf="1">
    <oc r="H8">
      <v>26156154</v>
    </oc>
    <nc r="H8" t="inlineStr">
      <is>
        <t>ALLOCATION</t>
      </is>
    </nc>
    <odxf>
      <font>
        <sz val="14"/>
      </font>
      <fill>
        <patternFill>
          <bgColor theme="0"/>
        </patternFill>
      </fill>
      <alignment vertical="top" readingOrder="0"/>
    </odxf>
    <ndxf>
      <font>
        <sz val="14"/>
        <color rgb="FF4F3629"/>
      </font>
      <fill>
        <patternFill>
          <bgColor rgb="FF92D050"/>
        </patternFill>
      </fill>
      <alignment vertical="center" readingOrder="0"/>
    </ndxf>
  </rcc>
  <rcc rId="1566" sId="6" odxf="1" dxf="1">
    <nc r="H31" t="inlineStr">
      <is>
        <t>SAI</t>
      </is>
    </nc>
    <odxf>
      <fill>
        <patternFill>
          <bgColor theme="0"/>
        </patternFill>
      </fill>
      <alignment horizontal="left" readingOrder="0"/>
    </odxf>
    <ndxf>
      <fill>
        <patternFill>
          <bgColor rgb="FFFFFF00"/>
        </patternFill>
      </fill>
      <alignment horizontal="center" readingOrder="0"/>
    </ndxf>
  </rcc>
  <rcc rId="1567" sId="6">
    <nc r="G31" t="inlineStr">
      <is>
        <t>C$100</t>
      </is>
    </nc>
  </rcc>
  <rcc rId="1568" sId="6" odxf="1" dxf="1">
    <nc r="H10" t="inlineStr">
      <is>
        <t>ALLOCATION</t>
      </is>
    </nc>
    <odxf>
      <font>
        <sz val="14"/>
      </font>
      <fill>
        <patternFill>
          <bgColor theme="0"/>
        </patternFill>
      </fill>
      <alignment vertical="top" readingOrder="0"/>
    </odxf>
    <ndxf>
      <font>
        <sz val="14"/>
        <color rgb="FF4F3629"/>
      </font>
      <fill>
        <patternFill>
          <bgColor rgb="FF92D050"/>
        </patternFill>
      </fill>
      <alignment vertical="center" readingOrder="0"/>
    </ndxf>
  </rcc>
  <rfmt sheetId="6" sqref="C7:C31">
    <dxf>
      <alignment horizontal="general" readingOrder="0"/>
    </dxf>
  </rfmt>
  <rfmt sheetId="6" sqref="C7:C31">
    <dxf>
      <alignment horizontal="center" readingOrder="0"/>
    </dxf>
  </rfmt>
  <rcc rId="1569" sId="6">
    <nc r="C15" t="inlineStr">
      <is>
        <t>Minyoung Kang</t>
      </is>
    </nc>
  </rcc>
  <rcc rId="1570" sId="6" numFmtId="19">
    <nc r="D15">
      <v>46151</v>
    </nc>
  </rcc>
  <rcc rId="1571" sId="6">
    <nc r="C26" t="inlineStr">
      <is>
        <t>Laureano Martinez</t>
      </is>
    </nc>
  </rcc>
  <rcc rId="1572" sId="6" numFmtId="19">
    <nc r="D26">
      <v>46149</v>
    </nc>
  </rcc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H15" start="0" length="0">
    <dxf>
      <fill>
        <patternFill>
          <bgColor rgb="FFFF66CC"/>
        </patternFill>
      </fill>
      <alignment vertical="center" readingOrder="0"/>
    </dxf>
  </rfmt>
  <rcc rId="1573" sId="6">
    <nc r="H15" t="inlineStr">
      <is>
        <t>ITA</t>
      </is>
    </nc>
  </rcc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B8" start="0" length="0">
    <dxf>
      <font>
        <sz val="14"/>
        <color rgb="FF4F3629"/>
      </font>
      <fill>
        <patternFill>
          <bgColor rgb="FF92D050"/>
        </patternFill>
      </fill>
      <alignment vertical="center" readingOrder="0"/>
    </dxf>
  </rfmt>
  <rfmt sheetId="6" sqref="B31" start="0" length="0">
    <dxf>
      <fill>
        <patternFill>
          <bgColor rgb="FFFFFF00"/>
        </patternFill>
      </fill>
    </dxf>
  </rfmt>
  <rfmt sheetId="6" sqref="B10" start="0" length="0">
    <dxf>
      <font>
        <sz val="14"/>
        <color rgb="FF4F3629"/>
      </font>
      <fill>
        <patternFill>
          <bgColor rgb="FF92D050"/>
        </patternFill>
      </fill>
      <alignment vertical="center" readingOrder="0"/>
    </dxf>
  </rfmt>
  <rfmt sheetId="6" sqref="B21" start="0" length="0">
    <dxf>
      <font>
        <sz val="14"/>
        <color rgb="FF4F3629"/>
      </font>
    </dxf>
  </rfmt>
  <rfmt sheetId="6" sqref="B15" start="0" length="0">
    <dxf>
      <fill>
        <patternFill>
          <bgColor rgb="FFFF66CC"/>
        </patternFill>
      </fill>
      <alignment vertical="center" readingOrder="0"/>
    </dxf>
  </rfmt>
  <rcc rId="1574" sId="6" odxf="1" dxf="1">
    <nc r="H13" t="inlineStr">
      <is>
        <t>ALLOCATION</t>
      </is>
    </nc>
    <odxf>
      <font>
        <sz val="14"/>
      </font>
      <fill>
        <patternFill>
          <bgColor theme="0"/>
        </patternFill>
      </fill>
      <alignment vertical="top" readingOrder="0"/>
    </odxf>
    <ndxf>
      <font>
        <sz val="14"/>
        <color rgb="FF4F3629"/>
      </font>
      <fill>
        <patternFill>
          <bgColor rgb="FF92D050"/>
        </patternFill>
      </fill>
      <alignment vertical="center" readingOrder="0"/>
    </ndxf>
  </rcc>
  <rcc rId="1575" sId="6" odxf="1" dxf="1">
    <oc r="H7">
      <v>3065433</v>
    </oc>
    <nc r="H7" t="inlineStr">
      <is>
        <t>ALLOCATION</t>
      </is>
    </nc>
    <odxf>
      <font>
        <sz val="14"/>
      </font>
      <fill>
        <patternFill>
          <bgColor theme="0"/>
        </patternFill>
      </fill>
      <alignment vertical="top" readingOrder="0"/>
    </odxf>
    <ndxf>
      <font>
        <sz val="14"/>
        <color rgb="FF4F3629"/>
      </font>
      <fill>
        <patternFill>
          <bgColor rgb="FF92D050"/>
        </patternFill>
      </fill>
      <alignment vertical="center" readingOrder="0"/>
    </ndxf>
  </rcc>
  <rcc rId="1576" sId="6" odxf="1" dxf="1">
    <nc r="H27" t="inlineStr">
      <is>
        <t>ITA</t>
      </is>
    </nc>
    <odxf>
      <fill>
        <patternFill>
          <bgColor theme="0"/>
        </patternFill>
      </fill>
      <alignment horizontal="left" readingOrder="0"/>
    </odxf>
    <ndxf>
      <fill>
        <patternFill>
          <bgColor rgb="FFFF66CC"/>
        </patternFill>
      </fill>
      <alignment horizontal="center" readingOrder="0"/>
    </ndxf>
  </rcc>
  <rcc rId="1577" sId="6" odxf="1" dxf="1">
    <nc r="H28" t="inlineStr">
      <is>
        <t>SAI</t>
      </is>
    </nc>
    <odxf>
      <fill>
        <patternFill>
          <bgColor theme="0"/>
        </patternFill>
      </fill>
      <alignment horizontal="left" readingOrder="0"/>
    </odxf>
    <ndxf>
      <fill>
        <patternFill>
          <bgColor rgb="FFFFFF00"/>
        </patternFill>
      </fill>
      <alignment horizontal="center" readingOrder="0"/>
    </ndxf>
  </rcc>
  <rcc rId="1578" sId="6">
    <oc r="J8">
      <f>IF(OR(NOT(ISERROR(MATCH(RIGHT(B8,3)+0,#REF!,0))),NOT(ISERROR(MATCH(LEFT(B8,3)+0,#REF!,0)))),"No Post","")</f>
    </oc>
    <nc r="J8">
      <f>IF(OR(NOT(ISERROR(MATCH(RIGHT(B8,3)+0,#REF!,0))),NOT(ISERROR(MATCH(LEFT(B8,3)+0,#REF!,0)))),"No Post","")</f>
    </nc>
  </rcc>
  <rcc rId="1579" sId="6">
    <oc r="J31">
      <f>IF(OR(NOT(ISERROR(MATCH(RIGHT(B31,3)+0,#REF!,0))),NOT(ISERROR(MATCH(LEFT(B31,3)+0,#REF!,0)))),"No Post","")</f>
    </oc>
    <nc r="J31">
      <f>IF(OR(NOT(ISERROR(MATCH(RIGHT(B31,3)+0,#REF!,0))),NOT(ISERROR(MATCH(LEFT(B31,3)+0,#REF!,0)))),"No Post","")</f>
    </nc>
  </rcc>
  <rcc rId="1580" sId="6">
    <oc r="J10">
      <f>IF(OR(NOT(ISERROR(MATCH(RIGHT(B10,3)+0,#REF!,0))),NOT(ISERROR(MATCH(LEFT(B10,3)+0,#REF!,0)))),"No Post","")</f>
    </oc>
    <nc r="J10">
      <f>IF(OR(NOT(ISERROR(MATCH(RIGHT(B10,3)+0,#REF!,0))),NOT(ISERROR(MATCH(LEFT(B10,3)+0,#REF!,0)))),"No Post","")</f>
    </nc>
  </rcc>
  <rcc rId="1581" sId="6">
    <oc r="J21">
      <f>IF(OR(NOT(ISERROR(MATCH(RIGHT(B21,3)+0,#REF!,0))),NOT(ISERROR(MATCH(LEFT(B21,3)+0,#REF!,0)))),"No Post","")</f>
    </oc>
    <nc r="J21">
      <f>IF(OR(NOT(ISERROR(MATCH(RIGHT(B21,3)+0,#REF!,0))),NOT(ISERROR(MATCH(LEFT(B21,3)+0,#REF!,0)))),"No Post","")</f>
    </nc>
  </rcc>
  <rcc rId="1582" sId="6">
    <oc r="J15">
      <f>IF(OR(NOT(ISERROR(MATCH(RIGHT(B15,3)+0,#REF!,0))),NOT(ISERROR(MATCH(LEFT(B15,3)+0,#REF!,0)))),"No Post","")</f>
    </oc>
    <nc r="J15">
      <f>IF(OR(NOT(ISERROR(MATCH(RIGHT(B15,3)+0,#REF!,0))),NOT(ISERROR(MATCH(LEFT(B15,3)+0,#REF!,0)))),"No Post","")</f>
    </nc>
  </rcc>
  <rcc rId="1583" sId="6">
    <oc r="J13">
      <f>IF(OR(NOT(ISERROR(MATCH(RIGHT(B13,3)+0,#REF!,0))),NOT(ISERROR(MATCH(LEFT(B13,3)+0,#REF!,0)))),"No Post","")</f>
    </oc>
    <nc r="J13">
      <f>IF(OR(NOT(ISERROR(MATCH(RIGHT(B13,3)+0,#REF!,0))),NOT(ISERROR(MATCH(LEFT(B13,3)+0,#REF!,0)))),"No Post","")</f>
    </nc>
  </rcc>
  <rcc rId="1584" sId="6">
    <oc r="J19">
      <f>IF(OR(NOT(ISERROR(MATCH(RIGHT(B19,3)+0,#REF!,0))),NOT(ISERROR(MATCH(LEFT(B19,3)+0,#REF!,0)))),"No Post","")</f>
    </oc>
    <nc r="J19">
      <f>IF(OR(NOT(ISERROR(MATCH(RIGHT(B19,3)+0,#REF!,0))),NOT(ISERROR(MATCH(LEFT(B19,3)+0,#REF!,0)))),"No Post","")</f>
    </nc>
  </rcc>
  <rcc rId="1585" sId="6">
    <oc r="J7">
      <f>IF(OR(NOT(ISERROR(MATCH(RIGHT(B7,3)+0,#REF!,0))),NOT(ISERROR(MATCH(LEFT(B7,3)+0,#REF!,0)))),"No Post","")</f>
    </oc>
    <nc r="J7">
      <f>IF(OR(NOT(ISERROR(MATCH(RIGHT(B7,3)+0,#REF!,0))),NOT(ISERROR(MATCH(LEFT(B7,3)+0,#REF!,0)))),"No Post","")</f>
    </nc>
  </rcc>
  <rcc rId="1586" sId="6">
    <oc r="J27">
      <f>IF(OR(NOT(ISERROR(MATCH(RIGHT(B27,3)+0,#REF!,0))),NOT(ISERROR(MATCH(LEFT(B27,3)+0,#REF!,0)))),"No Post","")</f>
    </oc>
    <nc r="J27">
      <f>IF(OR(NOT(ISERROR(MATCH(RIGHT(B27,3)+0,#REF!,0))),NOT(ISERROR(MATCH(LEFT(B27,3)+0,#REF!,0)))),"No Post","")</f>
    </nc>
  </rcc>
  <rcc rId="1587" sId="6">
    <nc r="J17">
      <f>IF(OR(NOT(ISERROR(MATCH(RIGHT(B17,3)+0,#REF!,0))),NOT(ISERROR(MATCH(LEFT(B17,3)+0,#REF!,0)))),"No Post","")</f>
    </nc>
  </rcc>
  <rcc rId="1588" sId="6">
    <oc r="J28">
      <f>IF(OR(NOT(ISERROR(MATCH(RIGHT(B28,3)+0,#REF!,0))),NOT(ISERROR(MATCH(LEFT(B28,3)+0,#REF!,0)))),"No Post","")</f>
    </oc>
    <nc r="J28">
      <f>IF(OR(NOT(ISERROR(MATCH(RIGHT(B28,3)+0,#REF!,0))),NOT(ISERROR(MATCH(LEFT(B28,3)+0,#REF!,0)))),"No Post","")</f>
    </nc>
  </rcc>
  <rcc rId="1589" sId="6">
    <oc r="J29" t="inlineStr">
      <is>
        <t>NO POST</t>
      </is>
    </oc>
    <nc r="J29">
      <f>IF(OR(NOT(ISERROR(MATCH(RIGHT(B29,3)+0,#REF!,0))),NOT(ISERROR(MATCH(LEFT(B29,3)+0,#REF!,0)))),"No Post","")</f>
    </nc>
  </rcc>
  <rcc rId="1590" sId="6">
    <oc r="J23">
      <f>IF(OR(NOT(ISERROR(MATCH(RIGHT(B23,3)+0,#REF!,0))),NOT(ISERROR(MATCH(LEFT(B23,3)+0,#REF!,0)))),"No Post","")</f>
    </oc>
    <nc r="J23">
      <f>IF(OR(NOT(ISERROR(MATCH(RIGHT(B23,3)+0,#REF!,0))),NOT(ISERROR(MATCH(LEFT(B23,3)+0,#REF!,0)))),"No Post","")</f>
    </nc>
  </rcc>
  <rcc rId="1591" sId="6">
    <oc r="J14">
      <f>IF(OR(NOT(ISERROR(MATCH(RIGHT(B14,3)+0,#REF!,0))),NOT(ISERROR(MATCH(LEFT(B14,3)+0,#REF!,0)))),"No Post","")</f>
    </oc>
    <nc r="J14">
      <f>IF(OR(NOT(ISERROR(MATCH(RIGHT(B14,3)+0,#REF!,0))),NOT(ISERROR(MATCH(LEFT(B14,3)+0,#REF!,0)))),"No Post","")</f>
    </nc>
  </rcc>
  <rcc rId="1592" sId="6">
    <oc r="J11">
      <f>IF(OR(NOT(ISERROR(MATCH(RIGHT(B11,3)+0,#REF!,0))),NOT(ISERROR(MATCH(LEFT(B11,3)+0,#REF!,0)))),"No Post","")</f>
    </oc>
    <nc r="J11">
      <f>IF(OR(NOT(ISERROR(MATCH(RIGHT(B11,3)+0,#REF!,0))),NOT(ISERROR(MATCH(LEFT(B11,3)+0,#REF!,0)))),"No Post","")</f>
    </nc>
  </rcc>
  <rcc rId="1593" sId="6">
    <oc r="J9">
      <f>IF(OR(NOT(ISERROR(MATCH(RIGHT(B9,3)+0,#REF!,0))),NOT(ISERROR(MATCH(LEFT(B9,3)+0,#REF!,0)))),"No Post","")</f>
    </oc>
    <nc r="J9">
      <f>IF(OR(NOT(ISERROR(MATCH(RIGHT(B9,3)+0,#REF!,0))),NOT(ISERROR(MATCH(LEFT(B9,3)+0,#REF!,0)))),"No Post","")</f>
    </nc>
  </rcc>
  <rcc rId="1594" sId="6">
    <oc r="J20">
      <f>IF(OR(NOT(ISERROR(MATCH(RIGHT(B20,3)+0,#REF!,0))),NOT(ISERROR(MATCH(LEFT(B20,3)+0,#REF!,0)))),"No Post","")</f>
    </oc>
    <nc r="J20">
      <f>IF(OR(NOT(ISERROR(MATCH(RIGHT(B20,3)+0,#REF!,0))),NOT(ISERROR(MATCH(LEFT(B20,3)+0,#REF!,0)))),"No Post","")</f>
    </nc>
  </rcc>
  <rcc rId="1595" sId="6">
    <oc r="J26" t="inlineStr">
      <is>
        <t>NO POST</t>
      </is>
    </oc>
    <nc r="J26">
      <f>IF(OR(NOT(ISERROR(MATCH(RIGHT(B26,3)+0,#REF!,0))),NOT(ISERROR(MATCH(LEFT(B26,3)+0,#REF!,0)))),"No Post","")</f>
    </nc>
  </rcc>
  <rcc rId="1596" sId="6">
    <oc r="J18">
      <f>IF(OR(NOT(ISERROR(MATCH(RIGHT(B18,3)+0,#REF!,0))),NOT(ISERROR(MATCH(LEFT(B18,3)+0,#REF!,0)))),"No Post","")</f>
    </oc>
    <nc r="J18">
      <f>IF(OR(NOT(ISERROR(MATCH(RIGHT(B18,3)+0,#REF!,0))),NOT(ISERROR(MATCH(LEFT(B18,3)+0,#REF!,0)))),"No Post","")</f>
    </nc>
  </rcc>
  <rcc rId="1597" sId="6">
    <oc r="J12">
      <f>IF(OR(NOT(ISERROR(MATCH(RIGHT(B12,3)+0,#REF!,0))),NOT(ISERROR(MATCH(LEFT(B12,3)+0,#REF!,0)))),"No Post","")</f>
    </oc>
    <nc r="J12">
      <f>IF(OR(NOT(ISERROR(MATCH(RIGHT(B12,3)+0,#REF!,0))),NOT(ISERROR(MATCH(LEFT(B12,3)+0,#REF!,0)))),"No Post","")</f>
    </nc>
  </rcc>
  <rcc rId="1598" sId="6">
    <nc r="J30">
      <f>IF(OR(NOT(ISERROR(MATCH(RIGHT(B30,3)+0,#REF!,0))),NOT(ISERROR(MATCH(LEFT(B30,3)+0,#REF!,0)))),"No Post","")</f>
    </nc>
  </rcc>
  <rcc rId="1599" sId="6">
    <nc r="J25">
      <f>IF(OR(NOT(ISERROR(MATCH(RIGHT(B25,3)+0,#REF!,0))),NOT(ISERROR(MATCH(LEFT(B25,3)+0,#REF!,0)))),"No Post","")</f>
    </nc>
  </rcc>
  <rcc rId="1600" sId="6">
    <nc r="J22">
      <f>IF(OR(NOT(ISERROR(MATCH(RIGHT(B22,3)+0,#REF!,0))),NOT(ISERROR(MATCH(LEFT(B22,3)+0,#REF!,0)))),"No Post","")</f>
    </nc>
  </rcc>
  <rcc rId="1601" sId="6">
    <oc r="J24">
      <f>IF(OR(NOT(ISERROR(MATCH(RIGHT(B24,3)+0,#REF!,0))),NOT(ISERROR(MATCH(LEFT(B24,3)+0,#REF!,0)))),"No Post","")</f>
    </oc>
    <nc r="J24">
      <f>IF(OR(NOT(ISERROR(MATCH(RIGHT(B24,3)+0,#REF!,0))),NOT(ISERROR(MATCH(LEFT(B24,3)+0,#REF!,0)))),"No Post","")</f>
    </nc>
  </rcc>
  <rcc rId="1602" sId="6" odxf="1" dxf="1">
    <nc r="H29" t="inlineStr">
      <is>
        <t>SAI</t>
      </is>
    </nc>
    <odxf>
      <fill>
        <patternFill>
          <bgColor theme="0"/>
        </patternFill>
      </fill>
      <alignment horizontal="left" readingOrder="0"/>
    </odxf>
    <ndxf>
      <fill>
        <patternFill>
          <bgColor rgb="FFFFFF00"/>
        </patternFill>
      </fill>
      <alignment horizontal="center" readingOrder="0"/>
    </ndxf>
  </rcc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B16" start="0" length="0">
    <dxf>
      <fill>
        <patternFill>
          <bgColor theme="0"/>
        </patternFill>
      </fill>
      <alignment vertical="top" readingOrder="0"/>
    </dxf>
  </rfmt>
  <rfmt sheetId="6" sqref="B8" start="0" length="0">
    <dxf>
      <font>
        <sz val="14"/>
        <color rgb="FF4F3629"/>
      </font>
      <fill>
        <patternFill>
          <bgColor theme="0"/>
        </patternFill>
      </fill>
      <alignment vertical="top" readingOrder="0"/>
    </dxf>
  </rfmt>
  <rfmt sheetId="6" sqref="B31" start="0" length="0">
    <dxf>
      <fill>
        <patternFill>
          <bgColor theme="0"/>
        </patternFill>
      </fill>
      <alignment vertical="top" readingOrder="0"/>
    </dxf>
  </rfmt>
  <rfmt sheetId="6" sqref="B10" start="0" length="0">
    <dxf>
      <font>
        <sz val="14"/>
        <color rgb="FF4F3629"/>
      </font>
      <fill>
        <patternFill>
          <bgColor theme="0"/>
        </patternFill>
      </fill>
      <alignment vertical="top" readingOrder="0"/>
    </dxf>
  </rfmt>
  <rfmt sheetId="6" sqref="B21" start="0" length="0">
    <dxf>
      <font>
        <sz val="14"/>
        <color rgb="FF4F3629"/>
      </font>
      <fill>
        <patternFill>
          <bgColor theme="0"/>
        </patternFill>
      </fill>
      <alignment vertical="top" readingOrder="0"/>
    </dxf>
  </rfmt>
  <rfmt sheetId="6" sqref="B15" start="0" length="0">
    <dxf>
      <fill>
        <patternFill>
          <bgColor theme="0"/>
        </patternFill>
      </fill>
      <alignment vertical="top" readingOrder="0"/>
    </dxf>
  </rfmt>
  <rfmt sheetId="6" sqref="B19" start="0" length="0">
    <dxf>
      <fill>
        <patternFill>
          <bgColor theme="0"/>
        </patternFill>
      </fill>
      <alignment vertical="top" readingOrder="0"/>
    </dxf>
  </rfmt>
  <rfmt sheetId="6" sqref="B27" start="0" length="0">
    <dxf>
      <alignment vertical="top" readingOrder="0"/>
    </dxf>
  </rfmt>
  <rfmt sheetId="6" sqref="B17" start="0" length="0">
    <dxf>
      <alignment vertical="top" readingOrder="0"/>
    </dxf>
  </rfmt>
  <rfmt sheetId="6" sqref="B28" start="0" length="0">
    <dxf>
      <alignment vertical="top" readingOrder="0"/>
    </dxf>
  </rfmt>
  <rfmt sheetId="6" sqref="B29" start="0" length="0">
    <dxf>
      <alignment vertical="top" readingOrder="0"/>
    </dxf>
  </rfmt>
  <rfmt sheetId="6" sqref="B16" start="0" length="0">
    <dxf>
      <fill>
        <patternFill>
          <bgColor rgb="FFFFFF00"/>
        </patternFill>
      </fill>
      <alignment vertical="center" readingOrder="0"/>
    </dxf>
  </rfmt>
  <rfmt sheetId="6" sqref="B8" start="0" length="0">
    <dxf>
      <font>
        <sz val="14"/>
        <color rgb="FF4F3629"/>
      </font>
      <fill>
        <patternFill>
          <bgColor rgb="FF92D050"/>
        </patternFill>
      </fill>
      <alignment vertical="center" readingOrder="0"/>
    </dxf>
  </rfmt>
  <rfmt sheetId="6" sqref="B31" start="0" length="0">
    <dxf>
      <fill>
        <patternFill>
          <bgColor rgb="FFFFFF00"/>
        </patternFill>
      </fill>
      <alignment vertical="center" readingOrder="0"/>
    </dxf>
  </rfmt>
  <rfmt sheetId="6" sqref="B10" start="0" length="0">
    <dxf>
      <font>
        <sz val="14"/>
        <color rgb="FF4F3629"/>
      </font>
      <fill>
        <patternFill>
          <bgColor rgb="FF92D050"/>
        </patternFill>
      </fill>
      <alignment vertical="center" readingOrder="0"/>
    </dxf>
  </rfmt>
  <rfmt sheetId="6" sqref="B21" start="0" length="0">
    <dxf>
      <font>
        <sz val="14"/>
        <color rgb="FF4F3629"/>
      </font>
      <fill>
        <patternFill>
          <bgColor rgb="FF92D050"/>
        </patternFill>
      </fill>
      <alignment vertical="center" readingOrder="0"/>
    </dxf>
  </rfmt>
  <rfmt sheetId="6" sqref="B15" start="0" length="0">
    <dxf>
      <fill>
        <patternFill>
          <bgColor rgb="FFFF66CC"/>
        </patternFill>
      </fill>
      <alignment vertical="center" readingOrder="0"/>
    </dxf>
  </rfmt>
  <rfmt sheetId="6" sqref="B13" start="0" length="0">
    <dxf>
      <font>
        <sz val="14"/>
        <color rgb="FF4F3629"/>
      </font>
      <fill>
        <patternFill>
          <bgColor rgb="FF92D050"/>
        </patternFill>
      </fill>
      <alignment vertical="center" readingOrder="0"/>
    </dxf>
  </rfmt>
  <rfmt sheetId="6" sqref="B19" start="0" length="0">
    <dxf>
      <fill>
        <patternFill>
          <bgColor rgb="FFFF66CC"/>
        </patternFill>
      </fill>
      <alignment vertical="center" readingOrder="0"/>
    </dxf>
  </rfmt>
  <rfmt sheetId="6" sqref="B7" start="0" length="0">
    <dxf>
      <font>
        <sz val="14"/>
        <color rgb="FF4F3629"/>
      </font>
      <fill>
        <patternFill>
          <bgColor rgb="FF92D050"/>
        </patternFill>
      </fill>
      <alignment vertical="center" readingOrder="0"/>
    </dxf>
  </rfmt>
  <rfmt sheetId="6" sqref="B27" start="0" length="0">
    <dxf>
      <fill>
        <patternFill>
          <bgColor rgb="FFFF66CC"/>
        </patternFill>
      </fill>
      <alignment vertical="center" readingOrder="0"/>
    </dxf>
  </rfmt>
  <rfmt sheetId="6" sqref="B17" start="0" length="0">
    <dxf>
      <alignment horizontal="left" vertical="center" readingOrder="0"/>
    </dxf>
  </rfmt>
  <rfmt sheetId="6" sqref="B28" start="0" length="0">
    <dxf>
      <fill>
        <patternFill>
          <bgColor rgb="FFFFFF00"/>
        </patternFill>
      </fill>
      <alignment vertical="center" readingOrder="0"/>
    </dxf>
  </rfmt>
  <rfmt sheetId="6" sqref="B29" start="0" length="0">
    <dxf>
      <fill>
        <patternFill>
          <bgColor rgb="FFFFFF00"/>
        </patternFill>
      </fill>
      <alignment vertical="center" readingOrder="0"/>
    </dxf>
  </rfmt>
  <rfmt sheetId="6" sqref="B23" start="0" length="0">
    <dxf>
      <font>
        <sz val="14"/>
        <color rgb="FF4F3629"/>
      </font>
    </dxf>
  </rfmt>
  <rfmt sheetId="6" sqref="B26" start="0" length="0">
    <dxf>
      <alignment horizontal="left" readingOrder="0"/>
    </dxf>
  </rfmt>
  <rcc rId="1603" sId="6" odxf="1" dxf="1">
    <nc r="H14" t="inlineStr">
      <is>
        <t>ALLOCATION</t>
      </is>
    </nc>
    <odxf>
      <font>
        <sz val="14"/>
      </font>
      <fill>
        <patternFill>
          <bgColor theme="0"/>
        </patternFill>
      </fill>
      <alignment vertical="top" readingOrder="0"/>
    </odxf>
    <ndxf>
      <font>
        <sz val="14"/>
        <color rgb="FF4F3629"/>
      </font>
      <fill>
        <patternFill>
          <bgColor rgb="FF92D050"/>
        </patternFill>
      </fill>
      <alignment vertical="center" readingOrder="0"/>
    </ndxf>
  </rcc>
  <rcc rId="1604" sId="6" odxf="1" dxf="1">
    <nc r="H11" t="inlineStr">
      <is>
        <t>SAI</t>
      </is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1605" sId="6" odxf="1" dxf="1">
    <nc r="H9" t="inlineStr">
      <is>
        <t>SAI</t>
      </is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fmt sheetId="6" sqref="H26" start="0" length="0">
    <dxf>
      <fill>
        <patternFill>
          <bgColor rgb="FFFFFF00"/>
        </patternFill>
      </fill>
      <alignment horizontal="center" readingOrder="0"/>
    </dxf>
  </rfmt>
  <rcc rId="1606" sId="6">
    <nc r="H26" t="inlineStr">
      <is>
        <t>BB</t>
      </is>
    </nc>
  </rcc>
  <rcc rId="1607" sId="6" odxf="1" dxf="1">
    <nc r="H12" t="inlineStr">
      <is>
        <t>ALLOCATION</t>
      </is>
    </nc>
    <odxf>
      <fill>
        <patternFill>
          <bgColor theme="0"/>
        </patternFill>
      </fill>
      <alignment vertical="top" readingOrder="0"/>
    </odxf>
    <ndxf>
      <fill>
        <patternFill>
          <bgColor rgb="FF92D050"/>
        </patternFill>
      </fill>
      <alignment vertical="center" readingOrder="0"/>
    </ndxf>
  </rcc>
  <rcc rId="1608" sId="6" odxf="1" dxf="1">
    <nc r="H30" t="inlineStr">
      <is>
        <t>ALLOCATION</t>
      </is>
    </nc>
    <odxf>
      <fill>
        <patternFill>
          <bgColor theme="0"/>
        </patternFill>
      </fill>
      <alignment horizontal="left" readingOrder="0"/>
    </odxf>
    <ndxf>
      <fill>
        <patternFill>
          <bgColor rgb="FF92D050"/>
        </patternFill>
      </fill>
      <alignment horizontal="center" readingOrder="0"/>
    </ndxf>
  </rcc>
  <rfmt sheetId="6" sqref="B14" start="0" length="0">
    <dxf>
      <font>
        <sz val="14"/>
        <color rgb="FF4F3629"/>
      </font>
      <fill>
        <patternFill>
          <bgColor rgb="FF92D050"/>
        </patternFill>
      </fill>
      <alignment vertical="center" readingOrder="0"/>
    </dxf>
  </rfmt>
  <rfmt sheetId="6" sqref="B11" start="0" length="0">
    <dxf>
      <fill>
        <patternFill>
          <bgColor rgb="FFFFFF00"/>
        </patternFill>
      </fill>
      <alignment vertical="center" readingOrder="0"/>
    </dxf>
  </rfmt>
  <rfmt sheetId="6" sqref="B9" start="0" length="0">
    <dxf>
      <fill>
        <patternFill>
          <bgColor rgb="FFFFFF00"/>
        </patternFill>
      </fill>
      <alignment vertical="center" readingOrder="0"/>
    </dxf>
  </rfmt>
  <rfmt sheetId="6" sqref="B26" start="0" length="0">
    <dxf>
      <fill>
        <patternFill>
          <bgColor rgb="FFFFFF00"/>
        </patternFill>
      </fill>
      <alignment horizontal="center" readingOrder="0"/>
    </dxf>
  </rfmt>
  <rfmt sheetId="6" sqref="B12" start="0" length="0">
    <dxf>
      <fill>
        <patternFill>
          <bgColor rgb="FF92D050"/>
        </patternFill>
      </fill>
      <alignment vertical="center" readingOrder="0"/>
    </dxf>
  </rfmt>
  <rfmt sheetId="6" sqref="B30" start="0" length="0">
    <dxf>
      <fill>
        <patternFill>
          <bgColor rgb="FF92D050"/>
        </patternFill>
      </fill>
    </dxf>
  </rfmt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09" sId="6" ref="A20:XFD20" action="insertRow"/>
  <rcc rId="1610" sId="6">
    <nc r="B20">
      <v>302</v>
    </nc>
  </rcc>
  <rcc rId="1611" sId="6">
    <nc r="C20" t="inlineStr">
      <is>
        <t>Jonathon Cavanagh</t>
      </is>
    </nc>
  </rcc>
  <rcc rId="1612" sId="6" numFmtId="19">
    <nc r="D20">
      <v>46152</v>
    </nc>
  </rcc>
  <rcc rId="1613" sId="6">
    <nc r="E20">
      <v>2</v>
    </nc>
  </rcc>
  <rcc rId="1614" sId="6">
    <nc r="H20" t="inlineStr">
      <is>
        <t>SAI</t>
      </is>
    </nc>
  </rcc>
  <rcc rId="1615" sId="6" odxf="1" dxf="1">
    <nc r="I20" t="inlineStr">
      <is>
        <t>UV/Faiha</t>
      </is>
    </nc>
    <odxf>
      <alignment horizontal="left" readingOrder="0"/>
    </odxf>
    <ndxf>
      <alignment horizontal="center" readingOrder="0"/>
    </ndxf>
  </rcc>
  <rcc rId="1616" sId="6">
    <nc r="A20">
      <v>13</v>
    </nc>
  </rcc>
  <rcc rId="1617" sId="6">
    <oc r="A24">
      <v>13</v>
    </oc>
    <nc r="A24">
      <v>14</v>
    </nc>
  </rcc>
  <rcc rId="1618" sId="6">
    <oc r="A14">
      <v>14</v>
    </oc>
    <nc r="A14">
      <v>15</v>
    </nc>
  </rcc>
  <rcc rId="1619" sId="6">
    <oc r="A11">
      <v>15</v>
    </oc>
    <nc r="A11">
      <v>16</v>
    </nc>
  </rcc>
  <rcc rId="1620" sId="6">
    <oc r="A9">
      <v>16</v>
    </oc>
    <nc r="A9">
      <v>17</v>
    </nc>
  </rcc>
  <rcc rId="1621" sId="6">
    <oc r="A21">
      <v>17</v>
    </oc>
    <nc r="A21">
      <v>18</v>
    </nc>
  </rcc>
  <rcc rId="1622" sId="6">
    <oc r="A27">
      <v>18</v>
    </oc>
    <nc r="A27">
      <v>19</v>
    </nc>
  </rcc>
  <rcc rId="1623" sId="6">
    <oc r="A18">
      <v>19</v>
    </oc>
    <nc r="A18">
      <v>20</v>
    </nc>
  </rcc>
  <rcc rId="1624" sId="6">
    <oc r="A12">
      <v>20</v>
    </oc>
    <nc r="A12">
      <v>21</v>
    </nc>
  </rcc>
  <rcc rId="1625" sId="6">
    <oc r="A31">
      <v>21</v>
    </oc>
    <nc r="A31">
      <v>22</v>
    </nc>
  </rcc>
  <rcc rId="1626" sId="6">
    <oc r="A26">
      <v>22</v>
    </oc>
    <nc r="A26">
      <v>23</v>
    </nc>
  </rcc>
  <rcc rId="1627" sId="6">
    <oc r="A23">
      <v>23</v>
    </oc>
    <nc r="A23">
      <v>24</v>
    </nc>
  </rcc>
  <rcc rId="1628" sId="6">
    <oc r="A25">
      <v>24</v>
    </oc>
    <nc r="A25">
      <v>25</v>
    </nc>
  </rcc>
  <rcc rId="1629" sId="6">
    <oc r="B16">
      <v>302</v>
    </oc>
    <nc r="B16"/>
  </rcc>
  <rcc rId="1630" sId="6" numFmtId="19">
    <oc r="D16">
      <v>46152</v>
    </oc>
    <nc r="D16"/>
  </rcc>
  <rcc rId="1631" sId="6">
    <oc r="E16">
      <v>2</v>
    </oc>
    <nc r="E16"/>
  </rcc>
  <rcc rId="1632" sId="6">
    <oc r="H16" t="inlineStr">
      <is>
        <t>SAI</t>
      </is>
    </oc>
    <nc r="H16"/>
  </rcc>
  <rcc rId="1633" sId="6">
    <oc r="I16" t="inlineStr">
      <is>
        <t>UV/Faiha</t>
      </is>
    </oc>
    <nc r="I16"/>
  </rcc>
  <rfmt sheetId="6" sqref="B16">
    <dxf>
      <fill>
        <patternFill patternType="none">
          <bgColor auto="1"/>
        </patternFill>
      </fill>
    </dxf>
  </rfmt>
  <rfmt sheetId="6" sqref="H16">
    <dxf>
      <fill>
        <patternFill patternType="none">
          <bgColor auto="1"/>
        </patternFill>
      </fill>
    </dxf>
  </rfmt>
  <rcc rId="1634" sId="6">
    <nc r="C17" t="inlineStr">
      <is>
        <t>BOAT 2</t>
      </is>
    </nc>
  </rcc>
  <rcc rId="1635" sId="6">
    <oc r="C16" t="inlineStr">
      <is>
        <t>Jonathon Cavanagh</t>
      </is>
    </oc>
    <nc r="C16" t="inlineStr">
      <is>
        <t>BOAT 1</t>
      </is>
    </nc>
  </rcc>
  <rfmt sheetId="6" sqref="C17">
    <dxf>
      <fill>
        <patternFill>
          <bgColor rgb="FFFFFF00"/>
        </patternFill>
      </fill>
    </dxf>
  </rfmt>
  <rfmt sheetId="6" sqref="C17">
    <dxf>
      <fill>
        <patternFill>
          <bgColor rgb="FFFF0000"/>
        </patternFill>
      </fill>
    </dxf>
  </rfmt>
  <rfmt sheetId="6" sqref="C16">
    <dxf>
      <fill>
        <patternFill>
          <bgColor rgb="FFFF0000"/>
        </patternFill>
      </fill>
    </dxf>
  </rfmt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6" sId="7">
    <nc r="B15">
      <v>848</v>
    </nc>
  </rcc>
  <rcc rId="1637" sId="7">
    <nc r="B14">
      <v>869</v>
    </nc>
  </rcc>
  <rcc rId="1638" sId="7">
    <nc r="E14">
      <v>2</v>
    </nc>
  </rcc>
  <rcc rId="1639" sId="7">
    <nc r="E15">
      <v>2</v>
    </nc>
  </rcc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0" sId="7">
    <nc r="C14" t="inlineStr">
      <is>
        <t>Sukyoung Maeng</t>
      </is>
    </nc>
  </rcc>
  <rcc rId="1641" sId="7">
    <nc r="C15" t="inlineStr">
      <is>
        <t>Dongjun Park</t>
      </is>
    </nc>
  </rcc>
  <rcc rId="1642" sId="7">
    <nc r="I14" t="inlineStr">
      <is>
        <t>UV/Tarush</t>
      </is>
    </nc>
  </rcc>
  <rcc rId="1643" sId="7">
    <nc r="I15" t="inlineStr">
      <is>
        <t>UV/Tarush</t>
      </is>
    </nc>
  </rcc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44" sId="6" ref="B1:B1048576" action="insertCol"/>
  <rrc rId="1645" sId="6" ref="C1:C1048576" action="insertCol"/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6" sId="6">
    <oc r="D14">
      <v>691</v>
    </oc>
    <nc r="D14" t="inlineStr">
      <is>
        <t>691/873</t>
      </is>
    </nc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7" sId="6">
    <oc r="D24">
      <v>689</v>
    </oc>
    <nc r="D24" t="inlineStr">
      <is>
        <t>689/890</t>
      </is>
    </nc>
  </rcc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8" sId="6">
    <oc r="L8">
      <f>IF(OR(NOT(ISERROR(MATCH(RIGHT(D8,3)+0,#REF!,0))),NOT(ISERROR(MATCH(LEFT(D8,3)+0,#REF!,0)))),"No Post","")</f>
    </oc>
    <nc r="L8">
      <f>IF(OR(NOT(ISERROR(MATCH(RIGHT(D8,3)+0,#REF!,0))),NOT(ISERROR(MATCH(LEFT(D8,3)+0,#REF!,0)))),"No Post","")</f>
    </nc>
  </rcc>
  <rcc rId="1649" sId="6">
    <oc r="L32">
      <f>IF(OR(NOT(ISERROR(MATCH(RIGHT(D32,3)+0,#REF!,0))),NOT(ISERROR(MATCH(LEFT(D32,3)+0,#REF!,0)))),"No Post","")</f>
    </oc>
    <nc r="L32">
      <f>IF(OR(NOT(ISERROR(MATCH(RIGHT(D32,3)+0,#REF!,0))),NOT(ISERROR(MATCH(LEFT(D32,3)+0,#REF!,0)))),"No Post","")</f>
    </nc>
  </rcc>
  <rcc rId="1650" sId="6">
    <oc r="L10">
      <f>IF(OR(NOT(ISERROR(MATCH(RIGHT(D10,3)+0,#REF!,0))),NOT(ISERROR(MATCH(LEFT(D10,3)+0,#REF!,0)))),"No Post","")</f>
    </oc>
    <nc r="L10">
      <f>IF(OR(NOT(ISERROR(MATCH(RIGHT(D10,3)+0,#REF!,0))),NOT(ISERROR(MATCH(LEFT(D10,3)+0,#REF!,0)))),"No Post","")</f>
    </nc>
  </rcc>
  <rcc rId="1651" sId="6">
    <oc r="L22">
      <f>IF(OR(NOT(ISERROR(MATCH(RIGHT(D22,3)+0,#REF!,0))),NOT(ISERROR(MATCH(LEFT(D22,3)+0,#REF!,0)))),"No Post","")</f>
    </oc>
    <nc r="L22">
      <f>IF(OR(NOT(ISERROR(MATCH(RIGHT(D22,3)+0,#REF!,0))),NOT(ISERROR(MATCH(LEFT(D22,3)+0,#REF!,0)))),"No Post","")</f>
    </nc>
  </rcc>
  <rcc rId="1652" sId="6">
    <oc r="L15">
      <f>IF(OR(NOT(ISERROR(MATCH(RIGHT(D15,3)+0,#REF!,0))),NOT(ISERROR(MATCH(LEFT(D15,3)+0,#REF!,0)))),"No Post","")</f>
    </oc>
    <nc r="L15">
      <f>IF(OR(NOT(ISERROR(MATCH(RIGHT(D15,3)+0,#REF!,0))),NOT(ISERROR(MATCH(LEFT(D15,3)+0,#REF!,0)))),"No Post","")</f>
    </nc>
  </rcc>
  <rcc rId="1653" sId="6">
    <oc r="L13">
      <f>IF(OR(NOT(ISERROR(MATCH(RIGHT(D13,3)+0,#REF!,0))),NOT(ISERROR(MATCH(LEFT(D13,3)+0,#REF!,0)))),"No Post","")</f>
    </oc>
    <nc r="L13">
      <f>IF(OR(NOT(ISERROR(MATCH(RIGHT(D13,3)+0,#REF!,0))),NOT(ISERROR(MATCH(LEFT(D13,3)+0,#REF!,0)))),"No Post","")</f>
    </nc>
  </rcc>
  <rcc rId="1654" sId="6">
    <oc r="L19">
      <f>IF(OR(NOT(ISERROR(MATCH(RIGHT(D19,3)+0,#REF!,0))),NOT(ISERROR(MATCH(LEFT(D19,3)+0,#REF!,0)))),"No Post","")</f>
    </oc>
    <nc r="L19">
      <f>IF(OR(NOT(ISERROR(MATCH(RIGHT(D19,3)+0,#REF!,0))),NOT(ISERROR(MATCH(LEFT(D19,3)+0,#REF!,0)))),"No Post","")</f>
    </nc>
  </rcc>
  <rcc rId="1655" sId="6">
    <oc r="L7">
      <f>IF(OR(NOT(ISERROR(MATCH(RIGHT(D7,3)+0,#REF!,0))),NOT(ISERROR(MATCH(LEFT(D7,3)+0,#REF!,0)))),"No Post","")</f>
    </oc>
    <nc r="L7">
      <f>IF(OR(NOT(ISERROR(MATCH(RIGHT(D7,3)+0,#REF!,0))),NOT(ISERROR(MATCH(LEFT(D7,3)+0,#REF!,0)))),"No Post","")</f>
    </nc>
  </rcc>
  <rcc rId="1656" sId="6">
    <oc r="L28">
      <f>IF(OR(NOT(ISERROR(MATCH(RIGHT(D28,3)+0,#REF!,0))),NOT(ISERROR(MATCH(LEFT(D28,3)+0,#REF!,0)))),"No Post","")</f>
    </oc>
    <nc r="L28">
      <f>IF(OR(NOT(ISERROR(MATCH(RIGHT(D28,3)+0,#REF!,0))),NOT(ISERROR(MATCH(LEFT(D28,3)+0,#REF!,0)))),"No Post","")</f>
    </nc>
  </rcc>
  <rcc rId="1657" sId="6">
    <oc r="L17">
      <f>IF(OR(NOT(ISERROR(MATCH(RIGHT(D17,3)+0,#REF!,0))),NOT(ISERROR(MATCH(LEFT(D17,3)+0,#REF!,0)))),"No Post","")</f>
    </oc>
    <nc r="L17">
      <f>IF(OR(NOT(ISERROR(MATCH(RIGHT(D17,3)+0,#REF!,0))),NOT(ISERROR(MATCH(LEFT(D17,3)+0,#REF!,0)))),"No Post","")</f>
    </nc>
  </rcc>
  <rcc rId="1658" sId="6">
    <oc r="L29">
      <f>IF(OR(NOT(ISERROR(MATCH(RIGHT(D29,3)+0,#REF!,0))),NOT(ISERROR(MATCH(LEFT(D29,3)+0,#REF!,0)))),"No Post","")</f>
    </oc>
    <nc r="L29">
      <f>IF(OR(NOT(ISERROR(MATCH(RIGHT(D29,3)+0,#REF!,0))),NOT(ISERROR(MATCH(LEFT(D29,3)+0,#REF!,0)))),"No Post","")</f>
    </nc>
  </rcc>
  <rcc rId="1659" sId="6">
    <oc r="L30">
      <f>IF(OR(NOT(ISERROR(MATCH(RIGHT(D30,3)+0,#REF!,0))),NOT(ISERROR(MATCH(LEFT(D30,3)+0,#REF!,0)))),"No Post","")</f>
    </oc>
    <nc r="L30">
      <f>IF(OR(NOT(ISERROR(MATCH(RIGHT(D30,3)+0,#REF!,0))),NOT(ISERROR(MATCH(LEFT(D30,3)+0,#REF!,0)))),"No Post","")</f>
    </nc>
  </rcc>
  <rcc rId="1660" sId="6">
    <nc r="L20">
      <f>IF(OR(NOT(ISERROR(MATCH(RIGHT(D20,3)+0,#REF!,0))),NOT(ISERROR(MATCH(LEFT(D20,3)+0,#REF!,0)))),"No Post","")</f>
    </nc>
  </rcc>
  <rcc rId="1661" sId="6">
    <oc r="L24">
      <f>IF(OR(NOT(ISERROR(MATCH(RIGHT(D24,3)+0,#REF!,0))),NOT(ISERROR(MATCH(LEFT(D24,3)+0,#REF!,0)))),"No Post","")</f>
    </oc>
    <nc r="L24">
      <f>IF(OR(NOT(ISERROR(MATCH(RIGHT(D24,3)+0,#REF!,0))),NOT(ISERROR(MATCH(LEFT(D24,3)+0,#REF!,0)))),"No Post","")</f>
    </nc>
  </rcc>
  <rcc rId="1662" sId="6">
    <oc r="L14">
      <f>IF(OR(NOT(ISERROR(MATCH(RIGHT(D14,3)+0,#REF!,0))),NOT(ISERROR(MATCH(LEFT(D14,3)+0,#REF!,0)))),"No Post","")</f>
    </oc>
    <nc r="L14">
      <f>IF(OR(NOT(ISERROR(MATCH(RIGHT(D14,3)+0,#REF!,0))),NOT(ISERROR(MATCH(LEFT(D14,3)+0,#REF!,0)))),"No Post","")</f>
    </nc>
  </rcc>
  <rcc rId="1663" sId="6">
    <oc r="L11">
      <f>IF(OR(NOT(ISERROR(MATCH(RIGHT(D11,3)+0,#REF!,0))),NOT(ISERROR(MATCH(LEFT(D11,3)+0,#REF!,0)))),"No Post","")</f>
    </oc>
    <nc r="L11">
      <f>IF(OR(NOT(ISERROR(MATCH(RIGHT(D11,3)+0,#REF!,0))),NOT(ISERROR(MATCH(LEFT(D11,3)+0,#REF!,0)))),"No Post","")</f>
    </nc>
  </rcc>
  <rcc rId="1664" sId="6">
    <oc r="L9">
      <f>IF(OR(NOT(ISERROR(MATCH(RIGHT(D9,3)+0,#REF!,0))),NOT(ISERROR(MATCH(LEFT(D9,3)+0,#REF!,0)))),"No Post","")</f>
    </oc>
    <nc r="L9">
      <f>IF(OR(NOT(ISERROR(MATCH(RIGHT(D9,3)+0,#REF!,0))),NOT(ISERROR(MATCH(LEFT(D9,3)+0,#REF!,0)))),"No Post","")</f>
    </nc>
  </rcc>
  <rcc rId="1665" sId="6">
    <oc r="L21">
      <f>IF(OR(NOT(ISERROR(MATCH(RIGHT(D21,3)+0,#REF!,0))),NOT(ISERROR(MATCH(LEFT(D21,3)+0,#REF!,0)))),"No Post","")</f>
    </oc>
    <nc r="L21">
      <f>IF(OR(NOT(ISERROR(MATCH(RIGHT(D21,3)+0,#REF!,0))),NOT(ISERROR(MATCH(LEFT(D21,3)+0,#REF!,0)))),"No Post","")</f>
    </nc>
  </rcc>
  <rcc rId="1666" sId="6">
    <oc r="L27">
      <f>IF(OR(NOT(ISERROR(MATCH(RIGHT(D27,3)+0,#REF!,0))),NOT(ISERROR(MATCH(LEFT(D27,3)+0,#REF!,0)))),"No Post","")</f>
    </oc>
    <nc r="L27">
      <f>IF(OR(NOT(ISERROR(MATCH(RIGHT(D27,3)+0,#REF!,0))),NOT(ISERROR(MATCH(LEFT(D27,3)+0,#REF!,0)))),"No Post","")</f>
    </nc>
  </rcc>
  <rcc rId="1667" sId="6">
    <oc r="L18">
      <f>IF(OR(NOT(ISERROR(MATCH(RIGHT(D18,3)+0,#REF!,0))),NOT(ISERROR(MATCH(LEFT(D18,3)+0,#REF!,0)))),"No Post","")</f>
    </oc>
    <nc r="L18">
      <f>IF(OR(NOT(ISERROR(MATCH(RIGHT(D18,3)+0,#REF!,0))),NOT(ISERROR(MATCH(LEFT(D18,3)+0,#REF!,0)))),"No Post","")</f>
    </nc>
  </rcc>
  <rcc rId="1668" sId="6">
    <oc r="L12">
      <f>IF(OR(NOT(ISERROR(MATCH(RIGHT(D12,3)+0,#REF!,0))),NOT(ISERROR(MATCH(LEFT(D12,3)+0,#REF!,0)))),"No Post","")</f>
    </oc>
    <nc r="L12">
      <f>IF(OR(NOT(ISERROR(MATCH(RIGHT(D12,3)+0,#REF!,0))),NOT(ISERROR(MATCH(LEFT(D12,3)+0,#REF!,0)))),"No Post","")</f>
    </nc>
  </rcc>
  <rcc rId="1669" sId="6">
    <oc r="L31">
      <f>IF(OR(NOT(ISERROR(MATCH(RIGHT(D31,3)+0,#REF!,0))),NOT(ISERROR(MATCH(LEFT(D31,3)+0,#REF!,0)))),"No Post","")</f>
    </oc>
    <nc r="L31">
      <f>IF(OR(NOT(ISERROR(MATCH(RIGHT(D31,3)+0,#REF!,0))),NOT(ISERROR(MATCH(LEFT(D31,3)+0,#REF!,0)))),"No Post","")</f>
    </nc>
  </rcc>
  <rcc rId="1670" sId="6">
    <oc r="L26">
      <f>IF(OR(NOT(ISERROR(MATCH(RIGHT(D26,3)+0,#REF!,0))),NOT(ISERROR(MATCH(LEFT(D26,3)+0,#REF!,0)))),"No Post","")</f>
    </oc>
    <nc r="L26">
      <f>IF(OR(NOT(ISERROR(MATCH(RIGHT(D26,3)+0,#REF!,0))),NOT(ISERROR(MATCH(LEFT(D26,3)+0,#REF!,0)))),"No Post","")</f>
    </nc>
  </rcc>
  <rcc rId="1671" sId="6">
    <oc r="L23">
      <f>IF(OR(NOT(ISERROR(MATCH(RIGHT(D23,3)+0,#REF!,0))),NOT(ISERROR(MATCH(LEFT(D23,3)+0,#REF!,0)))),"No Post","")</f>
    </oc>
    <nc r="L23">
      <f>IF(OR(NOT(ISERROR(MATCH(RIGHT(D23,3)+0,#REF!,0))),NOT(ISERROR(MATCH(LEFT(D23,3)+0,#REF!,0)))),"No Post","")</f>
    </nc>
  </rcc>
  <rcc rId="1672" sId="6">
    <oc r="L25">
      <f>IF(OR(NOT(ISERROR(MATCH(RIGHT(D25,3)+0,#REF!,0))),NOT(ISERROR(MATCH(LEFT(D25,3)+0,#REF!,0)))),"No Post","")</f>
    </oc>
    <nc r="L25">
      <f>IF(OR(NOT(ISERROR(MATCH(RIGHT(D25,3)+0,#REF!,0))),NOT(ISERROR(MATCH(LEFT(D25,3)+0,#REF!,0)))),"No Post","")</f>
    </nc>
  </rcc>
  <rrc rId="1673" sId="6" ref="A16:XFD16" action="insertRow"/>
  <rfmt sheetId="6" sqref="A16:XFD16">
    <dxf>
      <fill>
        <patternFill patternType="none">
          <bgColor auto="1"/>
        </patternFill>
      </fill>
    </dxf>
  </rfmt>
  <rcc rId="1674" sId="6" odxf="1" dxf="1">
    <nc r="D16">
      <v>885</v>
    </nc>
    <odxf>
      <font>
        <sz val="14"/>
        <color rgb="FF4F3629"/>
      </font>
      <fill>
        <patternFill patternType="none">
          <bgColor indexed="65"/>
        </patternFill>
      </fill>
    </odxf>
    <ndxf>
      <font>
        <sz val="14"/>
        <color rgb="FF4F3629"/>
      </font>
      <fill>
        <patternFill patternType="solid">
          <bgColor rgb="FF92D050"/>
        </patternFill>
      </fill>
    </ndxf>
  </rcc>
  <rcc rId="1675" sId="6" odxf="1" dxf="1">
    <nc r="E16" t="inlineStr">
      <is>
        <t>Kihoko Kawai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0"/>
        </patternFill>
      </fill>
      <alignment vertical="center" readingOrder="0"/>
    </ndxf>
  </rcc>
  <rcc rId="1676" sId="6" odxf="1" dxf="1" numFmtId="19">
    <nc r="F16">
      <v>46150</v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0"/>
        </patternFill>
      </fill>
      <alignment vertical="center" readingOrder="0"/>
    </ndxf>
  </rcc>
  <rcc rId="1677" sId="6" odxf="1" dxf="1">
    <nc r="G16">
      <v>2</v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0"/>
        </patternFill>
      </fill>
      <alignment vertical="center" readingOrder="0"/>
    </ndxf>
  </rcc>
  <rfmt sheetId="6" sqref="H16" start="0" length="0">
    <dxf>
      <fill>
        <patternFill patternType="solid">
          <bgColor theme="0"/>
        </patternFill>
      </fill>
      <alignment vertical="center" readingOrder="0"/>
    </dxf>
  </rfmt>
  <rfmt sheetId="6" sqref="I16" start="0" length="0">
    <dxf>
      <fill>
        <patternFill patternType="solid">
          <bgColor theme="0"/>
        </patternFill>
      </fill>
      <alignment vertical="center" readingOrder="0"/>
    </dxf>
  </rfmt>
  <rcc rId="1678" sId="6" odxf="1" dxf="1">
    <nc r="J16" t="inlineStr">
      <is>
        <t>ALLOCATION</t>
      </is>
    </nc>
    <odxf>
      <font>
        <sz val="14"/>
        <color rgb="FF4F3629"/>
      </font>
      <fill>
        <patternFill patternType="none">
          <bgColor indexed="65"/>
        </patternFill>
      </fill>
    </odxf>
    <ndxf>
      <font>
        <sz val="14"/>
        <color rgb="FF4F3629"/>
      </font>
      <fill>
        <patternFill patternType="solid">
          <bgColor rgb="FF92D050"/>
        </patternFill>
      </fill>
    </ndxf>
  </rcc>
  <rcc rId="1679" sId="6" odxf="1" dxf="1">
    <nc r="K16" t="inlineStr">
      <is>
        <t>Raahil</t>
      </is>
    </nc>
    <odxf>
      <fill>
        <patternFill patternType="none">
          <bgColor indexed="65"/>
        </patternFill>
      </fill>
      <alignment vertical="top" readingOrder="0"/>
    </odxf>
    <ndxf>
      <fill>
        <patternFill patternType="solid">
          <bgColor theme="0"/>
        </patternFill>
      </fill>
      <alignment vertical="center" readingOrder="0"/>
    </ndxf>
  </rcc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B15:C15">
    <dxf>
      <fill>
        <patternFill>
          <bgColor rgb="FFFFFF00"/>
        </patternFill>
      </fill>
    </dxf>
  </rfmt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80" sId="6" ref="A11:XFD11" action="insertRow"/>
  <rcc rId="1681" sId="6">
    <nc r="D11">
      <v>301</v>
    </nc>
  </rcc>
  <rcc rId="1682" sId="6">
    <nc r="G11">
      <v>2</v>
    </nc>
  </rcc>
  <rfmt sheetId="6" sqref="B11:C11">
    <dxf>
      <fill>
        <patternFill>
          <bgColor rgb="FFFFFF00"/>
        </patternFill>
      </fill>
    </dxf>
  </rfmt>
  <rrc rId="1683" sId="6" ref="A34:XFD34" action="insertRow"/>
  <rcc rId="1684" sId="6">
    <nc r="D34">
      <v>885</v>
    </nc>
  </rcc>
  <rcc rId="1685" sId="6">
    <nc r="E34" t="inlineStr">
      <is>
        <t>Kihoko Kawai</t>
      </is>
    </nc>
  </rcc>
  <rcc rId="1686" sId="6" numFmtId="19">
    <nc r="F34">
      <v>46150</v>
    </nc>
  </rcc>
  <rcc rId="1687" sId="6">
    <nc r="G34">
      <v>2</v>
    </nc>
  </rcc>
  <rcc rId="1688" sId="6">
    <nc r="J34" t="inlineStr">
      <is>
        <t>ALLOCATION</t>
      </is>
    </nc>
  </rcc>
  <rcc rId="1689" sId="6">
    <nc r="K34" t="inlineStr">
      <is>
        <t>Raahil</t>
      </is>
    </nc>
  </rcc>
  <rcc rId="1690" sId="6">
    <oc r="D17">
      <v>885</v>
    </oc>
    <nc r="D17"/>
  </rcc>
  <rcc rId="1691" sId="6">
    <oc r="E17" t="inlineStr">
      <is>
        <t>Kihoko Kawai</t>
      </is>
    </oc>
    <nc r="E17"/>
  </rcc>
  <rcc rId="1692" sId="6" numFmtId="19">
    <oc r="F17">
      <v>46150</v>
    </oc>
    <nc r="F17"/>
  </rcc>
  <rcc rId="1693" sId="6">
    <oc r="G17">
      <v>2</v>
    </oc>
    <nc r="G17"/>
  </rcc>
  <rcc rId="1694" sId="6">
    <oc r="J17" t="inlineStr">
      <is>
        <t>ALLOCATION</t>
      </is>
    </oc>
    <nc r="J17"/>
  </rcc>
  <rcc rId="1695" sId="6">
    <oc r="K17" t="inlineStr">
      <is>
        <t>Raahil</t>
      </is>
    </oc>
    <nc r="K17"/>
  </rcc>
  <rfmt sheetId="6" sqref="B34:C34">
    <dxf>
      <fill>
        <patternFill>
          <bgColor rgb="FFFFFF00"/>
        </patternFill>
      </fill>
    </dxf>
  </rfmt>
  <rfmt sheetId="6" sqref="B10:C10">
    <dxf>
      <fill>
        <patternFill>
          <bgColor rgb="FFFFFF00"/>
        </patternFill>
      </fill>
    </dxf>
  </rfmt>
  <rfmt sheetId="6" sqref="B24:C24">
    <dxf>
      <fill>
        <patternFill>
          <bgColor rgb="FFFFFF00"/>
        </patternFill>
      </fill>
    </dxf>
  </rfmt>
  <rfmt sheetId="6" sqref="B27:C27">
    <dxf>
      <fill>
        <patternFill>
          <bgColor rgb="FFFFFF00"/>
        </patternFill>
      </fill>
    </dxf>
  </rfmt>
  <rcc rId="1696" sId="7" odxf="1" dxf="1">
    <nc r="B16">
      <v>669</v>
    </nc>
    <odxf>
      <font>
        <sz val="14"/>
      </font>
      <fill>
        <patternFill>
          <bgColor theme="0"/>
        </patternFill>
      </fill>
      <alignment vertical="top" readingOrder="0"/>
    </odxf>
    <ndxf>
      <font>
        <sz val="14"/>
        <color rgb="FF4F3629"/>
      </font>
      <fill>
        <patternFill>
          <bgColor rgb="FF92D050"/>
        </patternFill>
      </fill>
      <alignment vertical="center" readingOrder="0"/>
    </ndxf>
  </rcc>
  <rcc rId="1697" sId="7">
    <nc r="C16" t="inlineStr">
      <is>
        <t>Mr. Abhishek Vijaykumar Gandhi</t>
      </is>
    </nc>
  </rcc>
  <rcc rId="1698" sId="7" numFmtId="19">
    <nc r="D16">
      <v>46151</v>
    </nc>
  </rcc>
  <rcc rId="1699" sId="7">
    <nc r="E16">
      <v>2</v>
    </nc>
  </rcc>
  <rcc rId="1700" sId="7" odxf="1" dxf="1">
    <nc r="H16" t="inlineStr">
      <is>
        <t>ALLOCATION</t>
      </is>
    </nc>
    <odxf>
      <font>
        <sz val="14"/>
      </font>
      <fill>
        <patternFill>
          <bgColor theme="0"/>
        </patternFill>
      </fill>
      <alignment vertical="top" readingOrder="0"/>
    </odxf>
    <ndxf>
      <font>
        <sz val="14"/>
        <color rgb="FF4F3629"/>
      </font>
      <fill>
        <patternFill>
          <bgColor rgb="FF92D050"/>
        </patternFill>
      </fill>
      <alignment vertical="center" readingOrder="0"/>
    </ndxf>
  </rcc>
  <rcc rId="1701" sId="7">
    <nc r="I16" t="inlineStr">
      <is>
        <t>Vifau/Shamrath</t>
      </is>
    </nc>
  </rcc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2" sId="6">
    <oc r="D21">
      <v>668</v>
    </oc>
    <nc r="D21" t="inlineStr">
      <is>
        <t>668/874</t>
      </is>
    </nc>
  </rcc>
  <rfmt sheetId="6" sqref="C21">
    <dxf>
      <fill>
        <patternFill>
          <bgColor rgb="FFFFFF00"/>
        </patternFill>
      </fill>
    </dxf>
  </rfmt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C28">
    <dxf>
      <fill>
        <patternFill>
          <bgColor rgb="FFFFFF00"/>
        </patternFill>
      </fill>
    </dxf>
  </rfmt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B26:C26">
    <dxf>
      <fill>
        <patternFill>
          <bgColor rgb="FFFFFF00"/>
        </patternFill>
      </fill>
    </dxf>
  </rfmt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3" sId="6">
    <oc r="G12">
      <v>2</v>
    </oc>
    <nc r="G12" t="inlineStr">
      <is>
        <t>PP2</t>
      </is>
    </nc>
  </rcc>
  <rfmt sheetId="6" sqref="B15:C15">
    <dxf>
      <fill>
        <patternFill>
          <bgColor rgb="FFFFFF00"/>
        </patternFill>
      </fill>
    </dxf>
  </rfmt>
  <rfmt sheetId="6" sqref="B20:C20">
    <dxf>
      <fill>
        <patternFill>
          <bgColor rgb="FFFFFF00"/>
        </patternFill>
      </fill>
    </dxf>
  </rfmt>
  <rcc rId="1704" sId="7" odxf="1" dxf="1">
    <nc r="B17">
      <v>307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1705" sId="7" odxf="1" dxf="1">
    <nc r="C17" t="inlineStr">
      <is>
        <t>Mauro Rossetto</t>
      </is>
    </nc>
    <odxf>
      <alignment horizontal="left" readingOrder="0"/>
    </odxf>
    <ndxf>
      <alignment horizontal="center" readingOrder="0"/>
    </ndxf>
  </rcc>
  <rcc rId="1706" sId="7">
    <nc r="E17">
      <v>2</v>
    </nc>
  </rcc>
  <rcc rId="1707" sId="7">
    <nc r="G17" t="inlineStr">
      <is>
        <t>C$100</t>
      </is>
    </nc>
  </rcc>
  <rcc rId="1708" sId="7" odxf="1" dxf="1">
    <nc r="H17" t="inlineStr">
      <is>
        <t>SAI</t>
      </is>
    </nc>
    <odxf>
      <fill>
        <patternFill>
          <bgColor theme="0"/>
        </patternFill>
      </fill>
      <alignment horizontal="left" readingOrder="0"/>
    </odxf>
    <ndxf>
      <fill>
        <patternFill>
          <bgColor rgb="FFFFFF00"/>
        </patternFill>
      </fill>
      <alignment horizontal="center" readingOrder="0"/>
    </ndxf>
  </rcc>
  <rcc rId="1709" sId="7">
    <nc r="I17" t="inlineStr">
      <is>
        <t>Tarush</t>
      </is>
    </nc>
  </rcc>
  <rcc rId="1710" sId="6">
    <oc r="G35">
      <v>2</v>
    </oc>
    <nc r="G35" t="inlineStr">
      <is>
        <t>pp2</t>
      </is>
    </nc>
  </rcc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C31">
    <dxf>
      <fill>
        <patternFill>
          <bgColor rgb="FFFFFF00"/>
        </patternFill>
      </fill>
    </dxf>
  </rfmt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11" sId="6" ref="A8:XFD8" action="insertRow"/>
  <rcc rId="1712" sId="6">
    <nc r="D8">
      <v>302</v>
    </nc>
  </rcc>
  <rfmt sheetId="6" sqref="B14:C14">
    <dxf>
      <fill>
        <patternFill>
          <bgColor rgb="FFFFFF00"/>
        </patternFill>
      </fill>
    </dxf>
  </rfmt>
  <rcc rId="1713" sId="6">
    <nc r="G8">
      <v>2</v>
    </nc>
  </rcc>
  <rcc rId="1714" sId="6" odxf="1" dxf="1">
    <nc r="J8" t="inlineStr">
      <is>
        <t>SAI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6" sqref="D8">
    <dxf>
      <fill>
        <patternFill patternType="solid">
          <bgColor rgb="FFFFFF00"/>
        </patternFill>
      </fill>
    </dxf>
  </rfmt>
  <rcc rId="1715" sId="6">
    <oc r="D15">
      <v>621</v>
    </oc>
    <nc r="D15" t="inlineStr">
      <is>
        <t>621/855</t>
      </is>
    </nc>
  </rcc>
  <rfmt sheetId="6" sqref="B15:C15">
    <dxf>
      <fill>
        <patternFill>
          <bgColor rgb="FFFFFF00"/>
        </patternFill>
      </fill>
    </dxf>
  </rfmt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E8" start="0" length="0">
    <dxf>
      <numFmt numFmtId="19" formatCode="dd/mm/yyyy"/>
      <fill>
        <patternFill>
          <bgColor theme="0"/>
        </patternFill>
      </fill>
    </dxf>
  </rfmt>
  <rcc rId="1716" sId="6" odxf="1" dxf="1">
    <oc r="D8">
      <v>302</v>
    </oc>
    <nc r="D8"/>
    <odxf>
      <fill>
        <patternFill>
          <bgColor rgb="FFFFFF00"/>
        </patternFill>
      </fill>
      <alignment vertical="center" readingOrder="0"/>
    </odxf>
    <ndxf>
      <fill>
        <patternFill>
          <bgColor theme="0"/>
        </patternFill>
      </fill>
      <alignment vertical="top" readingOrder="0"/>
    </ndxf>
  </rcc>
  <rfmt sheetId="6" sqref="E8" start="0" length="0">
    <dxf>
      <numFmt numFmtId="0" formatCode="General"/>
      <alignment vertical="top" readingOrder="0"/>
    </dxf>
  </rfmt>
  <rfmt sheetId="6" sqref="F8" start="0" length="0">
    <dxf>
      <numFmt numFmtId="0" formatCode="General"/>
      <alignment vertical="top" readingOrder="0"/>
    </dxf>
  </rfmt>
  <rcc rId="1717" sId="6" odxf="1" dxf="1">
    <oc r="G8">
      <v>2</v>
    </oc>
    <nc r="G8"/>
    <odxf>
      <alignment vertical="center" readingOrder="0"/>
    </odxf>
    <ndxf>
      <alignment vertical="top" readingOrder="0"/>
    </ndxf>
  </rcc>
  <rfmt sheetId="6" sqref="H8" start="0" length="0">
    <dxf>
      <alignment vertical="top" readingOrder="0"/>
    </dxf>
  </rfmt>
  <rfmt sheetId="6" sqref="I8" start="0" length="0">
    <dxf>
      <alignment vertical="top" readingOrder="0"/>
    </dxf>
  </rfmt>
  <rcc rId="1718" sId="6" odxf="1" dxf="1">
    <oc r="J8" t="inlineStr">
      <is>
        <t>SAI</t>
      </is>
    </oc>
    <nc r="J8"/>
    <odxf>
      <fill>
        <patternFill>
          <bgColor rgb="FFFFFF00"/>
        </patternFill>
      </fill>
      <alignment vertical="center" readingOrder="0"/>
    </odxf>
    <ndxf>
      <fill>
        <patternFill>
          <bgColor theme="0"/>
        </patternFill>
      </fill>
      <alignment vertical="top" readingOrder="0"/>
    </ndxf>
  </rcc>
  <rfmt sheetId="6" sqref="C23">
    <dxf>
      <fill>
        <patternFill>
          <bgColor rgb="FFFFFF00"/>
        </patternFill>
      </fill>
    </dxf>
  </rfmt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B23">
    <dxf>
      <fill>
        <patternFill>
          <bgColor rgb="FFFFFF00"/>
        </patternFill>
      </fill>
    </dxf>
  </rfmt>
  <rfmt sheetId="6" sqref="B32">
    <dxf>
      <fill>
        <patternFill>
          <bgColor rgb="FFFFFF00"/>
        </patternFill>
      </fill>
    </dxf>
  </rfmt>
  <rfmt sheetId="6" sqref="B34:C34">
    <dxf>
      <fill>
        <patternFill>
          <bgColor rgb="FFFFFF00"/>
        </patternFill>
      </fill>
    </dxf>
  </rfmt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9" sId="6">
    <oc r="G7">
      <v>2</v>
    </oc>
    <nc r="G7" t="inlineStr">
      <is>
        <t>PP2</t>
      </is>
    </nc>
  </rcc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B24:C24">
    <dxf>
      <fill>
        <patternFill>
          <bgColor rgb="FFFFFF00"/>
        </patternFill>
      </fill>
    </dxf>
  </rfmt>
  <rcc rId="1720" sId="6">
    <oc r="G21" t="inlineStr">
      <is>
        <t>PP2</t>
      </is>
    </oc>
    <nc r="G21">
      <v>2</v>
    </nc>
  </rcc>
  <rcc rId="1721" sId="6">
    <oc r="G16">
      <v>2</v>
    </oc>
    <nc r="G16">
      <v>1</v>
    </nc>
  </rcc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2" sId="7">
    <oc r="E27">
      <f>SUM(E17:E26)</f>
    </oc>
    <nc r="E27">
      <f>SUM(E7:E26)</f>
    </nc>
  </rcc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3" sId="7">
    <nc r="B18">
      <v>689</v>
    </nc>
  </rcc>
  <rcc rId="1724" sId="7">
    <nc r="E18">
      <v>2</v>
    </nc>
  </rcc>
</revisions>
</file>

<file path=xl/revisions/revisionLog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5" sId="7">
    <oc r="E12">
      <v>2</v>
    </oc>
    <nc r="E12" t="inlineStr">
      <is>
        <t>CXL 2</t>
      </is>
    </nc>
  </rcc>
</revisions>
</file>

<file path=xl/revisions/revisionLog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6" sId="7">
    <nc r="C18" t="inlineStr">
      <is>
        <t>Yu, Hui</t>
      </is>
    </nc>
  </rcc>
  <rcc rId="1727" sId="7" numFmtId="19">
    <nc r="D18">
      <v>46150</v>
    </nc>
  </rcc>
  <rcc rId="1728" sId="7">
    <nc r="I18" t="inlineStr">
      <is>
        <t>Habil/Xuan</t>
      </is>
    </nc>
  </rcc>
</revisions>
</file>

<file path=xl/revisions/revisionLog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9" sId="7">
    <oc r="A5" t="inlineStr">
      <is>
        <t>SUNSET DOLPHIN EXCURSION  (MAX 20 PAX)  USD$65PP  17:00 TO 18:30</t>
      </is>
    </oc>
    <nc r="A5" t="inlineStr">
      <is>
        <t>SUNSET DOLPHIN EXCURSION  (MAX 27 PAX)  USD$65PP  17:00 TO 18:30</t>
      </is>
    </nc>
  </rcc>
</revisions>
</file>

<file path=xl/revisions/revisionLog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0" sId="8">
    <nc r="B8">
      <v>691</v>
    </nc>
  </rcc>
  <rcc rId="1731" sId="8">
    <nc r="E8">
      <v>2</v>
    </nc>
  </rcc>
  <rcc rId="1732" sId="8">
    <nc r="F8">
      <v>1</v>
    </nc>
  </rcc>
  <rcc rId="1733" sId="8">
    <nc r="I8" t="inlineStr">
      <is>
        <t>Win/Faiha</t>
      </is>
    </nc>
  </rcc>
  <rcc rId="1734" sId="8">
    <nc r="C8" t="inlineStr">
      <is>
        <t>Hai Li</t>
      </is>
    </nc>
  </rcc>
  <rcc rId="1735" sId="8" numFmtId="19">
    <nc r="D8">
      <v>46151</v>
    </nc>
  </rcc>
</revisions>
</file>

<file path=xl/revisions/revisionLog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6" sId="7">
    <oc r="B7" t="inlineStr">
      <is>
        <t>Prebooking</t>
      </is>
    </oc>
    <nc r="B7">
      <v>818</v>
    </nc>
  </rcc>
  <rcc rId="1737" sId="7">
    <oc r="B8" t="inlineStr">
      <is>
        <t>Prebooking</t>
      </is>
    </oc>
    <nc r="B8">
      <v>889</v>
    </nc>
  </rcc>
</revisions>
</file>

<file path=xl/revisions/revisionLog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B8" start="0" length="0">
    <dxf>
      <fill>
        <patternFill>
          <bgColor rgb="FFFF66CC"/>
        </patternFill>
      </fill>
      <alignment vertical="center" readingOrder="0"/>
    </dxf>
  </rfmt>
  <rcc rId="1738" sId="9" odxf="1" dxf="1">
    <nc r="C8" t="inlineStr">
      <is>
        <t>Subeom Yang</t>
      </is>
    </nc>
    <odxf>
      <alignment vertical="top" readingOrder="0"/>
    </odxf>
    <ndxf>
      <alignment vertical="center" readingOrder="0"/>
    </ndxf>
  </rcc>
  <rfmt sheetId="9" sqref="D8" start="0" length="0">
    <dxf>
      <alignment vertical="center" readingOrder="0"/>
    </dxf>
  </rfmt>
  <rcc rId="1739" sId="9" odxf="1" dxf="1">
    <nc r="E8">
      <v>2</v>
    </nc>
    <odxf>
      <alignment vertical="top" readingOrder="0"/>
    </odxf>
    <ndxf>
      <alignment vertical="center" readingOrder="0"/>
    </ndxf>
  </rcc>
  <rfmt sheetId="9" sqref="F8" start="0" length="0">
    <dxf>
      <alignment vertical="center" readingOrder="0"/>
    </dxf>
  </rfmt>
  <rfmt sheetId="9" sqref="G8" start="0" length="0">
    <dxf>
      <alignment vertical="center" readingOrder="0"/>
    </dxf>
  </rfmt>
  <rcc rId="1740" sId="9" odxf="1" dxf="1">
    <nc r="H8" t="inlineStr">
      <is>
        <t>ITA</t>
      </is>
    </nc>
    <odxf>
      <fill>
        <patternFill>
          <bgColor theme="0"/>
        </patternFill>
      </fill>
      <alignment vertical="top" readingOrder="0"/>
    </odxf>
    <ndxf>
      <fill>
        <patternFill>
          <bgColor rgb="FFFF66CC"/>
        </patternFill>
      </fill>
      <alignment vertical="center" readingOrder="0"/>
    </ndxf>
  </rcc>
  <rcc rId="1741" sId="9" odxf="1" dxf="1">
    <nc r="I8" t="inlineStr">
      <is>
        <t>UV/Tarush</t>
      </is>
    </nc>
    <odxf>
      <alignment horizontal="center" vertical="top" readingOrder="0"/>
    </odxf>
    <ndxf>
      <alignment horizontal="left" vertical="center" readingOrder="0"/>
    </ndxf>
  </rcc>
  <rcc rId="1742" sId="9">
    <nc r="B8" t="inlineStr">
      <is>
        <t>670/840</t>
      </is>
    </nc>
  </rcc>
</revisions>
</file>

<file path=xl/revisions/revisionLog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3" sId="9" numFmtId="19">
    <nc r="D8">
      <v>46152</v>
    </nc>
  </rcc>
</revisions>
</file>

<file path=xl/revisions/revisionLog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4" sId="7">
    <oc r="B10">
      <v>607</v>
    </oc>
    <nc r="B10" t="inlineStr">
      <is>
        <t>607/846</t>
      </is>
    </nc>
  </rcc>
  <rcc rId="1745" sId="7" odxf="1" dxf="1">
    <nc r="H10" t="inlineStr">
      <is>
        <t>SAI</t>
      </is>
    </nc>
    <odxf>
      <fill>
        <patternFill>
          <bgColor theme="0"/>
        </patternFill>
      </fill>
      <alignment vertical="top" readingOrder="0"/>
      <border outline="0">
        <left/>
        <right/>
        <top/>
        <bottom/>
      </border>
    </odxf>
    <ndxf>
      <fill>
        <patternFill>
          <bgColor rgb="FFFFFF0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6" sId="7" odxf="1" dxf="1">
    <nc r="G10" t="inlineStr">
      <is>
        <t>C$100</t>
      </is>
    </nc>
    <odxf>
      <alignment vertical="top" readingOrder="0"/>
    </odxf>
    <ndxf>
      <alignment vertical="center" readingOrder="0"/>
    </ndxf>
  </rcc>
  <rcc rId="1747" sId="7">
    <oc r="B9">
      <v>666</v>
    </oc>
    <nc r="B9" t="inlineStr">
      <is>
        <t>666/852</t>
      </is>
    </nc>
  </rcc>
  <rcc rId="1748" sId="7">
    <oc r="B16">
      <v>669</v>
    </oc>
    <nc r="B16" t="inlineStr">
      <is>
        <t>669/888</t>
      </is>
    </nc>
  </rcc>
  <rcc rId="1749" sId="7" odxf="1" dxf="1">
    <nc r="H18" t="inlineStr">
      <is>
        <t>ALLOCATION</t>
      </is>
    </nc>
    <odxf>
      <font>
        <sz val="14"/>
      </font>
      <fill>
        <patternFill>
          <bgColor theme="0"/>
        </patternFill>
      </fill>
      <alignment horizontal="left" readingOrder="0"/>
    </odxf>
    <ndxf>
      <font>
        <sz val="14"/>
        <color rgb="FF4F3629"/>
      </font>
      <fill>
        <patternFill>
          <bgColor rgb="FF92D050"/>
        </patternFill>
      </fill>
      <alignment horizontal="center" readingOrder="0"/>
    </ndxf>
  </rcc>
  <rcc rId="1750" sId="7" odxf="1" dxf="1">
    <oc r="H7">
      <v>3131446</v>
    </oc>
    <nc r="H7" t="inlineStr">
      <is>
        <t>PAI</t>
      </is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fmt sheetId="7" sqref="B7">
    <dxf>
      <fill>
        <patternFill>
          <bgColor rgb="FF00B0F0"/>
        </patternFill>
      </fill>
    </dxf>
  </rfmt>
  <rcc rId="1751" sId="7">
    <oc r="B13">
      <v>818</v>
    </oc>
    <nc r="B13">
      <v>848</v>
    </nc>
  </rcc>
  <rcc rId="1752" sId="7">
    <oc r="C13" t="inlineStr">
      <is>
        <t>Philip Packman</t>
      </is>
    </oc>
    <nc r="C13" t="inlineStr">
      <is>
        <t>Dongjun Park</t>
      </is>
    </nc>
  </rcc>
  <rcc rId="1753" sId="7">
    <oc r="D13">
      <v>46153</v>
    </oc>
    <nc r="D13"/>
  </rcc>
  <rcc rId="1754" sId="7">
    <oc r="I13" t="inlineStr">
      <is>
        <t>Ekta/Maaji</t>
      </is>
    </oc>
    <nc r="I13" t="inlineStr">
      <is>
        <t>UV/Tarush</t>
      </is>
    </nc>
  </rcc>
  <rcc rId="1755" sId="7">
    <oc r="B15">
      <v>848</v>
    </oc>
    <nc r="B15">
      <v>869</v>
    </nc>
  </rcc>
  <rcc rId="1756" sId="7">
    <oc r="C15" t="inlineStr">
      <is>
        <t>Dongjun Park</t>
      </is>
    </oc>
    <nc r="C15" t="inlineStr">
      <is>
        <t>Sukyoung Maeng</t>
      </is>
    </nc>
  </rcc>
  <rcc rId="1757" sId="7" odxf="1" dxf="1">
    <oc r="B14">
      <v>869</v>
    </oc>
    <nc r="B14">
      <v>885</v>
    </nc>
    <odxf>
      <fill>
        <patternFill>
          <bgColor theme="0"/>
        </patternFill>
      </fill>
      <alignment vertical="top" readingOrder="0"/>
    </odxf>
    <ndxf>
      <fill>
        <patternFill>
          <bgColor rgb="FF92D050"/>
        </patternFill>
      </fill>
      <alignment vertical="center" readingOrder="0"/>
    </ndxf>
  </rcc>
  <rcc rId="1758" sId="7" odxf="1" dxf="1">
    <oc r="C14" t="inlineStr">
      <is>
        <t>Sukyoung Maeng</t>
      </is>
    </oc>
    <nc r="C14" t="inlineStr">
      <is>
        <t>Kihoko Kawai</t>
      </is>
    </nc>
    <odxf>
      <alignment vertical="top" readingOrder="0"/>
    </odxf>
    <ndxf>
      <alignment vertical="center" readingOrder="0"/>
    </ndxf>
  </rcc>
  <rcc rId="1759" sId="7" odxf="1" dxf="1" numFmtId="19">
    <nc r="D14">
      <v>46150</v>
    </nc>
    <odxf>
      <alignment vertical="top" readingOrder="0"/>
    </odxf>
    <ndxf>
      <alignment vertical="center" readingOrder="0"/>
    </ndxf>
  </rcc>
  <rcc rId="1760" sId="7" odxf="1" dxf="1">
    <oc r="E14">
      <v>2</v>
    </oc>
    <nc r="E14" t="inlineStr">
      <is>
        <t>CXL 2</t>
      </is>
    </nc>
    <odxf>
      <alignment vertical="top" readingOrder="0"/>
    </odxf>
    <ndxf>
      <alignment vertical="center" readingOrder="0"/>
    </ndxf>
  </rcc>
  <rfmt sheetId="7" sqref="F14" start="0" length="0">
    <dxf>
      <alignment vertical="center" readingOrder="0"/>
    </dxf>
  </rfmt>
  <rfmt sheetId="7" sqref="G14" start="0" length="0">
    <dxf>
      <alignment vertical="center" readingOrder="0"/>
    </dxf>
  </rfmt>
  <rcc rId="1761" sId="7" odxf="1" dxf="1">
    <nc r="H14" t="inlineStr">
      <is>
        <t>ALLOCATION</t>
      </is>
    </nc>
    <odxf>
      <fill>
        <patternFill>
          <bgColor theme="0"/>
        </patternFill>
      </fill>
      <alignment vertical="top" readingOrder="0"/>
    </odxf>
    <ndxf>
      <fill>
        <patternFill>
          <bgColor rgb="FF92D050"/>
        </patternFill>
      </fill>
      <alignment vertical="center" readingOrder="0"/>
    </ndxf>
  </rcc>
  <rcc rId="1762" sId="7" odxf="1" dxf="1">
    <oc r="I14" t="inlineStr">
      <is>
        <t>UV/Tarush</t>
      </is>
    </oc>
    <nc r="I14" t="inlineStr">
      <is>
        <t>Raahil</t>
      </is>
    </nc>
    <odxf>
      <alignment vertical="top" readingOrder="0"/>
    </odxf>
    <ndxf>
      <alignment vertical="center" readingOrder="0"/>
    </ndxf>
  </rcc>
  <rcc rId="1763" sId="7" odxf="1" dxf="1">
    <oc r="B12">
      <v>885</v>
    </oc>
    <nc r="B12">
      <v>889</v>
    </nc>
    <odxf>
      <fill>
        <patternFill>
          <bgColor rgb="FF92D050"/>
        </patternFill>
      </fill>
      <alignment vertical="center" readingOrder="0"/>
    </odxf>
    <ndxf>
      <fill>
        <patternFill>
          <bgColor theme="0"/>
        </patternFill>
      </fill>
      <alignment vertical="top" readingOrder="0"/>
    </ndxf>
  </rcc>
  <rcc rId="1764" sId="7" odxf="1" dxf="1">
    <oc r="C12" t="inlineStr">
      <is>
        <t>Kihoko Kawai</t>
      </is>
    </oc>
    <nc r="C12" t="inlineStr">
      <is>
        <t>MR.ZHANG/XIANG</t>
      </is>
    </nc>
    <odxf>
      <font>
        <sz val="14"/>
      </font>
      <fill>
        <patternFill patternType="solid">
          <bgColor theme="0"/>
        </patternFill>
      </fill>
      <alignment horizontal="center" readingOrder="0"/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justify" readingOrder="0"/>
    </ndxf>
  </rcc>
  <rcc rId="1765" sId="7" odxf="1" dxf="1" numFmtId="19">
    <oc r="D12">
      <v>46150</v>
    </oc>
    <nc r="D12">
      <v>46151</v>
    </nc>
    <odxf>
      <alignment vertical="center" readingOrder="0"/>
    </odxf>
    <ndxf>
      <alignment vertical="top" readingOrder="0"/>
    </ndxf>
  </rcc>
  <rcc rId="1766" sId="7" odxf="1" dxf="1">
    <oc r="E12" t="inlineStr">
      <is>
        <t>CXL 2</t>
      </is>
    </oc>
    <nc r="E12">
      <v>2</v>
    </nc>
    <odxf>
      <alignment vertical="center" readingOrder="0"/>
    </odxf>
    <ndxf>
      <alignment vertical="top" readingOrder="0"/>
    </ndxf>
  </rcc>
  <rfmt sheetId="7" sqref="F12" start="0" length="0">
    <dxf>
      <alignment vertical="top" readingOrder="0"/>
    </dxf>
  </rfmt>
  <rfmt sheetId="7" sqref="G12" start="0" length="0">
    <dxf>
      <alignment vertical="top" readingOrder="0"/>
    </dxf>
  </rfmt>
  <rcc rId="1767" sId="7" odxf="1" dxf="1">
    <oc r="H12" t="inlineStr">
      <is>
        <t>ALLOCATION</t>
      </is>
    </oc>
    <nc r="H12" t="inlineStr">
      <is>
        <t>3304694, 3304696-TRMD</t>
      </is>
    </nc>
    <odxf>
      <font>
        <sz val="14"/>
      </font>
      <fill>
        <patternFill patternType="solid">
          <bgColor rgb="FF92D050"/>
        </patternFill>
      </fill>
      <alignment horizontal="center" vertical="center" readingOrder="0"/>
    </odxf>
    <ndxf>
      <font>
        <sz val="10"/>
        <color rgb="FF000000"/>
        <name val="Arial"/>
        <scheme val="none"/>
      </font>
      <fill>
        <patternFill patternType="none">
          <bgColor indexed="65"/>
        </patternFill>
      </fill>
      <alignment horizontal="general" vertical="bottom" readingOrder="0"/>
    </ndxf>
  </rcc>
  <rcc rId="1768" sId="7" odxf="1" dxf="1">
    <oc r="I12" t="inlineStr">
      <is>
        <t>Raahil</t>
      </is>
    </oc>
    <nc r="I12" t="inlineStr">
      <is>
        <t>Shamrath/Tarush</t>
      </is>
    </nc>
    <odxf>
      <alignment vertical="center" readingOrder="0"/>
    </odxf>
    <ndxf>
      <alignment vertical="top" readingOrder="0"/>
    </ndxf>
  </rcc>
  <rcc rId="1769" sId="7">
    <oc r="B8">
      <v>889</v>
    </oc>
    <nc r="B8"/>
  </rcc>
  <rcc rId="1770" sId="7">
    <oc r="C8" t="inlineStr">
      <is>
        <t>MR.ZHANG/XIANG</t>
      </is>
    </oc>
    <nc r="C8"/>
  </rcc>
  <rcc rId="1771" sId="7" numFmtId="19">
    <oc r="D8">
      <v>46151</v>
    </oc>
    <nc r="D8"/>
  </rcc>
  <rcc rId="1772" sId="7">
    <oc r="E8">
      <v>2</v>
    </oc>
    <nc r="E8"/>
  </rcc>
  <rcc rId="1773" sId="7">
    <oc r="H8" t="inlineStr">
      <is>
        <t>3304694, 3304696-TRMD</t>
      </is>
    </oc>
    <nc r="H8"/>
  </rcc>
  <rcc rId="1774" sId="7">
    <oc r="I8" t="inlineStr">
      <is>
        <t>Shamrath/Tarush</t>
      </is>
    </oc>
    <nc r="I8"/>
  </rcc>
  <rm rId="1775" sheetId="7" source="B14:I14" destination="B8:I8" sourceSheetId="7">
    <undo index="10" exp="ref" v="1" dr="B18" r="J18" sId="7"/>
    <undo index="0" exp="ref" v="1" dr="B18" r="J18" sId="7"/>
    <rfmt sheetId="7" sqref="B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qref="C8" start="0" length="0">
      <dxf>
        <font>
          <sz val="11"/>
          <color rgb="FF4F3629"/>
          <name val="Arial"/>
          <scheme val="none"/>
        </font>
        <alignment horizontal="justify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qref="D8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qref="E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qref="F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qref="G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qref="H8" start="0" length="0">
      <dxf>
        <font>
          <sz val="10"/>
          <color rgb="FF000000"/>
          <name val="Arial"/>
          <scheme val="none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qref="I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m rId="1776" sheetId="7" source="B12:I12" destination="B14:I14" sourceSheetId="7">
    <rfmt sheetId="7" sqref="B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7" sqref="C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7" sqref="D14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7" sqref="E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7" sqref="F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7" sqref="G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7" sqref="H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7" sqref="I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1777" sheetId="7" source="B8:I8" destination="B12:I12" sourceSheetId="7">
    <undo index="0" exp="area" dr="F17:F26" r="F27" sId="7"/>
  </rm>
  <rfmt sheetId="7" sqref="B8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8" start="0" length="0">
    <dxf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D8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E8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F8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G8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H8" start="0" length="0">
    <dxf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I8" start="0" length="0">
    <dxf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'6'!$A$1:$L$49</formula>
    <oldFormula>'6'!$A$1:$L$49</oldFormula>
  </rdn>
  <rdn rId="0" localSheetId="6" customView="1" name="Z_6222734F_EF03_4A42_A0AF_7421F8747AA6_.wvu.FilterData" hidden="1" oldHidden="1">
    <formula>'6'!$D$6:$K$36</formula>
  </rdn>
  <rdn rId="0" localSheetId="7" customView="1" name="Z_6222734F_EF03_4A42_A0AF_7421F8747AA6_.wvu.PrintArea" hidden="1" oldHidden="1">
    <formula>'7'!$A$1:$J$37</formula>
    <oldFormula>'7'!$A$1:$J$37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0" sId="7">
    <nc r="H9" t="inlineStr">
      <is>
        <t>ITA</t>
      </is>
    </nc>
  </rcc>
  <rfmt sheetId="7" sqref="H9">
    <dxf>
      <fill>
        <patternFill>
          <bgColor rgb="FFFF66CC"/>
        </patternFill>
      </fill>
    </dxf>
  </rfmt>
  <rfmt sheetId="7" sqref="B9">
    <dxf>
      <fill>
        <patternFill>
          <bgColor rgb="FFFF66CC"/>
        </patternFill>
      </fill>
    </dxf>
  </rfmt>
  <rfmt sheetId="7" sqref="B10">
    <dxf>
      <fill>
        <patternFill>
          <bgColor rgb="FFFFFF00"/>
        </patternFill>
      </fill>
    </dxf>
  </rfmt>
  <rfmt sheetId="7" sqref="B18">
    <dxf>
      <fill>
        <patternFill>
          <bgColor rgb="FF92D050"/>
        </patternFill>
      </fill>
    </dxf>
  </rfmt>
  <rfmt sheetId="7" sqref="H13" start="0" length="0">
    <dxf>
      <fill>
        <patternFill>
          <bgColor rgb="FFFF66CC"/>
        </patternFill>
      </fill>
    </dxf>
  </rfmt>
  <rfmt sheetId="7" sqref="B13">
    <dxf>
      <fill>
        <patternFill>
          <bgColor rgb="FFFF66CC"/>
        </patternFill>
      </fill>
    </dxf>
  </rfmt>
  <rcc rId="1811" sId="7">
    <nc r="H13" t="inlineStr">
      <is>
        <t>ITA(NP)</t>
      </is>
    </nc>
  </rcc>
  <rcc rId="1812" sId="7">
    <oc r="J13">
      <f>IF(OR(NOT(ISERROR(MATCH(RIGHT(B14,3)+0,#REF!,0))),NOT(ISERROR(MATCH(LEFT(B14,3)+0,#REF!,0)))),"No Post","")</f>
    </oc>
    <nc r="J13" t="inlineStr">
      <is>
        <t>NO POST</t>
      </is>
    </nc>
  </rcc>
  <rcc rId="1813" sId="7" odxf="1" dxf="1">
    <nc r="H15" t="inlineStr">
      <is>
        <t>ITA(NP)</t>
      </is>
    </nc>
    <odxf>
      <fill>
        <patternFill>
          <bgColor theme="0"/>
        </patternFill>
      </fill>
    </odxf>
    <ndxf>
      <fill>
        <patternFill>
          <bgColor rgb="FFFF66CC"/>
        </patternFill>
      </fill>
    </ndxf>
  </rcc>
  <rfmt sheetId="7" sqref="B15">
    <dxf>
      <fill>
        <patternFill>
          <bgColor rgb="FFFF66CC"/>
        </patternFill>
      </fill>
    </dxf>
  </rfmt>
  <rcc rId="1814" sId="7" odxf="1" dxf="1">
    <oc r="H14" t="inlineStr">
      <is>
        <t>3304694, 3304696-TRMD</t>
      </is>
    </oc>
    <nc r="H14" t="inlineStr">
      <is>
        <t>ALLOCATION</t>
      </is>
    </nc>
    <odxf>
      <font>
        <sz val="10"/>
        <color rgb="FF000000"/>
        <name val="Arial"/>
        <scheme val="none"/>
      </font>
      <fill>
        <patternFill patternType="none">
          <bgColor indexed="65"/>
        </patternFill>
      </fill>
      <alignment horizontal="general" vertical="bottom" readingOrder="0"/>
    </odxf>
    <ndxf>
      <font>
        <sz val="14"/>
        <color rgb="FF000000"/>
        <name val="Arial"/>
        <scheme val="minor"/>
      </font>
      <fill>
        <patternFill patternType="solid">
          <bgColor rgb="FF92D050"/>
        </patternFill>
      </fill>
      <alignment horizontal="center" vertical="center" readingOrder="0"/>
    </ndxf>
  </rcc>
  <rfmt sheetId="7" sqref="B14">
    <dxf>
      <fill>
        <patternFill>
          <bgColor rgb="FF92D050"/>
        </patternFill>
      </fill>
    </dxf>
  </rfmt>
</revisions>
</file>

<file path=xl/revisions/revisionLog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15" sId="7" ref="B1:B1048576" action="insertCol"/>
  <rrc rId="1816" sId="7" ref="B1:B1048576" action="insertCol"/>
  <rcc rId="1817" sId="7">
    <oc r="L10">
      <f>IF(OR(NOT(ISERROR(MATCH(RIGHT(D8,3)+0,#REF!,0))),NOT(ISERROR(MATCH(LEFT(D8,3)+0,#REF!,0)))),"No Post","")</f>
    </oc>
    <nc r="L10" t="inlineStr">
      <is>
        <t>NO POST</t>
      </is>
    </nc>
  </rcc>
  <rcc rId="1818" sId="7">
    <oc r="L17">
      <f>IF(OR(NOT(ISERROR(MATCH(RIGHT(D7,3)+0,#REF!,0))),NOT(ISERROR(MATCH(LEFT(D7,3)+0,#REF!,0)))),"No Post","")</f>
    </oc>
    <nc r="L17" t="inlineStr">
      <is>
        <t>NO POST</t>
      </is>
    </nc>
  </rcc>
</revisions>
</file>

<file path=xl/revisions/revisionLog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D17:K17 D10:K10 D11:K11 D9:K9 D16:K16 D18:K18 D7:K7 D13:K13 D15:K15 D14:K14 D12:K12" start="0" length="2147483647">
    <dxf>
      <font>
        <name val="Calibri"/>
        <scheme val="minor"/>
      </font>
    </dxf>
  </rfmt>
  <rfmt sheetId="7" sqref="D17:K17 D10:K10 D11:K11 D9:K9 D16:K16 D18:K18 D7:K7 D13:K13 D15:K15 D14:K14 D12:K12" start="0" length="2147483647">
    <dxf>
      <font>
        <sz val="14"/>
      </font>
    </dxf>
  </rfmt>
  <rfmt sheetId="7" sqref="D17:K17 D10:K10 D11:K11 D9:K9 D16:K16 D18:K18 D7:K7 D13:K13 D15:K15 D14:K14 D12:K12">
    <dxf>
      <alignment vertical="bottom" readingOrder="0"/>
    </dxf>
  </rfmt>
  <rfmt sheetId="7" sqref="D17:K17 D10:K10 D11:K11 D9:K9 D16:K16 D18:K18 D7:K7 D13:K13 D15:K15 D14:K14 D12:K12">
    <dxf>
      <alignment horizontal="general" readingOrder="0"/>
    </dxf>
  </rfmt>
  <rfmt sheetId="7" sqref="D17:K17 D10:K10 D11:K11 D9:K9 D16:K16 D18:K18 D7:K7 D13:K13 D15:K15 D14:K14 D12:K12">
    <dxf>
      <alignment horizontal="center" readingOrder="0"/>
    </dxf>
  </rfmt>
  <rfmt sheetId="7" sqref="D17:K17 D10:K10 D11:K11 D9:K9 D16:K16 D18:K18 D7:K7 D13:K13 D15:K15 D14:K14 D12:K12">
    <dxf>
      <alignment vertical="center" readingOrder="0"/>
    </dxf>
  </rfmt>
  <rfmt sheetId="7" sqref="D17:K17 D10:K10 D11:K11 D9:K9 D16:K16 D18:K18 D7:K7 D13:K13 D15:K15 D14:K14 D12:K12" start="0" length="2147483647">
    <dxf>
      <font>
        <b/>
      </font>
    </dxf>
  </rfmt>
  <rfmt sheetId="7" sqref="D17:K17 D10:K10 D11:K11 D9:K9 D16:K16 D18:K18 D7:K7 D13:K13 D15:K15 D14:K14 D12:K12" start="0" length="2147483647">
    <dxf>
      <font>
        <b val="0"/>
      </font>
    </dxf>
  </rfmt>
</revisions>
</file>

<file path=xl/revisions/revisionLog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9" sId="7" numFmtId="19">
    <nc r="F13">
      <v>46152</v>
    </nc>
  </rcc>
  <rcc rId="1820" sId="7" numFmtId="19">
    <nc r="F15">
      <v>46152</v>
    </nc>
  </rcc>
  <rcc rId="1821" sId="7" numFmtId="19">
    <nc r="F17">
      <v>46151</v>
    </nc>
  </rcc>
</revisions>
</file>

<file path=xl/revisions/revisionLog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D12:J12">
    <dxf>
      <fill>
        <patternFill>
          <bgColor rgb="FFFF0000"/>
        </patternFill>
      </fill>
    </dxf>
  </rfmt>
</revisions>
</file>

<file path=xl/revisions/revisionLog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D12:J12" start="0" length="2147483647">
    <dxf>
      <font>
        <b/>
      </font>
    </dxf>
  </rfmt>
</revisions>
</file>

<file path=xl/revisions/revisionLog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2" sId="8" odxf="1" dxf="1">
    <nc r="B9">
      <v>889</v>
    </nc>
    <odxf>
      <fill>
        <patternFill>
          <bgColor theme="0"/>
        </patternFill>
      </fill>
      <alignment vertical="top" readingOrder="0"/>
    </odxf>
    <ndxf>
      <fill>
        <patternFill>
          <bgColor rgb="FF92D050"/>
        </patternFill>
      </fill>
      <alignment vertical="center" readingOrder="0"/>
    </ndxf>
  </rcc>
  <rcc rId="1823" sId="8" odxf="1" dxf="1">
    <nc r="C9" t="inlineStr">
      <is>
        <t>MR.ZHANG/XIANG</t>
      </is>
    </nc>
    <odxf>
      <font>
        <sz val="14"/>
      </font>
      <fill>
        <patternFill patternType="solid">
          <bgColor theme="0"/>
        </patternFill>
      </fill>
      <alignment vertical="top" readingOrder="0"/>
    </odxf>
    <ndxf>
      <font>
        <sz val="14"/>
        <color rgb="FF4F3629"/>
      </font>
      <fill>
        <patternFill patternType="none">
          <bgColor indexed="65"/>
        </patternFill>
      </fill>
      <alignment vertical="center" readingOrder="0"/>
    </ndxf>
  </rcc>
  <rcc rId="1824" sId="8" odxf="1" dxf="1" numFmtId="19">
    <nc r="D9">
      <v>46151</v>
    </nc>
    <odxf>
      <alignment vertical="top" readingOrder="0"/>
    </odxf>
    <ndxf>
      <alignment vertical="center" readingOrder="0"/>
    </ndxf>
  </rcc>
  <rcc rId="1825" sId="8" odxf="1" dxf="1">
    <nc r="E9">
      <v>2</v>
    </nc>
    <odxf>
      <alignment vertical="top" readingOrder="0"/>
    </odxf>
    <ndxf>
      <alignment vertical="center" readingOrder="0"/>
    </ndxf>
  </rcc>
  <rfmt sheetId="8" sqref="F9" start="0" length="0">
    <dxf>
      <alignment vertical="center" readingOrder="0"/>
    </dxf>
  </rfmt>
  <rfmt sheetId="8" sqref="G9" start="0" length="0">
    <dxf>
      <alignment vertical="center" readingOrder="0"/>
    </dxf>
  </rfmt>
  <rcc rId="1826" sId="8" odxf="1" dxf="1">
    <nc r="H9" t="inlineStr">
      <is>
        <t>ALLOCATION</t>
      </is>
    </nc>
    <odxf>
      <fill>
        <patternFill>
          <bgColor theme="0"/>
        </patternFill>
      </fill>
      <alignment vertical="top" readingOrder="0"/>
    </odxf>
    <ndxf>
      <fill>
        <patternFill>
          <bgColor rgb="FF92D050"/>
        </patternFill>
      </fill>
      <alignment vertical="center" readingOrder="0"/>
    </ndxf>
  </rcc>
  <rcc rId="1827" sId="8" odxf="1" dxf="1">
    <nc r="I9" t="inlineStr">
      <is>
        <t>Shamrath/Tarush</t>
      </is>
    </nc>
    <odxf>
      <alignment vertical="top" readingOrder="0"/>
    </odxf>
    <ndxf>
      <alignment vertical="center" readingOrder="0"/>
    </ndxf>
  </rcc>
</revisions>
</file>

<file path=xl/revisions/revisionLog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8" sId="7">
    <oc r="G14">
      <v>2</v>
    </oc>
    <nc r="G14" t="inlineStr">
      <is>
        <t>PP2</t>
      </is>
    </nc>
  </rcc>
</revisions>
</file>

<file path=xl/revisions/revisionLog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D14:J14">
    <dxf>
      <fill>
        <patternFill>
          <bgColor rgb="FFFF0000"/>
        </patternFill>
      </fill>
    </dxf>
  </rfmt>
  <rfmt sheetId="7" sqref="D14:J14" start="0" length="2147483647">
    <dxf>
      <font>
        <b/>
      </font>
    </dxf>
  </rfmt>
  <rfmt sheetId="7" sqref="C10">
    <dxf>
      <fill>
        <patternFill>
          <bgColor theme="9" tint="-0.499984740745262"/>
        </patternFill>
      </fill>
    </dxf>
  </rfmt>
  <rfmt sheetId="7" sqref="C11">
    <dxf>
      <fill>
        <patternFill>
          <bgColor rgb="FFC00000"/>
        </patternFill>
      </fill>
    </dxf>
  </rfmt>
  <rfmt sheetId="7" sqref="C9">
    <dxf>
      <fill>
        <patternFill>
          <bgColor rgb="FFC00000"/>
        </patternFill>
      </fill>
    </dxf>
  </rfmt>
  <rfmt sheetId="7" sqref="C16 C18">
    <dxf>
      <fill>
        <patternFill>
          <bgColor rgb="FFC00000"/>
        </patternFill>
      </fill>
    </dxf>
  </rfmt>
  <rfmt sheetId="7" sqref="C18">
    <dxf>
      <fill>
        <patternFill>
          <bgColor theme="9" tint="-0.499984740745262"/>
        </patternFill>
      </fill>
    </dxf>
  </rfmt>
  <rcc rId="1829" sId="8" odxf="1" dxf="1">
    <nc r="B10">
      <v>689</v>
    </nc>
    <odxf>
      <fill>
        <patternFill>
          <bgColor theme="0"/>
        </patternFill>
      </fill>
      <alignment vertical="top" readingOrder="0"/>
    </odxf>
    <ndxf>
      <fill>
        <patternFill>
          <bgColor rgb="FF92D050"/>
        </patternFill>
      </fill>
      <alignment vertical="center" readingOrder="0"/>
    </ndxf>
  </rcc>
  <rcc rId="1830" sId="8" odxf="1" dxf="1">
    <nc r="C10" t="inlineStr">
      <is>
        <t>Yu, Hui</t>
      </is>
    </nc>
    <odxf>
      <alignment vertical="top" readingOrder="0"/>
    </odxf>
    <ndxf>
      <alignment vertical="center" readingOrder="0"/>
    </ndxf>
  </rcc>
  <rcc rId="1831" sId="8" odxf="1" dxf="1" numFmtId="19">
    <nc r="D10">
      <v>46150</v>
    </nc>
    <odxf>
      <alignment vertical="top" readingOrder="0"/>
    </odxf>
    <ndxf>
      <alignment vertical="center" readingOrder="0"/>
    </ndxf>
  </rcc>
  <rcc rId="1832" sId="8" odxf="1" dxf="1">
    <nc r="E10">
      <v>2</v>
    </nc>
    <odxf>
      <alignment vertical="top" readingOrder="0"/>
    </odxf>
    <ndxf>
      <alignment vertical="center" readingOrder="0"/>
    </ndxf>
  </rcc>
  <rfmt sheetId="8" sqref="F10" start="0" length="0">
    <dxf>
      <alignment vertical="center" readingOrder="0"/>
    </dxf>
  </rfmt>
  <rfmt sheetId="8" sqref="G10" start="0" length="0">
    <dxf>
      <alignment vertical="center" readingOrder="0"/>
    </dxf>
  </rfmt>
  <rcc rId="1833" sId="8" odxf="1" dxf="1">
    <nc r="H10" t="inlineStr">
      <is>
        <t>ALLOCATION</t>
      </is>
    </nc>
    <odxf>
      <font>
        <sz val="14"/>
      </font>
      <fill>
        <patternFill>
          <bgColor theme="0"/>
        </patternFill>
      </fill>
      <alignment vertical="top" readingOrder="0"/>
    </odxf>
    <ndxf>
      <font>
        <sz val="14"/>
        <color rgb="FF4F3629"/>
      </font>
      <fill>
        <patternFill>
          <bgColor rgb="FF92D050"/>
        </patternFill>
      </fill>
      <alignment vertical="center" readingOrder="0"/>
    </ndxf>
  </rcc>
  <rcc rId="1834" sId="8" odxf="1" dxf="1">
    <nc r="I10" t="inlineStr">
      <is>
        <t>Habil/Xuan</t>
      </is>
    </nc>
    <odxf>
      <alignment vertical="top" readingOrder="0"/>
    </odxf>
    <ndxf>
      <alignment vertical="center" readingOrder="0"/>
    </ndxf>
  </rcc>
  <rcc rId="1835" sId="8" odxf="1" dxf="1">
    <nc r="B11">
      <v>818</v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cc rId="1836" sId="8" odxf="1" dxf="1">
    <nc r="C11" t="inlineStr">
      <is>
        <t>Mr. Philip Edward Packman</t>
      </is>
    </nc>
    <odxf>
      <alignment vertical="top" readingOrder="0"/>
    </odxf>
    <ndxf>
      <alignment vertical="center" readingOrder="0"/>
    </ndxf>
  </rcc>
  <rcc rId="1837" sId="8" odxf="1" dxf="1" numFmtId="19">
    <nc r="D11">
      <v>46153</v>
    </nc>
    <odxf>
      <alignment vertical="top" readingOrder="0"/>
    </odxf>
    <ndxf>
      <alignment vertical="center" readingOrder="0"/>
    </ndxf>
  </rcc>
  <rcc rId="1838" sId="8" odxf="1" dxf="1">
    <nc r="E11">
      <v>2</v>
    </nc>
    <odxf>
      <alignment vertical="top" readingOrder="0"/>
    </odxf>
    <ndxf>
      <alignment vertical="center" readingOrder="0"/>
    </ndxf>
  </rcc>
  <rfmt sheetId="8" sqref="F11" start="0" length="0">
    <dxf>
      <alignment vertical="center" readingOrder="0"/>
    </dxf>
  </rfmt>
  <rfmt sheetId="8" sqref="G11" start="0" length="0">
    <dxf>
      <alignment vertical="center" readingOrder="0"/>
    </dxf>
  </rfmt>
  <rcc rId="1839" sId="8" odxf="1" dxf="1">
    <nc r="H11" t="inlineStr">
      <is>
        <t>PAI</t>
      </is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cc rId="1840" sId="8" odxf="1" dxf="1">
    <nc r="I11" t="inlineStr">
      <is>
        <t>Vifau/Shamrath</t>
      </is>
    </nc>
    <odxf>
      <alignment vertical="top" readingOrder="0"/>
    </odxf>
    <ndxf>
      <alignment vertical="center" readingOrder="0"/>
    </ndxf>
  </rcc>
</revisions>
</file>

<file path=xl/revisions/revisionLog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C7">
    <dxf>
      <fill>
        <patternFill>
          <bgColor theme="9" tint="-0.499984740745262"/>
        </patternFill>
      </fill>
    </dxf>
  </rfmt>
  <rcc rId="1841" sId="8" odxf="1" dxf="1">
    <nc r="B12" t="inlineStr">
      <is>
        <t>607/846</t>
      </is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1842" sId="8" odxf="1" dxf="1">
    <nc r="C12" t="inlineStr">
      <is>
        <t>Kevin Peters</t>
      </is>
    </nc>
    <odxf>
      <alignment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vertical="center" readingOrder="0"/>
      <border outline="0">
        <left/>
        <right/>
        <top/>
        <bottom/>
      </border>
    </ndxf>
  </rcc>
  <rcc rId="1843" sId="8" odxf="1" dxf="1" numFmtId="19">
    <nc r="D12">
      <v>46148</v>
    </nc>
    <odxf>
      <alignment vertical="top" readingOrder="0"/>
    </odxf>
    <ndxf>
      <alignment vertical="center" readingOrder="0"/>
    </ndxf>
  </rcc>
  <rcc rId="1844" sId="8" odxf="1" dxf="1">
    <nc r="E12">
      <v>2</v>
    </nc>
    <odxf>
      <alignment vertical="top" readingOrder="0"/>
    </odxf>
    <ndxf>
      <alignment vertical="center" readingOrder="0"/>
    </ndxf>
  </rcc>
  <rfmt sheetId="8" sqref="F12" start="0" length="0">
    <dxf>
      <alignment vertical="center" readingOrder="0"/>
    </dxf>
  </rfmt>
  <rcc rId="1845" sId="8" odxf="1" dxf="1">
    <nc r="G12" t="inlineStr">
      <is>
        <t>C$100</t>
      </is>
    </nc>
    <odxf>
      <alignment vertical="top" readingOrder="0"/>
    </odxf>
    <ndxf>
      <alignment vertical="center" readingOrder="0"/>
    </ndxf>
  </rcc>
  <rcc rId="1846" sId="8" odxf="1" dxf="1">
    <nc r="H12" t="inlineStr">
      <is>
        <t>SAI</t>
      </is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1847" sId="8" odxf="1" dxf="1">
    <nc r="I12" t="inlineStr">
      <is>
        <t>Archana/Faiha</t>
      </is>
    </nc>
    <odxf>
      <alignment vertical="top" readingOrder="0"/>
    </odxf>
    <ndxf>
      <alignment vertical="center" readingOrder="0"/>
    </ndxf>
  </rcc>
  <rcc rId="1848" sId="8">
    <oc r="J12">
      <f>IF(OR(NOT(ISERROR(MATCH(RIGHT(B12,3)+0,#REF!,0))),NOT(ISERROR(MATCH(LEFT(B12,3)+0,#REF!,0)))),"No Post","")</f>
    </oc>
    <nc r="J12" t="inlineStr">
      <is>
        <t>NO POST</t>
      </is>
    </nc>
  </rcc>
</revisions>
</file>

<file path=xl/revisions/revisionLog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C13">
    <dxf>
      <fill>
        <patternFill>
          <bgColor rgb="FFC00000"/>
        </patternFill>
      </fill>
    </dxf>
  </rfmt>
  <rfmt sheetId="7" sqref="C17">
    <dxf>
      <fill>
        <patternFill>
          <bgColor rgb="FFC00000"/>
        </patternFill>
      </fill>
    </dxf>
  </rfmt>
  <rfmt sheetId="7" sqref="C15">
    <dxf>
      <fill>
        <patternFill>
          <bgColor rgb="FFC00000"/>
        </patternFill>
      </fill>
    </dxf>
  </rfmt>
</revisions>
</file>

<file path=xl/revisions/revisionLog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M17" start="0" length="0">
    <dxf>
      <fill>
        <patternFill patternType="solid">
          <bgColor rgb="FFC0000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M10" start="0" length="0">
    <dxf>
      <fill>
        <patternFill patternType="solid">
          <bgColor theme="9" tint="-0.49998474074526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M11" start="0" length="0">
    <dxf>
      <fill>
        <patternFill patternType="solid">
          <bgColor rgb="FFC0000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M9" start="0" length="0">
    <dxf>
      <fill>
        <patternFill patternType="solid">
          <bgColor rgb="FFC0000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M16" start="0" length="0">
    <dxf>
      <fill>
        <patternFill patternType="solid">
          <bgColor rgb="FFC0000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M18" start="0" length="0">
    <dxf>
      <fill>
        <patternFill patternType="solid">
          <bgColor theme="9" tint="-0.49998474074526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M7" start="0" length="0">
    <dxf>
      <fill>
        <patternFill patternType="solid">
          <bgColor theme="9" tint="-0.49998474074526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M13" start="0" length="0">
    <dxf>
      <fill>
        <patternFill patternType="solid">
          <bgColor rgb="FFC0000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M15" start="0" length="0">
    <dxf>
      <fill>
        <patternFill patternType="solid">
          <bgColor rgb="FFC0000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C17" start="0" length="0">
    <dxf>
      <fill>
        <patternFill>
          <bgColor theme="0"/>
        </patternFill>
      </fill>
    </dxf>
  </rfmt>
  <rfmt sheetId="7" sqref="C10" start="0" length="0">
    <dxf>
      <fill>
        <patternFill>
          <bgColor theme="0"/>
        </patternFill>
      </fill>
    </dxf>
  </rfmt>
  <rfmt sheetId="7" sqref="C11" start="0" length="0">
    <dxf>
      <fill>
        <patternFill>
          <bgColor theme="0"/>
        </patternFill>
      </fill>
    </dxf>
  </rfmt>
  <rfmt sheetId="7" sqref="C9" start="0" length="0">
    <dxf>
      <fill>
        <patternFill>
          <bgColor theme="0"/>
        </patternFill>
      </fill>
    </dxf>
  </rfmt>
  <rfmt sheetId="7" sqref="C16" start="0" length="0">
    <dxf>
      <fill>
        <patternFill>
          <bgColor theme="0"/>
        </patternFill>
      </fill>
    </dxf>
  </rfmt>
  <rfmt sheetId="7" sqref="C18" start="0" length="0">
    <dxf>
      <fill>
        <patternFill>
          <bgColor theme="0"/>
        </patternFill>
      </fill>
    </dxf>
  </rfmt>
  <rfmt sheetId="7" sqref="C7" start="0" length="0">
    <dxf>
      <fill>
        <patternFill>
          <bgColor theme="0"/>
        </patternFill>
      </fill>
    </dxf>
  </rfmt>
  <rfmt sheetId="7" sqref="C13" start="0" length="0">
    <dxf>
      <fill>
        <patternFill>
          <bgColor theme="0"/>
        </patternFill>
      </fill>
    </dxf>
  </rfmt>
  <rfmt sheetId="7" sqref="C15" start="0" length="0">
    <dxf>
      <fill>
        <patternFill>
          <bgColor theme="0"/>
        </patternFill>
      </fill>
    </dxf>
  </rfmt>
</revisions>
</file>

<file path=xl/revisions/revisionLog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M13" start="0" length="0">
    <dxf>
      <fill>
        <patternFill>
          <bgColor theme="9" tint="-0.499984740745262"/>
        </patternFill>
      </fill>
    </dxf>
  </rfmt>
  <rcc rId="1849" sId="8" odxf="1" dxf="1">
    <nc r="B13">
      <v>848</v>
    </nc>
    <odxf>
      <fill>
        <patternFill>
          <bgColor theme="0"/>
        </patternFill>
      </fill>
      <alignment vertical="top" readingOrder="0"/>
    </odxf>
    <ndxf>
      <fill>
        <patternFill>
          <bgColor rgb="FFFF66CC"/>
        </patternFill>
      </fill>
      <alignment vertical="center" readingOrder="0"/>
    </ndxf>
  </rcc>
  <rcc rId="1850" sId="8" odxf="1" dxf="1">
    <nc r="C13" t="inlineStr">
      <is>
        <t>Dongjun Park</t>
      </is>
    </nc>
    <odxf>
      <alignment vertical="top" readingOrder="0"/>
    </odxf>
    <ndxf>
      <alignment vertical="center" readingOrder="0"/>
    </ndxf>
  </rcc>
  <rcc rId="1851" sId="8" odxf="1" dxf="1" numFmtId="19">
    <nc r="D13">
      <v>46152</v>
    </nc>
    <odxf>
      <alignment vertical="top" readingOrder="0"/>
    </odxf>
    <ndxf>
      <alignment vertical="center" readingOrder="0"/>
    </ndxf>
  </rcc>
  <rcc rId="1852" sId="8" odxf="1" dxf="1">
    <nc r="E13">
      <v>2</v>
    </nc>
    <odxf>
      <alignment vertical="top" readingOrder="0"/>
    </odxf>
    <ndxf>
      <alignment vertical="center" readingOrder="0"/>
    </ndxf>
  </rcc>
  <rfmt sheetId="8" sqref="F13" start="0" length="0">
    <dxf>
      <alignment vertical="center" readingOrder="0"/>
    </dxf>
  </rfmt>
  <rfmt sheetId="8" sqref="G13" start="0" length="0">
    <dxf>
      <alignment vertical="center" readingOrder="0"/>
    </dxf>
  </rfmt>
  <rcc rId="1853" sId="8" odxf="1" dxf="1">
    <nc r="H13" t="inlineStr">
      <is>
        <t>ITA(NP)</t>
      </is>
    </nc>
    <odxf>
      <fill>
        <patternFill>
          <bgColor theme="0"/>
        </patternFill>
      </fill>
      <alignment vertical="top" readingOrder="0"/>
    </odxf>
    <ndxf>
      <fill>
        <patternFill>
          <bgColor rgb="FFFF66CC"/>
        </patternFill>
      </fill>
      <alignment vertical="center" readingOrder="0"/>
    </ndxf>
  </rcc>
  <rcc rId="1854" sId="8" odxf="1" dxf="1">
    <nc r="I13" t="inlineStr">
      <is>
        <t>UV/Tarush</t>
      </is>
    </nc>
    <odxf>
      <alignment vertical="top" readingOrder="0"/>
    </odxf>
    <ndxf>
      <alignment vertical="center" readingOrder="0"/>
    </ndxf>
  </rcc>
  <rcc rId="1855" sId="8">
    <oc r="J13">
      <f>IF(OR(NOT(ISERROR(MATCH(RIGHT(B13,3)+0,#REF!,0))),NOT(ISERROR(MATCH(LEFT(B13,3)+0,#REF!,0)))),"No Post","")</f>
    </oc>
    <nc r="J13" t="inlineStr">
      <is>
        <t>NO POST</t>
      </is>
    </nc>
  </rcc>
</revisions>
</file>

<file path=xl/revisions/revisionLog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6" sId="7">
    <oc r="L15">
      <f>IF(OR(NOT(ISERROR(MATCH(RIGHT(D15,3)+0,#REF!,0))),NOT(ISERROR(MATCH(LEFT(D15,3)+0,#REF!,0)))),"No Post","")</f>
    </oc>
    <nc r="L15" t="inlineStr">
      <is>
        <t>NO POST</t>
      </is>
    </nc>
  </rcc>
</revisions>
</file>

<file path=xl/revisions/revisionLog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7" sId="8" odxf="1" dxf="1">
    <nc r="B14">
      <v>617</v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cc rId="1858" sId="8" odxf="1" dxf="1">
    <nc r="C14" t="inlineStr">
      <is>
        <t>Alexandra Abramova</t>
      </is>
    </nc>
    <odxf>
      <alignment vertical="top" readingOrder="0"/>
    </odxf>
    <ndxf>
      <alignment vertical="center" readingOrder="0"/>
    </ndxf>
  </rcc>
  <rcc rId="1859" sId="8" odxf="1" dxf="1" numFmtId="19">
    <nc r="D14">
      <v>46124</v>
    </nc>
    <odxf>
      <alignment vertical="top" readingOrder="0"/>
    </odxf>
    <ndxf>
      <alignment vertical="center" readingOrder="0"/>
    </ndxf>
  </rcc>
  <rcc rId="1860" sId="8" odxf="1" dxf="1">
    <nc r="E14">
      <v>3</v>
    </nc>
    <odxf>
      <alignment vertical="top" readingOrder="0"/>
    </odxf>
    <ndxf>
      <alignment vertical="center" readingOrder="0"/>
    </ndxf>
  </rcc>
  <rfmt sheetId="8" sqref="F14" start="0" length="0">
    <dxf>
      <alignment vertical="center" readingOrder="0"/>
    </dxf>
  </rfmt>
  <rfmt sheetId="8" sqref="G14" start="0" length="0">
    <dxf>
      <alignment vertical="center" readingOrder="0"/>
    </dxf>
  </rfmt>
  <rcc rId="1861" sId="8" odxf="1" dxf="1">
    <nc r="H14" t="inlineStr">
      <is>
        <t>PAI</t>
      </is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cc rId="1862" sId="8" odxf="1" dxf="1">
    <nc r="I14" t="inlineStr">
      <is>
        <t>Faiha</t>
      </is>
    </nc>
    <odxf>
      <alignment vertical="top" readingOrder="0"/>
    </odxf>
    <ndxf>
      <alignment vertical="center" readingOrder="0"/>
    </ndxf>
  </rcc>
</revisions>
</file>

<file path=xl/revisions/revisionLog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M11" start="0" length="0">
    <dxf>
      <fill>
        <patternFill>
          <bgColor theme="9" tint="-0.499984740745262"/>
        </patternFill>
      </fill>
    </dxf>
  </rfmt>
</revisions>
</file>

<file path=xl/revisions/revisionLog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J9 J16 J18 J7" start="0" length="2147483647">
    <dxf>
      <font>
        <color auto="1"/>
      </font>
    </dxf>
  </rfmt>
</revisions>
</file>

<file path=xl/revisions/revisionLog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3" sId="7">
    <nc r="M17" t="inlineStr">
      <is>
        <t>NA</t>
      </is>
    </nc>
  </rcc>
  <rcc rId="1864" sId="7">
    <nc r="M10" t="inlineStr">
      <is>
        <t>Informed</t>
      </is>
    </nc>
  </rcc>
  <rfmt sheetId="7" sqref="M17 M10 M11" start="0" length="2147483647">
    <dxf>
      <font>
        <color theme="0"/>
      </font>
    </dxf>
  </rfmt>
  <rcc rId="1865" sId="7">
    <nc r="M11" t="inlineStr">
      <is>
        <t>Informed</t>
      </is>
    </nc>
  </rcc>
  <rcc rId="1866" sId="7" odxf="1" dxf="1">
    <nc r="M9" t="inlineStr">
      <is>
        <t>NA</t>
      </is>
    </nc>
    <odxf>
      <font>
        <sz val="14"/>
      </font>
    </odxf>
    <ndxf>
      <font>
        <sz val="14"/>
        <color theme="0"/>
      </font>
    </ndxf>
  </rcc>
  <rcc rId="1867" sId="7" odxf="1" dxf="1">
    <nc r="M16" t="inlineStr">
      <is>
        <t>NA</t>
      </is>
    </nc>
    <odxf>
      <font>
        <sz val="14"/>
      </font>
    </odxf>
    <ndxf>
      <font>
        <sz val="14"/>
        <color theme="0"/>
      </font>
    </ndxf>
  </rcc>
  <rcc rId="1868" sId="7" odxf="1" dxf="1">
    <nc r="M18" t="inlineStr">
      <is>
        <t>Informed</t>
      </is>
    </nc>
    <odxf>
      <font>
        <sz val="14"/>
      </font>
    </odxf>
    <ndxf>
      <font>
        <sz val="14"/>
        <color theme="0"/>
      </font>
    </ndxf>
  </rcc>
  <rcc rId="1869" sId="7" odxf="1" dxf="1">
    <nc r="M7" t="inlineStr">
      <is>
        <t>Informed</t>
      </is>
    </nc>
    <odxf>
      <font>
        <sz val="14"/>
      </font>
    </odxf>
    <ndxf>
      <font>
        <sz val="14"/>
        <color theme="0"/>
      </font>
    </ndxf>
  </rcc>
  <rcc rId="1870" sId="7" odxf="1" dxf="1">
    <nc r="M13" t="inlineStr">
      <is>
        <t>Informed</t>
      </is>
    </nc>
    <odxf>
      <font>
        <sz val="14"/>
      </font>
    </odxf>
    <ndxf>
      <font>
        <sz val="14"/>
        <color theme="0"/>
      </font>
    </ndxf>
  </rcc>
  <rcc rId="1871" sId="7" odxf="1" dxf="1">
    <nc r="M15" t="inlineStr">
      <is>
        <t>NA</t>
      </is>
    </nc>
    <odxf>
      <font>
        <sz val="14"/>
      </font>
    </odxf>
    <ndxf>
      <font>
        <sz val="14"/>
        <color theme="0"/>
      </font>
    </ndxf>
  </rcc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'6'!$A$1:$L$49</formula>
    <oldFormula>'6'!$A$1:$L$49</oldFormula>
  </rdn>
  <rdn rId="0" localSheetId="6" customView="1" name="Z_6222734F_EF03_4A42_A0AF_7421F8747AA6_.wvu.FilterData" hidden="1" oldHidden="1">
    <formula>'6'!$D$6:$K$36</formula>
    <oldFormula>'6'!$D$6:$K$36</oldFormula>
  </rdn>
  <rdn rId="0" localSheetId="7" customView="1" name="Z_6222734F_EF03_4A42_A0AF_7421F8747AA6_.wvu.PrintArea" hidden="1" oldHidden="1">
    <formula>'7'!$A$1:$L$37</formula>
    <oldFormula>'7'!$A$1:$L$37</oldFormula>
  </rdn>
  <rdn rId="0" localSheetId="8" customView="1" name="Z_6222734F_EF03_4A42_A0AF_7421F8747AA6_.wvu.PrintArea" hidden="1" oldHidden="1">
    <formula>'8'!$A$1:$J$37</formula>
    <oldFormula>'8'!$A$1:$J$37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4" sId="9" odxf="1" dxf="1">
    <nc r="B9" t="inlineStr">
      <is>
        <t>666/852</t>
      </is>
    </nc>
    <odxf>
      <fill>
        <patternFill>
          <bgColor theme="0"/>
        </patternFill>
      </fill>
      <alignment vertical="top" readingOrder="0"/>
    </odxf>
    <ndxf>
      <fill>
        <patternFill>
          <bgColor rgb="FFFF66CC"/>
        </patternFill>
      </fill>
      <alignment vertical="center" readingOrder="0"/>
    </ndxf>
  </rcc>
  <rcc rId="1905" sId="9" odxf="1" dxf="1">
    <nc r="C9" t="inlineStr">
      <is>
        <t>Jinyong Nam</t>
      </is>
    </nc>
    <odxf>
      <alignment vertical="top" readingOrder="0"/>
    </odxf>
    <ndxf>
      <alignment vertical="center" readingOrder="0"/>
    </ndxf>
  </rcc>
  <rcc rId="1906" sId="9" odxf="1" dxf="1" numFmtId="19">
    <nc r="D9">
      <v>46148</v>
    </nc>
    <odxf>
      <alignment vertical="top" readingOrder="0"/>
    </odxf>
    <ndxf>
      <alignment vertical="center" readingOrder="0"/>
    </ndxf>
  </rcc>
  <rcc rId="1907" sId="9" odxf="1" dxf="1">
    <nc r="E9">
      <v>2</v>
    </nc>
    <odxf>
      <alignment vertical="top" readingOrder="0"/>
    </odxf>
    <ndxf>
      <alignment vertical="center" readingOrder="0"/>
    </ndxf>
  </rcc>
  <rfmt sheetId="9" sqref="F9" start="0" length="0">
    <dxf>
      <alignment vertical="center" readingOrder="0"/>
    </dxf>
  </rfmt>
  <rfmt sheetId="9" sqref="G9" start="0" length="0">
    <dxf>
      <alignment vertical="center" readingOrder="0"/>
    </dxf>
  </rfmt>
  <rcc rId="1908" sId="9" odxf="1" dxf="1">
    <nc r="H9" t="inlineStr">
      <is>
        <t>ITA</t>
      </is>
    </nc>
    <odxf>
      <font>
        <sz val="14"/>
      </font>
      <fill>
        <patternFill>
          <bgColor theme="0"/>
        </patternFill>
      </fill>
      <alignment vertical="top" readingOrder="0"/>
    </odxf>
    <ndxf>
      <font>
        <sz val="14"/>
        <color auto="1"/>
      </font>
      <fill>
        <patternFill>
          <bgColor rgb="FFFF66CC"/>
        </patternFill>
      </fill>
      <alignment vertical="center" readingOrder="0"/>
    </ndxf>
  </rcc>
  <rcc rId="1909" sId="9" odxf="1" dxf="1">
    <nc r="I9" t="inlineStr">
      <is>
        <t>Win/Faiha</t>
      </is>
    </nc>
    <odxf>
      <alignment vertical="top" readingOrder="0"/>
    </odxf>
    <ndxf>
      <alignment vertical="center" readingOrder="0"/>
    </ndxf>
  </rcc>
</revisions>
</file>

<file path=xl/revisions/revisionLog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0" sId="7" odxf="1" dxf="1">
    <oc r="M9" t="inlineStr">
      <is>
        <t>NA</t>
      </is>
    </oc>
    <nc r="M9" t="inlineStr">
      <is>
        <t>Informed</t>
      </is>
    </nc>
    <odxf>
      <fill>
        <patternFill>
          <bgColor rgb="FFC00000"/>
        </patternFill>
      </fill>
    </odxf>
    <ndxf>
      <fill>
        <patternFill>
          <bgColor theme="9" tint="-0.499984740745262"/>
        </patternFill>
      </fill>
    </ndxf>
  </rcc>
</revisions>
</file>

<file path=xl/revisions/revisionLog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E14" start="0" length="2147483647">
    <dxf>
      <font>
        <color theme="1"/>
      </font>
    </dxf>
  </rfmt>
</revisions>
</file>

<file path=xl/revisions/revisionLog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1" sId="8" odxf="1" dxf="1">
    <nc r="B15" t="inlineStr">
      <is>
        <t>669/888</t>
      </is>
    </nc>
    <odxf>
      <font>
        <sz val="14"/>
      </font>
      <fill>
        <patternFill>
          <bgColor theme="0"/>
        </patternFill>
      </fill>
      <alignment vertical="top" readingOrder="0"/>
    </odxf>
    <ndxf>
      <font>
        <sz val="14"/>
        <color rgb="FF4F3629"/>
      </font>
      <fill>
        <patternFill>
          <bgColor rgb="FF92D050"/>
        </patternFill>
      </fill>
      <alignment vertical="center" readingOrder="0"/>
    </ndxf>
  </rcc>
  <rcc rId="1912" sId="8" odxf="1" dxf="1">
    <nc r="C15" t="inlineStr">
      <is>
        <t>Mr. Abhishek Vijaykumar Gandhi</t>
      </is>
    </nc>
    <odxf>
      <alignment vertical="top" readingOrder="0"/>
    </odxf>
    <ndxf>
      <alignment vertical="center" readingOrder="0"/>
    </ndxf>
  </rcc>
  <rcc rId="1913" sId="8" odxf="1" dxf="1" numFmtId="19">
    <nc r="D15">
      <v>46151</v>
    </nc>
    <odxf>
      <alignment vertical="top" readingOrder="0"/>
    </odxf>
    <ndxf>
      <alignment vertical="center" readingOrder="0"/>
    </ndxf>
  </rcc>
  <rcc rId="1914" sId="8" odxf="1" dxf="1">
    <nc r="E15">
      <v>2</v>
    </nc>
    <odxf>
      <alignment vertical="top" readingOrder="0"/>
    </odxf>
    <ndxf>
      <alignment vertical="center" readingOrder="0"/>
    </ndxf>
  </rcc>
  <rfmt sheetId="8" sqref="F15" start="0" length="0">
    <dxf>
      <alignment vertical="center" readingOrder="0"/>
    </dxf>
  </rfmt>
  <rfmt sheetId="8" sqref="G15" start="0" length="0">
    <dxf>
      <alignment vertical="center" readingOrder="0"/>
    </dxf>
  </rfmt>
  <rcc rId="1915" sId="8" odxf="1" dxf="1">
    <nc r="H15" t="inlineStr">
      <is>
        <t>ALLOCATION</t>
      </is>
    </nc>
    <odxf>
      <font>
        <sz val="14"/>
      </font>
      <fill>
        <patternFill>
          <bgColor theme="0"/>
        </patternFill>
      </fill>
      <alignment vertical="top" readingOrder="0"/>
    </odxf>
    <ndxf>
      <font>
        <sz val="14"/>
        <color auto="1"/>
      </font>
      <fill>
        <patternFill>
          <bgColor rgb="FF92D050"/>
        </patternFill>
      </fill>
      <alignment vertical="center" readingOrder="0"/>
    </ndxf>
  </rcc>
  <rcc rId="1916" sId="8" odxf="1" dxf="1">
    <nc r="I15" t="inlineStr">
      <is>
        <t>Vifau/Shamrath</t>
      </is>
    </nc>
    <odxf>
      <alignment vertical="top" readingOrder="0"/>
    </odxf>
    <ndxf>
      <alignment vertical="center" readingOrder="0"/>
    </ndxf>
  </rcc>
</revisions>
</file>

<file path=xl/revisions/revisionLog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7" sId="7" odxf="1" dxf="1">
    <oc r="M16" t="inlineStr">
      <is>
        <t>NA</t>
      </is>
    </oc>
    <nc r="M16" t="inlineStr">
      <is>
        <t>Informed</t>
      </is>
    </nc>
    <odxf>
      <fill>
        <patternFill>
          <bgColor rgb="FFC00000"/>
        </patternFill>
      </fill>
    </odxf>
    <ndxf>
      <fill>
        <patternFill>
          <bgColor theme="9" tint="-0.499984740745262"/>
        </patternFill>
      </fill>
    </ndxf>
  </rcc>
  <rcc rId="1918" sId="8" odxf="1" dxf="1">
    <nc r="B16">
      <v>869</v>
    </nc>
    <odxf>
      <fill>
        <patternFill>
          <bgColor theme="0"/>
        </patternFill>
      </fill>
      <alignment vertical="top" readingOrder="0"/>
    </odxf>
    <ndxf>
      <fill>
        <patternFill>
          <bgColor rgb="FFFF66CC"/>
        </patternFill>
      </fill>
      <alignment vertical="center" readingOrder="0"/>
    </ndxf>
  </rcc>
  <rcc rId="1919" sId="8" odxf="1" dxf="1">
    <nc r="C16" t="inlineStr">
      <is>
        <t>Sukyoung Maeng</t>
      </is>
    </nc>
    <odxf>
      <alignment vertical="top" readingOrder="0"/>
    </odxf>
    <ndxf>
      <alignment vertical="center" readingOrder="0"/>
    </ndxf>
  </rcc>
  <rcc rId="1920" sId="8" odxf="1" dxf="1" numFmtId="19">
    <nc r="D16">
      <v>46152</v>
    </nc>
    <odxf>
      <alignment vertical="top" readingOrder="0"/>
    </odxf>
    <ndxf>
      <alignment vertical="center" readingOrder="0"/>
    </ndxf>
  </rcc>
  <rcc rId="1921" sId="8" odxf="1" dxf="1">
    <nc r="E16">
      <v>2</v>
    </nc>
    <odxf>
      <alignment vertical="top" readingOrder="0"/>
    </odxf>
    <ndxf>
      <alignment vertical="center" readingOrder="0"/>
    </ndxf>
  </rcc>
  <rfmt sheetId="8" sqref="F16" start="0" length="0">
    <dxf>
      <alignment vertical="center" readingOrder="0"/>
    </dxf>
  </rfmt>
  <rfmt sheetId="8" sqref="G16" start="0" length="0">
    <dxf>
      <alignment vertical="center" readingOrder="0"/>
    </dxf>
  </rfmt>
  <rcc rId="1922" sId="8" odxf="1" dxf="1">
    <nc r="H16" t="inlineStr">
      <is>
        <t>ITA(NP)</t>
      </is>
    </nc>
    <odxf>
      <fill>
        <patternFill>
          <bgColor theme="0"/>
        </patternFill>
      </fill>
      <alignment vertical="top" readingOrder="0"/>
    </odxf>
    <ndxf>
      <fill>
        <patternFill>
          <bgColor rgb="FFFF66CC"/>
        </patternFill>
      </fill>
      <alignment vertical="center" readingOrder="0"/>
    </ndxf>
  </rcc>
  <rcc rId="1923" sId="8" odxf="1" dxf="1">
    <nc r="I16" t="inlineStr">
      <is>
        <t>UV/Tarush</t>
      </is>
    </nc>
    <odxf>
      <alignment vertical="top" readingOrder="0"/>
    </odxf>
    <ndxf>
      <alignment vertical="center" readingOrder="0"/>
    </ndxf>
  </rcc>
  <rcc rId="1924" sId="8">
    <oc r="J16">
      <f>IF(OR(NOT(ISERROR(MATCH(RIGHT(B16,3)+0,#REF!,0))),NOT(ISERROR(MATCH(LEFT(B16,3)+0,#REF!,0)))),"No Post","")</f>
    </oc>
    <nc r="J16" t="inlineStr">
      <is>
        <t>NO POST</t>
      </is>
    </nc>
  </rcc>
</revisions>
</file>

<file path=xl/revisions/revisionLog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5" sId="7" odxf="1" dxf="1">
    <oc r="M15" t="inlineStr">
      <is>
        <t>NA</t>
      </is>
    </oc>
    <nc r="M15" t="inlineStr">
      <is>
        <t>Informed</t>
      </is>
    </nc>
    <odxf>
      <fill>
        <patternFill>
          <bgColor rgb="FFC00000"/>
        </patternFill>
      </fill>
    </odxf>
    <ndxf>
      <fill>
        <patternFill>
          <bgColor theme="9" tint="-0.499984740745262"/>
        </patternFill>
      </fill>
    </ndxf>
  </rcc>
</revisions>
</file>

<file path=xl/revisions/revisionLog1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6" sId="8" odxf="1" dxf="1">
    <nc r="B17">
      <v>307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1927" sId="8" odxf="1" dxf="1">
    <nc r="C17" t="inlineStr">
      <is>
        <t>Mauro Rossetto</t>
      </is>
    </nc>
    <odxf>
      <alignment horizontal="left" readingOrder="0"/>
    </odxf>
    <ndxf>
      <alignment horizontal="center" readingOrder="0"/>
    </ndxf>
  </rcc>
  <rcc rId="1928" sId="8" numFmtId="19">
    <nc r="D17">
      <v>46151</v>
    </nc>
  </rcc>
  <rcc rId="1929" sId="8">
    <nc r="E17">
      <v>2</v>
    </nc>
  </rcc>
  <rcc rId="1930" sId="8">
    <nc r="G17" t="inlineStr">
      <is>
        <t>C$100</t>
      </is>
    </nc>
  </rcc>
  <rcc rId="1931" sId="8" odxf="1" dxf="1">
    <nc r="H17" t="inlineStr">
      <is>
        <t>SAI</t>
      </is>
    </nc>
    <odxf>
      <fill>
        <patternFill>
          <bgColor theme="0"/>
        </patternFill>
      </fill>
      <alignment horizontal="left" readingOrder="0"/>
    </odxf>
    <ndxf>
      <fill>
        <patternFill>
          <bgColor rgb="FFFFFF00"/>
        </patternFill>
      </fill>
      <alignment horizontal="center" readingOrder="0"/>
    </ndxf>
  </rcc>
  <rcc rId="1932" sId="8" odxf="1" dxf="1">
    <nc r="I17" t="inlineStr">
      <is>
        <t>Tarush</t>
      </is>
    </nc>
    <odxf>
      <alignment horizontal="left" readingOrder="0"/>
    </odxf>
    <ndxf>
      <alignment horizontal="center" readingOrder="0"/>
    </ndxf>
  </rcc>
  <rcc rId="1933" sId="8">
    <oc r="J17">
      <f>IF(OR(NOT(ISERROR(MATCH(RIGHT(B17,3)+0,#REF!,0))),NOT(ISERROR(MATCH(LEFT(B17,3)+0,#REF!,0)))),"No Post","")</f>
    </oc>
    <nc r="J17" t="inlineStr">
      <is>
        <t>NO POST</t>
      </is>
    </nc>
  </rcc>
</revisions>
</file>

<file path=xl/revisions/revisionLog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4" sId="7" odxf="1" dxf="1">
    <oc r="M17" t="inlineStr">
      <is>
        <t>NA</t>
      </is>
    </oc>
    <nc r="M17" t="inlineStr">
      <is>
        <t>Informed</t>
      </is>
    </nc>
    <odxf>
      <fill>
        <patternFill>
          <bgColor rgb="FFC00000"/>
        </patternFill>
      </fill>
    </odxf>
    <ndxf>
      <fill>
        <patternFill>
          <bgColor theme="9" tint="-0.499984740745262"/>
        </patternFill>
      </fill>
    </ndxf>
  </rcc>
</revisions>
</file>

<file path=xl/revisions/revisionLog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5" sId="8">
    <nc r="B18">
      <v>683</v>
    </nc>
  </rcc>
  <rcc rId="1936" sId="8">
    <nc r="E18">
      <v>2</v>
    </nc>
  </rcc>
  <rcc rId="1937" sId="8">
    <nc r="F18">
      <v>1</v>
    </nc>
  </rcc>
  <rcc rId="1938" sId="8">
    <nc r="B19">
      <v>685</v>
    </nc>
  </rcc>
  <rcc rId="1939" sId="8">
    <nc r="E19">
      <v>1</v>
    </nc>
  </rcc>
  <rcc rId="1940" sId="8">
    <nc r="I18" t="inlineStr">
      <is>
        <t>Xuan</t>
      </is>
    </nc>
  </rcc>
  <rcc rId="1941" sId="8">
    <nc r="I19" t="inlineStr">
      <is>
        <t>Xuan</t>
      </is>
    </nc>
  </rcc>
  <rcc rId="1942" sId="8">
    <nc r="C18" t="inlineStr">
      <is>
        <t>Peirong Ning</t>
      </is>
    </nc>
  </rcc>
  <rcc rId="1943" sId="8" numFmtId="19">
    <nc r="D18">
      <v>46150</v>
    </nc>
  </rcc>
  <rcc rId="1944" sId="8">
    <nc r="C19" t="inlineStr">
      <is>
        <t>Yue Liu</t>
      </is>
    </nc>
  </rcc>
  <rcc rId="1945" sId="8" numFmtId="19">
    <nc r="D19">
      <v>46150</v>
    </nc>
  </rcc>
</revisions>
</file>

<file path=xl/revisions/revisionLog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6" sId="9">
    <nc r="B10">
      <v>308</v>
    </nc>
  </rcc>
  <rcc rId="1947" sId="9">
    <nc r="C10" t="inlineStr">
      <is>
        <t>Koji Horikawa</t>
      </is>
    </nc>
  </rcc>
  <rcc rId="1948" sId="9" numFmtId="19">
    <nc r="D10">
      <v>46152</v>
    </nc>
  </rcc>
  <rcc rId="1949" sId="9">
    <nc r="E10">
      <v>2</v>
    </nc>
  </rcc>
  <rcc rId="1950" sId="9">
    <nc r="I10" t="inlineStr">
      <is>
        <t>Faiha/UV</t>
      </is>
    </nc>
  </rcc>
</revisions>
</file>

<file path=xl/revisions/revisionLog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1" sId="8" odxf="1" dxf="1">
    <nc r="B20">
      <v>308</v>
    </nc>
    <odxf>
      <alignment vertical="center" readingOrder="0"/>
    </odxf>
    <ndxf>
      <alignment vertical="top" readingOrder="0"/>
    </ndxf>
  </rcc>
  <rcc rId="1952" sId="8" odxf="1" dxf="1">
    <nc r="C20" t="inlineStr">
      <is>
        <t>Koji Horikawa</t>
      </is>
    </nc>
    <odxf>
      <alignment horizontal="left" vertical="center" readingOrder="0"/>
    </odxf>
    <ndxf>
      <alignment horizontal="center" vertical="top" readingOrder="0"/>
    </ndxf>
  </rcc>
  <rcc rId="1953" sId="8" odxf="1" dxf="1" numFmtId="19">
    <nc r="D20">
      <v>46152</v>
    </nc>
    <odxf>
      <alignment vertical="center" readingOrder="0"/>
    </odxf>
    <ndxf>
      <alignment vertical="top" readingOrder="0"/>
    </ndxf>
  </rcc>
  <rcc rId="1954" sId="8" odxf="1" dxf="1">
    <nc r="E20">
      <v>2</v>
    </nc>
    <odxf>
      <alignment vertical="center" readingOrder="0"/>
    </odxf>
    <ndxf>
      <alignment vertical="top" readingOrder="0"/>
    </ndxf>
  </rcc>
  <rfmt sheetId="8" sqref="F20" start="0" length="0">
    <dxf>
      <alignment vertical="top" readingOrder="0"/>
    </dxf>
  </rfmt>
  <rfmt sheetId="8" sqref="G20" start="0" length="0">
    <dxf>
      <alignment vertical="top" readingOrder="0"/>
    </dxf>
  </rfmt>
  <rfmt sheetId="8" sqref="H20" start="0" length="0">
    <dxf>
      <alignment horizontal="center" vertical="top" readingOrder="0"/>
    </dxf>
  </rfmt>
  <rcc rId="1955" sId="8" odxf="1" dxf="1">
    <nc r="I20" t="inlineStr">
      <is>
        <t>Faiha/UV</t>
      </is>
    </nc>
    <odxf>
      <alignment horizontal="left" vertical="center" readingOrder="0"/>
    </odxf>
    <ndxf>
      <alignment horizontal="center" vertical="top" readingOrder="0"/>
    </ndxf>
  </rcc>
</revisions>
</file>

<file path=xl/revisions/revisionLog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6" sId="8">
    <oc r="E27">
      <f>SUM(E17:E26)</f>
    </oc>
    <nc r="E27">
      <f>SUM(E7:E26)</f>
    </nc>
  </rcc>
  <rcc rId="1957" sId="8">
    <oc r="F27">
      <f>SUM(F17:F26)</f>
    </oc>
    <nc r="F27">
      <f>SUM(F7:F26)</f>
    </nc>
  </rcc>
</revisions>
</file>

<file path=xl/revisions/revisionLog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8" sId="9">
    <nc r="B11">
      <v>856</v>
    </nc>
  </rcc>
  <rcc rId="1959" sId="9">
    <nc r="E11">
      <v>2</v>
    </nc>
  </rcc>
  <rcc rId="1960" sId="9">
    <nc r="I11" t="inlineStr">
      <is>
        <t>Leyla/Faiha</t>
      </is>
    </nc>
  </rcc>
  <rcc rId="1961" sId="9">
    <nc r="C11" t="inlineStr">
      <is>
        <t>Sameena Malik</t>
      </is>
    </nc>
  </rcc>
  <rcc rId="1962" sId="9" numFmtId="19">
    <nc r="D11">
      <v>46155</v>
    </nc>
  </rcc>
</revisions>
</file>

<file path=xl/revisions/revisionLog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3" sId="8" odxf="1" dxf="1">
    <nc r="H7" t="inlineStr">
      <is>
        <t>ALLOCATION</t>
      </is>
    </nc>
    <odxf>
      <fill>
        <patternFill>
          <bgColor theme="0"/>
        </patternFill>
      </fill>
      <alignment vertical="top" readingOrder="0"/>
    </odxf>
    <ndxf>
      <fill>
        <patternFill>
          <bgColor rgb="FF92D050"/>
        </patternFill>
      </fill>
      <alignment vertical="center" readingOrder="0"/>
    </ndxf>
  </rcc>
  <rfmt sheetId="8" sqref="B7">
    <dxf>
      <fill>
        <patternFill>
          <bgColor rgb="FF92D050"/>
        </patternFill>
      </fill>
    </dxf>
  </rfmt>
  <rcc rId="1964" sId="8" odxf="1" dxf="1">
    <nc r="H20" t="inlineStr">
      <is>
        <t>ALLOCATION</t>
      </is>
    </nc>
    <odxf>
      <fill>
        <patternFill>
          <bgColor theme="0"/>
        </patternFill>
      </fill>
      <alignment vertical="top" readingOrder="0"/>
    </odxf>
    <ndxf>
      <fill>
        <patternFill>
          <bgColor rgb="FF92D050"/>
        </patternFill>
      </fill>
      <alignment vertical="center" readingOrder="0"/>
    </ndxf>
  </rcc>
  <rfmt sheetId="8" sqref="B20">
    <dxf>
      <fill>
        <patternFill>
          <bgColor rgb="FF92D050"/>
        </patternFill>
      </fill>
    </dxf>
  </rfmt>
  <rcc rId="1965" sId="8" odxf="1" dxf="1">
    <nc r="H19" t="inlineStr">
      <is>
        <t>ALLOCATION</t>
      </is>
    </nc>
    <odxf>
      <font>
        <sz val="14"/>
      </font>
      <fill>
        <patternFill>
          <bgColor theme="0"/>
        </patternFill>
      </fill>
      <alignment horizontal="left" readingOrder="0"/>
    </odxf>
    <ndxf>
      <font>
        <sz val="14"/>
        <color rgb="FF4F3629"/>
      </font>
      <fill>
        <patternFill>
          <bgColor rgb="FF92D050"/>
        </patternFill>
      </fill>
      <alignment horizontal="center" readingOrder="0"/>
    </ndxf>
  </rcc>
  <rcc rId="1966" sId="8" odxf="1" dxf="1">
    <nc r="H18" t="inlineStr">
      <is>
        <t>ALLOCATION</t>
      </is>
    </nc>
    <odxf>
      <font>
        <sz val="14"/>
      </font>
      <fill>
        <patternFill>
          <bgColor theme="0"/>
        </patternFill>
      </fill>
      <alignment horizontal="left" readingOrder="0"/>
    </odxf>
    <ndxf>
      <font>
        <sz val="14"/>
        <color rgb="FF4F3629"/>
      </font>
      <fill>
        <patternFill>
          <bgColor rgb="FF92D050"/>
        </patternFill>
      </fill>
      <alignment horizontal="center" readingOrder="0"/>
    </ndxf>
  </rcc>
  <rfmt sheetId="8" sqref="B18 B19">
    <dxf>
      <fill>
        <patternFill>
          <bgColor rgb="FF92D050"/>
        </patternFill>
      </fill>
    </dxf>
  </rfmt>
  <rcc rId="1967" sId="8">
    <nc r="F19">
      <v>1</v>
    </nc>
  </rcc>
  <rcc rId="1968" sId="8">
    <oc r="F18">
      <v>1</v>
    </oc>
    <nc r="F18"/>
  </rcc>
</revisions>
</file>

<file path=xl/revisions/revisionLog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9" sId="8">
    <nc r="H8" t="inlineStr">
      <is>
        <t>2 pax ALLOCATION</t>
      </is>
    </nc>
  </rcc>
  <rfmt sheetId="8" sqref="B14 H8">
    <dxf>
      <fill>
        <patternFill>
          <bgColor rgb="FF00B050"/>
        </patternFill>
      </fill>
    </dxf>
  </rfmt>
</revisions>
</file>

<file path=xl/revisions/revisionLog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B7:I20">
    <dxf>
      <alignment vertical="bottom" readingOrder="0"/>
    </dxf>
  </rfmt>
  <rfmt sheetId="8" sqref="B7:I20">
    <dxf>
      <alignment horizontal="general" readingOrder="0"/>
    </dxf>
  </rfmt>
  <rfmt sheetId="8" sqref="B7:I20">
    <dxf>
      <alignment vertical="center" readingOrder="0"/>
    </dxf>
  </rfmt>
  <rfmt sheetId="8" sqref="B7:I20">
    <dxf>
      <alignment horizontal="center" readingOrder="0"/>
    </dxf>
  </rfmt>
  <rfmt sheetId="8" sqref="B7:I20" start="0" length="2147483647">
    <dxf>
      <font/>
    </dxf>
  </rfmt>
  <rfmt sheetId="8" sqref="B7:I20" start="0" length="2147483647">
    <dxf>
      <font/>
    </dxf>
  </rfmt>
  <rfmt sheetId="8" sqref="B7:I20" start="0" length="2147483647">
    <dxf>
      <font>
        <b/>
      </font>
    </dxf>
  </rfmt>
  <rfmt sheetId="8" sqref="B7:I20" start="0" length="2147483647">
    <dxf>
      <font>
        <b val="0"/>
      </font>
    </dxf>
  </rfmt>
  <rfmt sheetId="8" sqref="B7:I20" start="0" length="2147483647">
    <dxf>
      <font>
        <color theme="1"/>
      </font>
    </dxf>
  </rfmt>
  <rrc rId="1970" sId="8" ref="A23:XFD23" action="deleteRow">
    <rfmt sheetId="8" xfDxf="1" sqref="A23:XFD23" start="0" length="0">
      <dxf>
        <font>
          <sz val="14"/>
        </font>
        <alignment horizontal="center" readingOrder="0"/>
      </dxf>
    </rfmt>
    <rcc rId="0" sId="8" dxf="1">
      <nc r="A23">
        <v>17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23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23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23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23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23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23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23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23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dxf="1">
      <nc r="J23">
        <f>IF(OR(NOT(ISERROR(MATCH(RIGHT(B23,3)+0,#REF!,0))),NOT(ISERROR(MATCH(LEFT(B23,3)+0,#REF!,0)))),"No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1971" sId="8" ref="A23:XFD23" action="deleteRow">
    <rfmt sheetId="8" xfDxf="1" sqref="A23:XFD23" start="0" length="0">
      <dxf>
        <font>
          <sz val="14"/>
        </font>
        <alignment horizontal="center" readingOrder="0"/>
      </dxf>
    </rfmt>
    <rcc rId="0" sId="8" dxf="1">
      <nc r="A23">
        <v>18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23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23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23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23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23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23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23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23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dxf="1">
      <nc r="J23">
        <f>IF(OR(NOT(ISERROR(MATCH(RIGHT(B23,3)+0,#REF!,0))),NOT(ISERROR(MATCH(LEFT(B23,3)+0,#REF!,0)))),"No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1972" sId="8" ref="A23:XFD23" action="deleteRow">
    <rfmt sheetId="8" xfDxf="1" sqref="A23:XFD23" start="0" length="0">
      <dxf>
        <font>
          <sz val="14"/>
        </font>
        <alignment horizontal="center" readingOrder="0"/>
      </dxf>
    </rfmt>
    <rcc rId="0" sId="8" dxf="1">
      <nc r="A23">
        <v>19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23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23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23" start="0" length="0">
      <dxf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23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23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23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23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23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dxf="1">
      <nc r="J23">
        <f>IF(OR(NOT(ISERROR(MATCH(RIGHT(B23,3)+0,#REF!,0))),NOT(ISERROR(MATCH(LEFT(B23,3)+0,#REF!,0)))),"No Post","")</f>
      </nc>
      <ndxf>
        <font>
          <b/>
          <sz val="12"/>
          <color auto="1"/>
        </font>
        <alignment horizontal="general" vertical="bottom" readingOrder="0"/>
      </ndxf>
    </rcc>
  </rrc>
  <rrc rId="1973" sId="8" ref="A23:XFD23" action="deleteRow">
    <undo index="0" exp="area" dr="F7:F23" r="F24" sId="8"/>
    <undo index="0" exp="area" dr="E7:E23" r="E24" sId="8"/>
    <rfmt sheetId="8" xfDxf="1" sqref="A23:XFD23" start="0" length="0">
      <dxf>
        <font>
          <b/>
          <sz val="15"/>
        </font>
        <alignment horizontal="center" readingOrder="0"/>
      </dxf>
    </rfmt>
    <rcc rId="0" sId="8" dxf="1">
      <nc r="A23">
        <v>20</v>
      </nc>
      <ndxf>
        <font>
          <b val="0"/>
          <sz val="14"/>
        </font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23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23" start="0" length="0">
      <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23" start="0" length="0">
      <dxf>
        <font>
          <b val="0"/>
          <sz val="14"/>
        </font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23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23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23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23" start="0" length="0">
      <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23" start="0" length="0">
      <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dxf="1">
      <nc r="J23">
        <f>IF(OR(NOT(ISERROR(MATCH(RIGHT(B23,3)+0,#REF!,0))),NOT(ISERROR(MATCH(LEFT(B23,3)+0,#REF!,0)))),"No Post","")</f>
      </nc>
      <ndxf>
        <font>
          <sz val="12"/>
          <color auto="1"/>
        </font>
        <alignment horizontal="general" vertical="bottom" readingOrder="0"/>
      </ndxf>
    </rcc>
  </rrc>
  <rfmt sheetId="8" sqref="A22:I22">
    <dxf>
      <fill>
        <patternFill>
          <bgColor rgb="FFFF0000"/>
        </patternFill>
      </fill>
    </dxf>
  </rfmt>
  <rfmt sheetId="8" sqref="A22:I22" start="0" length="2147483647">
    <dxf>
      <font>
        <color theme="0"/>
      </font>
    </dxf>
  </rfmt>
  <rfmt sheetId="8" sqref="A22:I22" start="0" length="2147483647">
    <dxf>
      <font>
        <b/>
      </font>
    </dxf>
  </rfmt>
  <rfmt sheetId="8" sqref="A22" start="0" length="0">
    <dxf>
      <border>
        <left/>
      </border>
    </dxf>
  </rfmt>
  <rfmt sheetId="8" sqref="A22:I22" start="0" length="0">
    <dxf>
      <border>
        <top/>
      </border>
    </dxf>
  </rfmt>
  <rfmt sheetId="8" sqref="I22" start="0" length="0">
    <dxf>
      <border>
        <right/>
      </border>
    </dxf>
  </rfmt>
  <rfmt sheetId="8" sqref="A22:I22" start="0" length="0">
    <dxf>
      <border>
        <bottom/>
      </border>
    </dxf>
  </rfmt>
  <rfmt sheetId="8" sqref="A22:I22">
    <dxf>
      <border>
        <left/>
        <right/>
        <vertical/>
      </border>
    </dxf>
  </rfmt>
  <rfmt sheetId="8" sqref="A22" start="0" length="0">
    <dxf>
      <border>
        <left style="thin">
          <color indexed="64"/>
        </left>
      </border>
    </dxf>
  </rfmt>
  <rfmt sheetId="8" sqref="A22:I22" start="0" length="0">
    <dxf>
      <border>
        <top style="thin">
          <color indexed="64"/>
        </top>
      </border>
    </dxf>
  </rfmt>
  <rfmt sheetId="8" sqref="I22" start="0" length="0">
    <dxf>
      <border>
        <right style="thin">
          <color indexed="64"/>
        </right>
      </border>
    </dxf>
  </rfmt>
  <rfmt sheetId="8" sqref="A22:I22" start="0" length="0">
    <dxf>
      <border>
        <bottom style="thin">
          <color indexed="64"/>
        </bottom>
      </border>
    </dxf>
  </rfmt>
  <rcc rId="1974" sId="8">
    <oc r="A22">
      <v>16</v>
    </oc>
    <nc r="A22"/>
  </rcc>
  <rcc rId="1975" sId="8">
    <nc r="D22" t="inlineStr">
      <is>
        <t>BOOKING CLOSED</t>
      </is>
    </nc>
  </rcc>
  <rfmt sheetId="8" sqref="A23" start="0" length="0">
    <dxf>
      <border>
        <left style="thin">
          <color indexed="64"/>
        </left>
      </border>
    </dxf>
  </rfmt>
  <rfmt sheetId="8" sqref="I23" start="0" length="0">
    <dxf>
      <border>
        <right style="thin">
          <color indexed="64"/>
        </right>
      </border>
    </dxf>
  </rfmt>
  <rfmt sheetId="8" sqref="A23:I23" start="0" length="0">
    <dxf>
      <border>
        <bottom style="thin">
          <color indexed="64"/>
        </bottom>
      </border>
    </dxf>
  </rfmt>
</revisions>
</file>

<file path=xl/revisions/revisionLog2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6" sId="8">
    <oc r="B18">
      <v>683</v>
    </oc>
    <nc r="B18" t="inlineStr">
      <is>
        <t>683/878</t>
      </is>
    </nc>
  </rcc>
  <rcc rId="1977" sId="8">
    <oc r="B19">
      <v>685</v>
    </oc>
    <nc r="B19" t="inlineStr">
      <is>
        <t>685/876</t>
      </is>
    </nc>
  </rcc>
  <rcc rId="1978" sId="8">
    <oc r="B10">
      <v>689</v>
    </oc>
    <nc r="B10" t="inlineStr">
      <is>
        <t>689/883</t>
      </is>
    </nc>
  </rcc>
</revisions>
</file>

<file path=xl/revisions/revisionLog2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9" sId="9">
    <nc r="B12">
      <v>620</v>
    </nc>
  </rcc>
  <rcc rId="1980" sId="9">
    <nc r="E12">
      <v>2</v>
    </nc>
  </rcc>
  <rcc rId="1981" sId="9">
    <nc r="I12" t="inlineStr">
      <is>
        <t>Win/Faiha</t>
      </is>
    </nc>
  </rcc>
</revisions>
</file>

<file path=xl/revisions/revisionLog2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2" sId="9" numFmtId="19">
    <nc r="D12">
      <v>46157</v>
    </nc>
  </rcc>
  <rcc rId="1983" sId="9">
    <nc r="C12" t="inlineStr">
      <is>
        <t>Andrew Smedley</t>
      </is>
    </nc>
  </rcc>
</revisions>
</file>

<file path=xl/revisions/revisionLog2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4" sId="9">
    <nc r="H12" t="inlineStr">
      <is>
        <t>SAI</t>
      </is>
    </nc>
  </rcc>
  <rcc rId="1985" sId="9">
    <nc r="G12" t="inlineStr">
      <is>
        <t>RC $150</t>
      </is>
    </nc>
  </rcc>
</revisions>
</file>

<file path=xl/revisions/revisionLog2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6" sId="11">
    <nc r="B8">
      <v>343</v>
    </nc>
  </rcc>
  <rcc rId="1987" sId="11">
    <nc r="E8">
      <v>2</v>
    </nc>
  </rcc>
  <rcc rId="1988" sId="11">
    <nc r="F8">
      <v>1</v>
    </nc>
  </rcc>
  <rcc rId="1989" sId="11">
    <nc r="I8" t="inlineStr">
      <is>
        <t>UV/Faiha</t>
      </is>
    </nc>
  </rcc>
</revisions>
</file>

<file path=xl/revisions/revisionLog2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0" sId="9">
    <nc r="B13">
      <v>850</v>
    </nc>
  </rcc>
  <rcc rId="1991" sId="9">
    <nc r="E13">
      <v>2</v>
    </nc>
  </rcc>
  <rcc rId="1992" sId="9">
    <nc r="I13" t="inlineStr">
      <is>
        <t>Faiha</t>
      </is>
    </nc>
  </rcc>
</revisions>
</file>

<file path=xl/revisions/revisionLog2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3" sId="19">
    <nc r="B10" t="inlineStr">
      <is>
        <t>Prebooking</t>
      </is>
    </nc>
  </rcc>
  <rcc rId="1994" sId="19">
    <nc r="H10" t="inlineStr">
      <is>
        <t>SALES ENT</t>
      </is>
    </nc>
  </rcc>
  <rcc rId="1995" sId="19">
    <nc r="I10" t="inlineStr">
      <is>
        <t>Susmita/Tarush</t>
      </is>
    </nc>
  </rcc>
  <rfmt sheetId="19" sqref="C10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9" sqref="C11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9" sqref="C12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9" sqref="C13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9" sqref="C14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9" sqref="C15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9" sqref="C16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9" sqref="C17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cc rId="1996" sId="19" xfDxf="1" dxf="1">
    <nc r="C10" t="inlineStr">
      <is>
        <t>Elizaveta Bordykova</t>
      </is>
    </nc>
    <ndxf>
      <font>
        <b/>
        <sz val="10"/>
        <name val="Verdana"/>
        <scheme val="none"/>
      </font>
      <alignment vertical="center" readingOrder="0"/>
    </ndxf>
  </rcc>
  <rcc rId="1997" sId="19" xfDxf="1" dxf="1">
    <nc r="C11" t="inlineStr">
      <is>
        <t>Maria Rymarchuk</t>
      </is>
    </nc>
    <ndxf>
      <font>
        <b/>
        <sz val="10"/>
        <name val="Verdana"/>
        <scheme val="none"/>
      </font>
      <alignment vertical="center" readingOrder="0"/>
    </ndxf>
  </rcc>
  <rcc rId="1998" sId="19" xfDxf="1" dxf="1">
    <nc r="C12" t="inlineStr">
      <is>
        <t>Dmitrii Netuzhilkin</t>
      </is>
    </nc>
    <ndxf>
      <font>
        <b/>
        <sz val="10"/>
        <name val="Verdana"/>
        <scheme val="none"/>
      </font>
      <alignment vertical="center" readingOrder="0"/>
    </ndxf>
  </rcc>
  <rcc rId="1999" sId="19" xfDxf="1" dxf="1">
    <nc r="C13" t="inlineStr">
      <is>
        <t>Olga Ayazbaeva</t>
      </is>
    </nc>
    <ndxf>
      <font>
        <b/>
        <sz val="10"/>
        <name val="Verdana"/>
        <scheme val="none"/>
      </font>
      <alignment vertical="center" readingOrder="0"/>
    </ndxf>
  </rcc>
  <rcc rId="2000" sId="19" xfDxf="1" dxf="1">
    <nc r="C14" t="inlineStr">
      <is>
        <t>Anastasia Savina</t>
      </is>
    </nc>
    <ndxf>
      <font>
        <b/>
        <sz val="10"/>
        <name val="Verdana"/>
        <scheme val="none"/>
      </font>
      <alignment vertical="center" readingOrder="0"/>
    </ndxf>
  </rcc>
  <rcc rId="2001" sId="19" xfDxf="1" dxf="1">
    <nc r="C15" t="inlineStr">
      <is>
        <t>Ekaterina Dobromyslova</t>
      </is>
    </nc>
    <ndxf>
      <font>
        <b/>
        <sz val="10"/>
        <name val="Verdana"/>
        <scheme val="none"/>
      </font>
      <alignment vertical="center" readingOrder="0"/>
    </ndxf>
  </rcc>
  <rcc rId="2002" sId="19" xfDxf="1" dxf="1">
    <nc r="C16" t="inlineStr">
      <is>
        <t>Igor Boriskin</t>
      </is>
    </nc>
    <ndxf>
      <font>
        <b/>
        <sz val="10"/>
        <name val="Verdana"/>
        <scheme val="none"/>
      </font>
      <alignment vertical="center" readingOrder="0"/>
    </ndxf>
  </rcc>
  <rcc rId="2003" sId="19" xfDxf="1" dxf="1">
    <nc r="C17" t="inlineStr">
      <is>
        <t>Kristina Zaitseva</t>
      </is>
    </nc>
    <ndxf>
      <font>
        <b/>
        <sz val="10"/>
        <name val="Verdana"/>
        <scheme val="none"/>
      </font>
      <alignment vertical="center" readingOrder="0"/>
    </ndxf>
  </rcc>
  <rcc rId="2004" sId="19">
    <nc r="E10">
      <v>1</v>
    </nc>
  </rcc>
  <rcc rId="2005" sId="19">
    <nc r="E11">
      <v>1</v>
    </nc>
  </rcc>
  <rcc rId="2006" sId="19">
    <nc r="E12">
      <v>1</v>
    </nc>
  </rcc>
  <rcc rId="2007" sId="19">
    <nc r="E13">
      <v>1</v>
    </nc>
  </rcc>
  <rcc rId="2008" sId="19">
    <nc r="E14">
      <v>1</v>
    </nc>
  </rcc>
  <rcc rId="2009" sId="19">
    <nc r="E15">
      <v>1</v>
    </nc>
  </rcc>
  <rcc rId="2010" sId="19">
    <nc r="E16">
      <v>1</v>
    </nc>
  </rcc>
  <rcc rId="2011" sId="19">
    <nc r="B11" t="inlineStr">
      <is>
        <t>Prebooking</t>
      </is>
    </nc>
  </rcc>
  <rcc rId="2012" sId="19">
    <nc r="B12" t="inlineStr">
      <is>
        <t>Prebooking</t>
      </is>
    </nc>
  </rcc>
  <rcc rId="2013" sId="19">
    <nc r="B13" t="inlineStr">
      <is>
        <t>Prebooking</t>
      </is>
    </nc>
  </rcc>
  <rcc rId="2014" sId="19">
    <nc r="B14" t="inlineStr">
      <is>
        <t>Prebooking</t>
      </is>
    </nc>
  </rcc>
  <rcc rId="2015" sId="19">
    <nc r="B15" t="inlineStr">
      <is>
        <t>Prebooking</t>
      </is>
    </nc>
  </rcc>
  <rcc rId="2016" sId="19">
    <nc r="B16" t="inlineStr">
      <is>
        <t>Prebooking</t>
      </is>
    </nc>
  </rcc>
  <rcc rId="2017" sId="19" odxf="1" dxf="1">
    <nc r="B17" t="inlineStr">
      <is>
        <t>Prebooking</t>
      </is>
    </nc>
    <odxf>
      <alignment vertical="center" readingOrder="0"/>
    </odxf>
    <ndxf>
      <alignment vertical="top" readingOrder="0"/>
    </ndxf>
  </rcc>
  <rcc rId="2018" sId="19">
    <nc r="H11" t="inlineStr">
      <is>
        <t>SALES ENT</t>
      </is>
    </nc>
  </rcc>
  <rcc rId="2019" sId="19">
    <nc r="H12" t="inlineStr">
      <is>
        <t>SALES ENT</t>
      </is>
    </nc>
  </rcc>
  <rcc rId="2020" sId="19">
    <nc r="H13" t="inlineStr">
      <is>
        <t>SALES ENT</t>
      </is>
    </nc>
  </rcc>
  <rcc rId="2021" sId="19">
    <nc r="H14" t="inlineStr">
      <is>
        <t>SALES ENT</t>
      </is>
    </nc>
  </rcc>
  <rcc rId="2022" sId="19">
    <nc r="H15" t="inlineStr">
      <is>
        <t>SALES ENT</t>
      </is>
    </nc>
  </rcc>
  <rcc rId="2023" sId="19">
    <nc r="H16" t="inlineStr">
      <is>
        <t>SALES ENT</t>
      </is>
    </nc>
  </rcc>
  <rcc rId="2024" sId="19">
    <nc r="I11" t="inlineStr">
      <is>
        <t>Susmita/Tarush</t>
      </is>
    </nc>
  </rcc>
  <rcc rId="2025" sId="19">
    <nc r="I12" t="inlineStr">
      <is>
        <t>Susmita/Tarush</t>
      </is>
    </nc>
  </rcc>
  <rcc rId="2026" sId="19">
    <nc r="I13" t="inlineStr">
      <is>
        <t>Susmita/Tarush</t>
      </is>
    </nc>
  </rcc>
  <rcc rId="2027" sId="19">
    <nc r="I14" t="inlineStr">
      <is>
        <t>Susmita/Tarush</t>
      </is>
    </nc>
  </rcc>
  <rcc rId="2028" sId="19">
    <nc r="I15" t="inlineStr">
      <is>
        <t>Susmita/Tarush</t>
      </is>
    </nc>
  </rcc>
  <rcc rId="2029" sId="19">
    <nc r="I16" t="inlineStr">
      <is>
        <t>Susmita/Tarush</t>
      </is>
    </nc>
  </rcc>
  <rcc rId="2030" sId="19" numFmtId="19">
    <nc r="D10">
      <v>46164</v>
    </nc>
  </rcc>
  <rcc rId="2031" sId="19" numFmtId="19">
    <nc r="D11">
      <v>46164</v>
    </nc>
  </rcc>
  <rcc rId="2032" sId="19" numFmtId="19">
    <nc r="D12">
      <v>46164</v>
    </nc>
  </rcc>
  <rcc rId="2033" sId="19" numFmtId="19">
    <nc r="D13">
      <v>46164</v>
    </nc>
  </rcc>
  <rcc rId="2034" sId="19" numFmtId="19">
    <nc r="D14">
      <v>46164</v>
    </nc>
  </rcc>
  <rcc rId="2035" sId="19" numFmtId="19">
    <nc r="D15">
      <v>46164</v>
    </nc>
  </rcc>
  <rcc rId="2036" sId="19" numFmtId="19">
    <nc r="D16">
      <v>46164</v>
    </nc>
  </rcc>
  <rcc rId="2037" sId="19" odxf="1" dxf="1" numFmtId="19">
    <nc r="D17">
      <v>46164</v>
    </nc>
    <odxf>
      <alignment vertical="center" readingOrder="0"/>
    </odxf>
    <ndxf>
      <alignment vertical="top" readingOrder="0"/>
    </ndxf>
  </rcc>
  <rcc rId="2038" sId="19">
    <nc r="E17">
      <v>1</v>
    </nc>
  </rcc>
  <rcc rId="2039" sId="19" odxf="1" dxf="1">
    <nc r="H17" t="inlineStr">
      <is>
        <t>SALES ENT</t>
      </is>
    </nc>
    <odxf>
      <alignment horizontal="left" vertical="center" readingOrder="0"/>
    </odxf>
    <ndxf>
      <alignment horizontal="center" vertical="top" readingOrder="0"/>
    </ndxf>
  </rcc>
  <rcc rId="2040" sId="19" odxf="1" dxf="1">
    <nc r="I17" t="inlineStr">
      <is>
        <t>Susmita/Tarush</t>
      </is>
    </nc>
    <odxf>
      <alignment horizontal="left" vertical="center" readingOrder="0"/>
    </odxf>
    <ndxf>
      <alignment horizontal="center" vertical="top" readingOrder="0"/>
    </ndxf>
  </rcc>
</revisions>
</file>

<file path=xl/revisions/revisionLog2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B13" start="0" length="0">
    <dxf>
      <alignment vertical="center" readingOrder="0"/>
    </dxf>
  </rfmt>
  <rcc rId="2041" sId="9" odxf="1" dxf="1">
    <nc r="C13" t="inlineStr">
      <is>
        <t>Hessko Khelo</t>
      </is>
    </nc>
    <odxf>
      <alignment horizontal="center" vertical="top" readingOrder="0"/>
    </odxf>
    <ndxf>
      <alignment horizontal="general" vertical="center" readingOrder="0"/>
    </ndxf>
  </rcc>
  <rcc rId="2042" sId="9" odxf="1" dxf="1" numFmtId="19">
    <nc r="D13">
      <v>46158</v>
    </nc>
    <odxf>
      <alignment vertical="top" readingOrder="0"/>
    </odxf>
    <ndxf>
      <alignment vertical="center" readingOrder="0"/>
    </ndxf>
  </rcc>
</revisions>
</file>

<file path=xl/revisions/revisionLog2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3" sId="9">
    <nc r="H13" t="inlineStr">
      <is>
        <t>SAI</t>
      </is>
    </nc>
  </rcc>
</revisions>
</file>

<file path=xl/revisions/revisionLog2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4" sId="9">
    <nc r="B14">
      <v>811</v>
    </nc>
  </rcc>
  <rcc rId="2045" sId="9">
    <nc r="E14">
      <v>2</v>
    </nc>
  </rcc>
  <rcc rId="2046" sId="9">
    <nc r="I14" t="inlineStr">
      <is>
        <t>Faiha</t>
      </is>
    </nc>
  </rcc>
  <rcc rId="2047" sId="9">
    <nc r="C14" t="inlineStr">
      <is>
        <t>Finian Odriscoll</t>
      </is>
    </nc>
  </rcc>
  <rcc rId="2048" sId="9" numFmtId="19">
    <nc r="D14">
      <v>46157</v>
    </nc>
  </rcc>
</revisions>
</file>

<file path=xl/revisions/revisionLog2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K15">
    <dxf>
      <fill>
        <patternFill patternType="solid">
          <bgColor rgb="FF00B050"/>
        </patternFill>
      </fill>
    </dxf>
  </rfmt>
</revisions>
</file>

<file path=xl/revisions/revisionLog2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K20">
    <dxf>
      <fill>
        <patternFill patternType="solid">
          <bgColor rgb="FF00B050"/>
        </patternFill>
      </fill>
    </dxf>
  </rfmt>
  <rcc rId="2049" sId="9" odxf="1" dxf="1">
    <nc r="B15">
      <v>308</v>
    </nc>
    <odxf>
      <fill>
        <patternFill>
          <bgColor theme="0"/>
        </patternFill>
      </fill>
      <alignment vertical="top" readingOrder="0"/>
    </odxf>
    <ndxf>
      <fill>
        <patternFill>
          <bgColor rgb="FF92D050"/>
        </patternFill>
      </fill>
      <alignment vertical="center" readingOrder="0"/>
    </ndxf>
  </rcc>
  <rcc rId="2050" sId="9" odxf="1" dxf="1">
    <nc r="C15" t="inlineStr">
      <is>
        <t>Koji Horikawa</t>
      </is>
    </nc>
    <odxf>
      <alignment vertical="top" readingOrder="0"/>
    </odxf>
    <ndxf>
      <alignment vertical="center" readingOrder="0"/>
    </ndxf>
  </rcc>
  <rcc rId="2051" sId="9" odxf="1" dxf="1" numFmtId="19">
    <nc r="D15">
      <v>46152</v>
    </nc>
    <odxf>
      <alignment vertical="top" readingOrder="0"/>
    </odxf>
    <ndxf>
      <alignment vertical="center" readingOrder="0"/>
    </ndxf>
  </rcc>
  <rcc rId="2052" sId="9" odxf="1" dxf="1">
    <nc r="E15">
      <v>2</v>
    </nc>
    <odxf>
      <alignment vertical="top" readingOrder="0"/>
    </odxf>
    <ndxf>
      <alignment vertical="center" readingOrder="0"/>
    </ndxf>
  </rcc>
  <rfmt sheetId="9" sqref="F15" start="0" length="0">
    <dxf>
      <alignment vertical="center" readingOrder="0"/>
    </dxf>
  </rfmt>
  <rfmt sheetId="9" sqref="G15" start="0" length="0">
    <dxf>
      <alignment vertical="center" readingOrder="0"/>
    </dxf>
  </rfmt>
  <rcc rId="2053" sId="9" odxf="1" dxf="1">
    <nc r="H15" t="inlineStr">
      <is>
        <t>ALLOCATION</t>
      </is>
    </nc>
    <odxf>
      <fill>
        <patternFill>
          <bgColor theme="0"/>
        </patternFill>
      </fill>
      <alignment vertical="top" readingOrder="0"/>
    </odxf>
    <ndxf>
      <fill>
        <patternFill>
          <bgColor rgb="FF92D050"/>
        </patternFill>
      </fill>
      <alignment vertical="center" readingOrder="0"/>
    </ndxf>
  </rcc>
  <rcc rId="2054" sId="9" odxf="1" dxf="1">
    <nc r="I15" t="inlineStr">
      <is>
        <t>Faiha/UV</t>
      </is>
    </nc>
    <odxf>
      <alignment vertical="top" readingOrder="0"/>
    </odxf>
    <ndxf>
      <alignment vertical="center" readingOrder="0"/>
    </ndxf>
  </rcc>
</revisions>
</file>

<file path=xl/revisions/revisionLog2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7" sqref="C9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cc rId="2055" sId="17" xfDxf="1" dxf="1">
    <nc r="C9" t="inlineStr">
      <is>
        <t xml:space="preserve">Mr Thasleem </t>
      </is>
    </nc>
    <ndxf>
      <font>
        <sz val="12"/>
        <name val="Verdana"/>
        <scheme val="none"/>
      </font>
    </ndxf>
  </rcc>
  <rcc rId="2056" sId="17" odxf="1" dxf="1">
    <nc r="B9" t="inlineStr">
      <is>
        <t>Prebooking</t>
      </is>
    </nc>
    <odxf>
      <border outline="0">
        <top style="thin">
          <color indexed="64"/>
        </top>
      </border>
    </odxf>
    <ndxf>
      <border outline="0">
        <top/>
      </border>
    </ndxf>
  </rcc>
  <rcc rId="2057" sId="17">
    <nc r="E9">
      <v>2</v>
    </nc>
  </rcc>
  <rcc rId="2058" sId="17">
    <nc r="H9" t="inlineStr">
      <is>
        <t xml:space="preserve">Sales ENT </t>
      </is>
    </nc>
  </rcc>
  <rcc rId="2059" sId="17">
    <nc r="I9" t="inlineStr">
      <is>
        <t>Sushmita/Tarush</t>
      </is>
    </nc>
  </rcc>
  <rcc rId="2060" sId="17" numFmtId="19">
    <nc r="D9">
      <v>46130</v>
    </nc>
  </rcc>
</revisions>
</file>

<file path=xl/revisions/revisionLog2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1" sId="9" odxf="1" dxf="1">
    <nc r="B16">
      <v>818</v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cc rId="2062" sId="9" odxf="1" dxf="1">
    <nc r="C16" t="inlineStr">
      <is>
        <t>Mr. Philip Edward Packman</t>
      </is>
    </nc>
    <odxf>
      <alignment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vertical="center" readingOrder="0"/>
      <border outline="0">
        <left/>
        <right/>
        <top/>
        <bottom/>
      </border>
    </ndxf>
  </rcc>
  <rcc rId="2063" sId="9" odxf="1" dxf="1" numFmtId="19">
    <nc r="D16">
      <v>46153</v>
    </nc>
    <odxf>
      <alignment vertical="top" readingOrder="0"/>
    </odxf>
    <ndxf>
      <alignment vertical="center" readingOrder="0"/>
    </ndxf>
  </rcc>
  <rcc rId="2064" sId="9" odxf="1" dxf="1">
    <nc r="E16">
      <v>2</v>
    </nc>
    <odxf>
      <alignment vertical="top" readingOrder="0"/>
    </odxf>
    <ndxf>
      <alignment vertical="center" readingOrder="0"/>
    </ndxf>
  </rcc>
  <rfmt sheetId="9" sqref="F16" start="0" length="0">
    <dxf>
      <alignment vertical="center" readingOrder="0"/>
    </dxf>
  </rfmt>
  <rfmt sheetId="9" sqref="G16" start="0" length="0">
    <dxf>
      <alignment vertical="center" readingOrder="0"/>
    </dxf>
  </rfmt>
  <rcc rId="2065" sId="9" odxf="1" dxf="1">
    <nc r="H16" t="inlineStr">
      <is>
        <t>PAI</t>
      </is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cc rId="2066" sId="9" odxf="1" dxf="1">
    <nc r="I16" t="inlineStr">
      <is>
        <t>Vifau/Shamrath</t>
      </is>
    </nc>
    <odxf>
      <alignment vertical="top" readingOrder="0"/>
    </odxf>
    <ndxf>
      <alignment vertical="center" readingOrder="0"/>
    </ndxf>
  </rcc>
</revisions>
</file>

<file path=xl/revisions/revisionLog2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K11">
    <dxf>
      <fill>
        <patternFill patternType="solid">
          <bgColor rgb="FF00B050"/>
        </patternFill>
      </fill>
    </dxf>
  </rfmt>
</revisions>
</file>

<file path=xl/revisions/revisionLog2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K17">
    <dxf>
      <fill>
        <patternFill patternType="solid">
          <bgColor rgb="FFFF0000"/>
        </patternFill>
      </fill>
    </dxf>
  </rfmt>
  <rfmt sheetId="8" sqref="K7">
    <dxf>
      <fill>
        <patternFill patternType="solid">
          <bgColor rgb="FF92D050"/>
        </patternFill>
      </fill>
    </dxf>
  </rfmt>
  <rfmt sheetId="8" sqref="K7">
    <dxf>
      <fill>
        <patternFill>
          <bgColor rgb="FF00B050"/>
        </patternFill>
      </fill>
    </dxf>
  </rfmt>
  <rcc rId="2067" sId="9" odxf="1" dxf="1">
    <nc r="B17">
      <v>337</v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2068" sId="9" odxf="1" dxf="1">
    <nc r="C17" t="inlineStr">
      <is>
        <t>Kouji Nishiyama</t>
      </is>
    </nc>
    <odxf>
      <alignment horizontal="left" readingOrder="0"/>
    </odxf>
    <ndxf>
      <alignment horizontal="center" readingOrder="0"/>
    </ndxf>
  </rcc>
  <rcc rId="2069" sId="9" numFmtId="19">
    <nc r="D17">
      <v>46151</v>
    </nc>
  </rcc>
  <rcc rId="2070" sId="9">
    <nc r="E17">
      <v>2</v>
    </nc>
  </rcc>
  <rcc rId="2071" sId="9" odxf="1" dxf="1">
    <nc r="H17" t="inlineStr">
      <is>
        <t>ALLOCATION</t>
      </is>
    </nc>
    <odxf>
      <fill>
        <patternFill>
          <bgColor theme="0"/>
        </patternFill>
      </fill>
      <alignment horizontal="left" readingOrder="0"/>
    </odxf>
    <ndxf>
      <fill>
        <patternFill>
          <bgColor rgb="FF92D050"/>
        </patternFill>
      </fill>
      <alignment horizontal="center" readingOrder="0"/>
    </ndxf>
  </rcc>
  <rcc rId="2072" sId="9" odxf="1" dxf="1">
    <nc r="I17" t="inlineStr">
      <is>
        <t>UV/Tarush</t>
      </is>
    </nc>
    <odxf>
      <alignment horizontal="left" readingOrder="0"/>
    </odxf>
    <ndxf>
      <alignment horizontal="center" readingOrder="0"/>
    </ndxf>
  </rcc>
</revisions>
</file>

<file path=xl/revisions/revisionLog2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3" sId="9" odxf="1" dxf="1">
    <oc r="B17">
      <v>337</v>
    </oc>
    <nc r="B17"/>
    <odxf>
      <fill>
        <patternFill>
          <bgColor rgb="FF92D050"/>
        </patternFill>
      </fill>
    </odxf>
    <ndxf>
      <fill>
        <patternFill>
          <bgColor theme="0"/>
        </patternFill>
      </fill>
    </ndxf>
  </rcc>
  <rcc rId="2074" sId="9" odxf="1" dxf="1">
    <oc r="C17" t="inlineStr">
      <is>
        <t>Kouji Nishiyama</t>
      </is>
    </oc>
    <nc r="C17"/>
    <odxf>
      <alignment horizontal="center" readingOrder="0"/>
    </odxf>
    <ndxf>
      <alignment horizontal="left" readingOrder="0"/>
    </ndxf>
  </rcc>
  <rcc rId="2075" sId="9" numFmtId="19">
    <oc r="D17">
      <v>46151</v>
    </oc>
    <nc r="D17"/>
  </rcc>
  <rcc rId="2076" sId="9">
    <oc r="E17">
      <v>2</v>
    </oc>
    <nc r="E17"/>
  </rcc>
  <rcc rId="2077" sId="9" odxf="1" dxf="1">
    <oc r="H17" t="inlineStr">
      <is>
        <t>ALLOCATION</t>
      </is>
    </oc>
    <nc r="H17"/>
    <odxf>
      <fill>
        <patternFill>
          <bgColor rgb="FF92D050"/>
        </patternFill>
      </fill>
      <alignment horizontal="center" readingOrder="0"/>
    </odxf>
    <ndxf>
      <fill>
        <patternFill>
          <bgColor theme="0"/>
        </patternFill>
      </fill>
      <alignment horizontal="left" readingOrder="0"/>
    </ndxf>
  </rcc>
  <rcc rId="2078" sId="9" odxf="1" dxf="1">
    <oc r="I17" t="inlineStr">
      <is>
        <t>UV/Tarush</t>
      </is>
    </oc>
    <nc r="I17"/>
    <odxf>
      <alignment horizontal="center" readingOrder="0"/>
    </odxf>
    <ndxf>
      <alignment horizontal="left" readingOrder="0"/>
    </ndxf>
  </rcc>
</revisions>
</file>

<file path=xl/revisions/revisionLog2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K14">
    <dxf>
      <fill>
        <patternFill patternType="solid">
          <bgColor rgb="FF00B050"/>
        </patternFill>
      </fill>
    </dxf>
  </rfmt>
  <rfmt sheetId="8" sqref="K14">
    <dxf>
      <fill>
        <patternFill>
          <bgColor rgb="FFFF0000"/>
        </patternFill>
      </fill>
    </dxf>
  </rfmt>
  <rfmt sheetId="8" sqref="K8">
    <dxf>
      <fill>
        <patternFill patternType="solid">
          <bgColor rgb="FFFF0000"/>
        </patternFill>
      </fill>
    </dxf>
  </rfmt>
  <rfmt sheetId="8" sqref="K13">
    <dxf>
      <fill>
        <patternFill patternType="solid">
          <bgColor rgb="FFFF0000"/>
        </patternFill>
      </fill>
    </dxf>
  </rfmt>
  <rfmt sheetId="8" sqref="K16">
    <dxf>
      <fill>
        <patternFill patternType="solid">
          <bgColor rgb="FF00B050"/>
        </patternFill>
      </fill>
    </dxf>
  </rfmt>
  <rcc rId="2079" sId="9" odxf="1" dxf="1">
    <nc r="B17">
      <v>869</v>
    </nc>
    <odxf>
      <fill>
        <patternFill>
          <bgColor theme="0"/>
        </patternFill>
      </fill>
    </odxf>
    <ndxf>
      <fill>
        <patternFill>
          <bgColor rgb="FFFF66CC"/>
        </patternFill>
      </fill>
    </ndxf>
  </rcc>
  <rcc rId="2080" sId="9" odxf="1" dxf="1">
    <nc r="C17" t="inlineStr">
      <is>
        <t>Sukyoung Maeng</t>
      </is>
    </nc>
    <odxf>
      <alignment horizontal="left" readingOrder="0"/>
    </odxf>
    <ndxf>
      <alignment horizontal="center" readingOrder="0"/>
    </ndxf>
  </rcc>
  <rcc rId="2081" sId="9" numFmtId="19">
    <nc r="D17">
      <v>46152</v>
    </nc>
  </rcc>
  <rcc rId="2082" sId="9">
    <nc r="E17">
      <v>2</v>
    </nc>
  </rcc>
  <rcc rId="2083" sId="9" odxf="1" dxf="1">
    <nc r="H17" t="inlineStr">
      <is>
        <t>ITA(NP)</t>
      </is>
    </nc>
    <odxf>
      <fill>
        <patternFill>
          <bgColor theme="0"/>
        </patternFill>
      </fill>
      <alignment horizontal="left" readingOrder="0"/>
    </odxf>
    <ndxf>
      <fill>
        <patternFill>
          <bgColor rgb="FFFF66CC"/>
        </patternFill>
      </fill>
      <alignment horizontal="center" readingOrder="0"/>
    </ndxf>
  </rcc>
  <rcc rId="2084" sId="9" odxf="1" dxf="1">
    <nc r="I17" t="inlineStr">
      <is>
        <t>UV/Tarush</t>
      </is>
    </nc>
    <odxf>
      <alignment horizontal="left" readingOrder="0"/>
    </odxf>
    <ndxf>
      <alignment horizontal="center" readingOrder="0"/>
    </ndxf>
  </rcc>
  <rcc rId="2085" sId="9">
    <oc r="J17">
      <f>IF(OR(NOT(ISERROR(MATCH(RIGHT(B17,3)+0,#REF!,0))),NOT(ISERROR(MATCH(LEFT(B17,3)+0,#REF!,0)))),"No Post","")</f>
    </oc>
    <nc r="J17" t="inlineStr">
      <is>
        <t>NO POST</t>
      </is>
    </nc>
  </rcc>
</revisions>
</file>

<file path=xl/revisions/revisionLog2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K9">
    <dxf>
      <fill>
        <patternFill patternType="solid">
          <bgColor rgb="FFFF0000"/>
        </patternFill>
      </fill>
    </dxf>
  </rfmt>
  <rfmt sheetId="8" sqref="K12" start="0" length="0">
    <dxf>
      <fill>
        <patternFill patternType="solid">
          <bgColor rgb="FFFF0000"/>
        </patternFill>
      </fill>
    </dxf>
  </rfmt>
  <rfmt sheetId="8" sqref="K18" start="0" length="0">
    <dxf>
      <fill>
        <patternFill patternType="solid">
          <bgColor rgb="FFFF0000"/>
        </patternFill>
      </fill>
    </dxf>
  </rfmt>
  <rcc rId="2086" sId="8">
    <oc r="B10" t="inlineStr">
      <is>
        <t>689/883</t>
      </is>
    </oc>
    <nc r="B10" t="inlineStr">
      <is>
        <t>689/892</t>
      </is>
    </nc>
  </rcc>
</revisions>
</file>

<file path=xl/revisions/revisionLog2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K10" start="0" length="0">
    <dxf>
      <fill>
        <patternFill patternType="solid">
          <bgColor rgb="FF00B050"/>
        </patternFill>
      </fill>
    </dxf>
  </rfmt>
  <rfmt sheetId="8" sqref="K19" start="0" length="0">
    <dxf>
      <fill>
        <patternFill patternType="solid">
          <bgColor rgb="FFFF0000"/>
        </patternFill>
      </fill>
    </dxf>
  </rfmt>
  <rcc rId="2087" sId="9" odxf="1" dxf="1">
    <nc r="B18" t="inlineStr">
      <is>
        <t>689/892</t>
      </is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2088" sId="9" odxf="1" dxf="1">
    <nc r="C18" t="inlineStr">
      <is>
        <t>Yu, Hui</t>
      </is>
    </nc>
    <odxf>
      <alignment horizontal="left" readingOrder="0"/>
    </odxf>
    <ndxf>
      <alignment horizontal="center" readingOrder="0"/>
    </ndxf>
  </rcc>
  <rcc rId="2089" sId="9" numFmtId="19">
    <nc r="D18">
      <v>46150</v>
    </nc>
  </rcc>
  <rcc rId="2090" sId="9">
    <nc r="E18">
      <v>2</v>
    </nc>
  </rcc>
  <rcc rId="2091" sId="9" odxf="1" dxf="1">
    <nc r="H18" t="inlineStr">
      <is>
        <t>ALLOCATION</t>
      </is>
    </nc>
    <odxf>
      <fill>
        <patternFill>
          <bgColor theme="0"/>
        </patternFill>
      </fill>
      <alignment horizontal="left" readingOrder="0"/>
    </odxf>
    <ndxf>
      <fill>
        <patternFill>
          <bgColor rgb="FF92D050"/>
        </patternFill>
      </fill>
      <alignment horizontal="center" readingOrder="0"/>
    </ndxf>
  </rcc>
  <rcc rId="2092" sId="9" odxf="1" dxf="1">
    <nc r="I18" t="inlineStr">
      <is>
        <t>Habil/Xuan</t>
      </is>
    </nc>
    <odxf>
      <alignment horizontal="left" readingOrder="0"/>
    </odxf>
    <ndxf>
      <alignment horizontal="center" readingOrder="0"/>
    </ndxf>
  </rcc>
</revisions>
</file>

<file path=xl/revisions/revisionLog2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3" sId="8">
    <oc r="E12">
      <v>2</v>
    </oc>
    <nc r="E12" t="inlineStr">
      <is>
        <t>CXL2</t>
      </is>
    </nc>
  </rcc>
</revisions>
</file>

<file path=xl/revisions/revisionLog2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K12">
    <dxf>
      <fill>
        <patternFill>
          <bgColor rgb="FF92D050"/>
        </patternFill>
      </fill>
    </dxf>
  </rfmt>
  <rfmt sheetId="8" sqref="K12">
    <dxf>
      <fill>
        <patternFill>
          <bgColor rgb="FF00B050"/>
        </patternFill>
      </fill>
    </dxf>
  </rfmt>
  <rfmt sheetId="8" sqref="K9">
    <dxf>
      <fill>
        <patternFill>
          <bgColor rgb="FF00B050"/>
        </patternFill>
      </fill>
    </dxf>
  </rfmt>
  <rcc rId="2094" sId="8">
    <oc r="E9">
      <v>2</v>
    </oc>
    <nc r="E9" t="inlineStr">
      <is>
        <t>CXL2</t>
      </is>
    </nc>
  </rcc>
  <rfmt sheetId="8" sqref="J17:K17" start="0" length="0">
    <dxf>
      <border>
        <top style="thin">
          <color indexed="64"/>
        </top>
      </border>
    </dxf>
  </rfmt>
  <rfmt sheetId="8" sqref="K7:K20" start="0" length="0">
    <dxf>
      <border>
        <right style="thin">
          <color indexed="64"/>
        </right>
      </border>
    </dxf>
  </rfmt>
  <rfmt sheetId="8" sqref="J10:K10" start="0" length="0">
    <dxf>
      <border>
        <bottom style="thin">
          <color indexed="64"/>
        </bottom>
      </border>
    </dxf>
  </rfmt>
  <rfmt sheetId="8" sqref="J7:K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8" sqref="K14">
    <dxf>
      <fill>
        <patternFill>
          <bgColor rgb="FF00B050"/>
        </patternFill>
      </fill>
    </dxf>
  </rfmt>
</revisions>
</file>

<file path=xl/revisions/revisionLog2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5" sId="9" odxf="1" dxf="1">
    <nc r="B19">
      <v>617</v>
    </nc>
    <odxf>
      <fill>
        <patternFill>
          <bgColor theme="0"/>
        </patternFill>
      </fill>
    </odxf>
    <ndxf>
      <fill>
        <patternFill>
          <bgColor rgb="FF00B0F0"/>
        </patternFill>
      </fill>
    </ndxf>
  </rcc>
  <rcc rId="2096" sId="9" odxf="1" dxf="1">
    <nc r="C19" t="inlineStr">
      <is>
        <t>Alexandra Abramova</t>
      </is>
    </nc>
    <odxf>
      <alignment horizontal="left" readingOrder="0"/>
    </odxf>
    <ndxf>
      <alignment horizontal="center" readingOrder="0"/>
    </ndxf>
  </rcc>
  <rcc rId="2097" sId="9" numFmtId="19">
    <nc r="D19">
      <v>46124</v>
    </nc>
  </rcc>
  <rcc rId="2098" sId="9">
    <nc r="E19">
      <v>3</v>
    </nc>
  </rcc>
  <rcc rId="2099" sId="9" odxf="1" dxf="1">
    <nc r="H19" t="inlineStr">
      <is>
        <t>PAI</t>
      </is>
    </nc>
    <odxf>
      <fill>
        <patternFill>
          <bgColor theme="0"/>
        </patternFill>
      </fill>
      <alignment horizontal="left" readingOrder="0"/>
    </odxf>
    <ndxf>
      <fill>
        <patternFill>
          <bgColor rgb="FF00B0F0"/>
        </patternFill>
      </fill>
      <alignment horizontal="center" readingOrder="0"/>
    </ndxf>
  </rcc>
  <rcc rId="2100" sId="9" odxf="1" dxf="1">
    <nc r="I19" t="inlineStr">
      <is>
        <t>Faiha</t>
      </is>
    </nc>
    <odxf>
      <alignment horizontal="left" readingOrder="0"/>
    </odxf>
    <ndxf>
      <alignment horizontal="center" readingOrder="0"/>
    </ndxf>
  </rcc>
</revisions>
</file>

<file path=xl/revisions/revisionLog2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1" sId="9">
    <nc r="B20">
      <v>868</v>
    </nc>
  </rcc>
  <rcc rId="2102" sId="9">
    <nc r="E20">
      <v>2</v>
    </nc>
  </rcc>
  <rcc rId="2103" sId="9">
    <nc r="I20" t="inlineStr">
      <is>
        <t>Leyla/Faiha</t>
      </is>
    </nc>
  </rcc>
</revisions>
</file>

<file path=xl/revisions/revisionLog2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4" sId="9">
    <oc r="E27">
      <f>SUM(E17:E26)</f>
    </oc>
    <nc r="E27">
      <f>SUM(E7:E26)</f>
    </nc>
  </rcc>
  <rcc rId="2105" sId="9">
    <nc r="B21">
      <v>808</v>
    </nc>
  </rcc>
  <rcc rId="2106" sId="9">
    <nc r="E21">
      <v>2</v>
    </nc>
  </rcc>
  <rcc rId="2107" sId="9">
    <nc r="C21" t="inlineStr">
      <is>
        <t>Fuste Fores, Berta</t>
      </is>
    </nc>
  </rcc>
  <rcc rId="2108" sId="9" numFmtId="19">
    <nc r="D21">
      <v>46153</v>
    </nc>
  </rcc>
  <rcc rId="2109" sId="9">
    <nc r="I21" t="inlineStr">
      <is>
        <t>Xuan</t>
      </is>
    </nc>
  </rcc>
  <rcc rId="2110" sId="9" odxf="1" dxf="1">
    <nc r="B22">
      <v>691</v>
    </nc>
    <odxf>
      <fill>
        <patternFill>
          <bgColor theme="0"/>
        </patternFill>
      </fill>
    </odxf>
    <ndxf>
      <fill>
        <patternFill>
          <bgColor rgb="FF00B050"/>
        </patternFill>
      </fill>
    </ndxf>
  </rcc>
  <rcc rId="2111" sId="9" odxf="1" dxf="1">
    <nc r="C22" t="inlineStr">
      <is>
        <t>Hai Li</t>
      </is>
    </nc>
    <odxf>
      <alignment horizontal="left" readingOrder="0"/>
    </odxf>
    <ndxf>
      <alignment horizontal="center" readingOrder="0"/>
    </ndxf>
  </rcc>
  <rcc rId="2112" sId="9" numFmtId="19">
    <nc r="D22">
      <v>46151</v>
    </nc>
  </rcc>
  <rcc rId="2113" sId="9">
    <nc r="E22">
      <v>2</v>
    </nc>
  </rcc>
  <rcc rId="2114" sId="9">
    <nc r="F22">
      <v>1</v>
    </nc>
  </rcc>
  <rcc rId="2115" sId="9" odxf="1" dxf="1">
    <nc r="H22" t="inlineStr">
      <is>
        <t>2 pax ALLOCATION</t>
      </is>
    </nc>
    <odxf>
      <fill>
        <patternFill>
          <bgColor theme="0"/>
        </patternFill>
      </fill>
      <alignment horizontal="left" readingOrder="0"/>
    </odxf>
    <ndxf>
      <fill>
        <patternFill>
          <bgColor rgb="FF00B050"/>
        </patternFill>
      </fill>
      <alignment horizontal="center" readingOrder="0"/>
    </ndxf>
  </rcc>
  <rcc rId="2116" sId="9" odxf="1" dxf="1">
    <nc r="I22" t="inlineStr">
      <is>
        <t>Win/Faiha</t>
      </is>
    </nc>
    <odxf>
      <alignment horizontal="left" readingOrder="0"/>
    </odxf>
    <ndxf>
      <alignment horizontal="center" readingOrder="0"/>
    </ndxf>
  </rcc>
</revisions>
</file>

<file path=xl/revisions/revisionLog2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7" sId="30">
    <nc r="B7" t="inlineStr">
      <is>
        <t>Prebooking</t>
      </is>
    </nc>
  </rcc>
  <rfmt sheetId="30" sqref="C7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cc rId="2118" sId="30" xfDxf="1" dxf="1">
    <nc r="C7" t="inlineStr">
      <is>
        <t xml:space="preserve">MS.ZHAO/BO </t>
      </is>
    </nc>
    <ndxf>
      <font>
        <color rgb="FF4F3629"/>
        <name val="Arial"/>
        <scheme val="none"/>
      </font>
      <alignment horizontal="left" vertical="center" readingOrder="0"/>
    </ndxf>
  </rcc>
  <rcc rId="2119" sId="30" numFmtId="19">
    <nc r="D7">
      <v>46174</v>
    </nc>
  </rcc>
  <rcc rId="2120" sId="30">
    <nc r="E7">
      <v>2</v>
    </nc>
  </rcc>
  <rfmt sheetId="30" sqref="H7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30" sqref="H7" start="0" length="0">
    <dxf>
      <font>
        <b/>
        <sz val="11"/>
        <color rgb="FF4F3629"/>
        <name val="Arial"/>
        <scheme val="none"/>
      </font>
    </dxf>
  </rfmt>
  <rcc rId="2121" sId="30" xfDxf="1" dxf="1">
    <nc r="H7" t="inlineStr">
      <is>
        <r>
          <t>3372439,</t>
        </r>
        <r>
          <rPr>
            <sz val="11"/>
            <color rgb="FF000000"/>
            <rFont val="Arial"/>
            <family val="2"/>
          </rPr>
          <t xml:space="preserve"> </t>
        </r>
        <r>
          <rPr>
            <b/>
            <sz val="11"/>
            <color rgb="FF4F3629"/>
            <rFont val="Arial"/>
            <family val="2"/>
          </rPr>
          <t>3372440</t>
        </r>
      </is>
    </nc>
    <ndxf>
      <font>
        <b/>
        <color rgb="FF4F3629"/>
        <name val="Arial"/>
        <scheme val="none"/>
      </font>
    </ndxf>
  </rcc>
  <rcc rId="2122" sId="30">
    <nc r="I7" t="inlineStr">
      <is>
        <t>Usayyu/Faiha</t>
      </is>
    </nc>
  </rcc>
</revisions>
</file>

<file path=xl/revisions/revisionLog2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I23" start="0" length="0">
    <dxf>
      <alignment horizontal="center" readingOrder="0"/>
    </dxf>
  </rfmt>
</revisions>
</file>

<file path=xl/revisions/revisionLog2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B3797D0B-1E44-402B-AD05-6509081B1712}" action="delete"/>
  <rdn rId="0" localSheetId="1" customView="1" name="Z_B3797D0B_1E44_402B_AD05_6509081B1712_.wvu.PrintArea" hidden="1" oldHidden="1">
    <formula>'1'!$A$1:$L$48</formula>
    <oldFormula>'1'!$A$1:$L$48</oldFormula>
  </rdn>
  <rdn rId="0" localSheetId="2" customView="1" name="Z_B3797D0B_1E44_402B_AD05_6509081B1712_.wvu.PrintArea" hidden="1" oldHidden="1">
    <formula>'2'!$A$1:$L$29</formula>
    <oldFormula>'2'!$A$1:$L$29</oldFormula>
  </rdn>
  <rdn rId="0" localSheetId="3" customView="1" name="Z_B3797D0B_1E44_402B_AD05_6509081B1712_.wvu.PrintArea" hidden="1" oldHidden="1">
    <formula>'3'!$A$1:$J$27</formula>
    <oldFormula>'3'!$A$1:$J$27</oldFormula>
  </rdn>
  <rdn rId="0" localSheetId="4" customView="1" name="Z_B3797D0B_1E44_402B_AD05_6509081B1712_.wvu.PrintArea" hidden="1" oldHidden="1">
    <formula>'4'!$A$1:$L$26</formula>
    <oldFormula>'4'!$A$1:$L$26</oldFormula>
  </rdn>
  <rdn rId="0" localSheetId="5" customView="1" name="Z_B3797D0B_1E44_402B_AD05_6509081B1712_.wvu.PrintArea" hidden="1" oldHidden="1">
    <formula>'5'!$A$1:$L$34</formula>
    <oldFormula>'5'!$A$1:$L$34</oldFormula>
  </rdn>
  <rdn rId="0" localSheetId="6" customView="1" name="Z_B3797D0B_1E44_402B_AD05_6509081B1712_.wvu.PrintArea" hidden="1" oldHidden="1">
    <formula>'6'!$A$1:$L$49</formula>
    <oldFormula>'6'!$A$1:$L$49</oldFormula>
  </rdn>
  <rdn rId="0" localSheetId="6" customView="1" name="Z_B3797D0B_1E44_402B_AD05_6509081B1712_.wvu.FilterData" hidden="1" oldHidden="1">
    <formula>'6'!$D$6:$K$36</formula>
  </rdn>
  <rdn rId="0" localSheetId="7" customView="1" name="Z_B3797D0B_1E44_402B_AD05_6509081B1712_.wvu.PrintArea" hidden="1" oldHidden="1">
    <formula>'7'!$A$1:$L$37</formula>
    <oldFormula>'7'!$A$1:$L$37</oldFormula>
  </rdn>
  <rdn rId="0" localSheetId="8" customView="1" name="Z_B3797D0B_1E44_402B_AD05_6509081B1712_.wvu.PrintArea" hidden="1" oldHidden="1">
    <formula>'8'!$A$1:$J$33</formula>
    <oldFormula>'8'!$A$1:$J$33</oldFormula>
  </rdn>
  <rdn rId="0" localSheetId="9" customView="1" name="Z_B3797D0B_1E44_402B_AD05_6509081B1712_.wvu.PrintArea" hidden="1" oldHidden="1">
    <formula>'9'!$A$1:$J$37</formula>
    <oldFormula>'9'!$A$1:$J$37</oldFormula>
  </rdn>
  <rdn rId="0" localSheetId="10" customView="1" name="Z_B3797D0B_1E44_402B_AD05_6509081B1712_.wvu.PrintArea" hidden="1" oldHidden="1">
    <formula>'10'!$A$1:$J$37</formula>
    <oldFormula>'10'!$A$1:$J$37</oldFormula>
  </rdn>
  <rdn rId="0" localSheetId="11" customView="1" name="Z_B3797D0B_1E44_402B_AD05_6509081B1712_.wvu.PrintArea" hidden="1" oldHidden="1">
    <formula>'11'!$A$1:$J$40</formula>
    <oldFormula>'11'!$A$1:$J$40</oldFormula>
  </rdn>
  <rdn rId="0" localSheetId="12" customView="1" name="Z_B3797D0B_1E44_402B_AD05_6509081B1712_.wvu.PrintArea" hidden="1" oldHidden="1">
    <formula>'12'!$A$1:$J$38</formula>
    <oldFormula>'12'!$A$1:$J$38</oldFormula>
  </rdn>
  <rdn rId="0" localSheetId="13" customView="1" name="Z_B3797D0B_1E44_402B_AD05_6509081B1712_.wvu.PrintArea" hidden="1" oldHidden="1">
    <formula>'13'!$A$1:$J$38</formula>
    <oldFormula>'13'!$A$1:$J$38</oldFormula>
  </rdn>
  <rdn rId="0" localSheetId="14" customView="1" name="Z_B3797D0B_1E44_402B_AD05_6509081B1712_.wvu.PrintArea" hidden="1" oldHidden="1">
    <formula>'14'!$A$1:$J$38</formula>
    <oldFormula>'14'!$A$1:$J$38</oldFormula>
  </rdn>
  <rdn rId="0" localSheetId="15" customView="1" name="Z_B3797D0B_1E44_402B_AD05_6509081B1712_.wvu.PrintArea" hidden="1" oldHidden="1">
    <formula>'15'!$A$1:$J$38</formula>
    <oldFormula>'15'!$A$1:$J$38</oldFormula>
  </rdn>
  <rdn rId="0" localSheetId="16" customView="1" name="Z_B3797D0B_1E44_402B_AD05_6509081B1712_.wvu.PrintArea" hidden="1" oldHidden="1">
    <formula>'16'!$A$1:$J$38</formula>
    <oldFormula>'16'!$A$1:$J$38</oldFormula>
  </rdn>
  <rdn rId="0" localSheetId="17" customView="1" name="Z_B3797D0B_1E44_402B_AD05_6509081B1712_.wvu.PrintArea" hidden="1" oldHidden="1">
    <formula>'17'!$A$1:$J$38</formula>
    <oldFormula>'17'!$A$1:$J$38</oldFormula>
  </rdn>
  <rdn rId="0" localSheetId="18" customView="1" name="Z_B3797D0B_1E44_402B_AD05_6509081B1712_.wvu.PrintArea" hidden="1" oldHidden="1">
    <formula>'18'!$A$1:$J$38</formula>
    <oldFormula>'18'!$A$1:$J$38</oldFormula>
  </rdn>
  <rdn rId="0" localSheetId="19" customView="1" name="Z_B3797D0B_1E44_402B_AD05_6509081B1712_.wvu.PrintArea" hidden="1" oldHidden="1">
    <formula>'19'!$A$1:$J$38</formula>
    <oldFormula>'19'!$A$1:$J$38</oldFormula>
  </rdn>
  <rdn rId="0" localSheetId="20" customView="1" name="Z_B3797D0B_1E44_402B_AD05_6509081B1712_.wvu.PrintArea" hidden="1" oldHidden="1">
    <formula>'20'!$A$1:$J$38</formula>
    <oldFormula>'20'!$A$1:$J$38</oldFormula>
  </rdn>
  <rdn rId="0" localSheetId="21" customView="1" name="Z_B3797D0B_1E44_402B_AD05_6509081B1712_.wvu.PrintArea" hidden="1" oldHidden="1">
    <formula>'21'!$A$1:$J$38</formula>
    <oldFormula>'21'!$A$1:$J$38</oldFormula>
  </rdn>
  <rdn rId="0" localSheetId="22" customView="1" name="Z_B3797D0B_1E44_402B_AD05_6509081B1712_.wvu.PrintArea" hidden="1" oldHidden="1">
    <formula>'22'!$A$1:$J$38</formula>
    <oldFormula>'22'!$A$1:$J$38</oldFormula>
  </rdn>
  <rdn rId="0" localSheetId="23" customView="1" name="Z_B3797D0B_1E44_402B_AD05_6509081B1712_.wvu.PrintArea" hidden="1" oldHidden="1">
    <formula>'23'!$A$1:$J$38</formula>
    <oldFormula>'23'!$A$1:$J$38</oldFormula>
  </rdn>
  <rdn rId="0" localSheetId="24" customView="1" name="Z_B3797D0B_1E44_402B_AD05_6509081B1712_.wvu.PrintArea" hidden="1" oldHidden="1">
    <formula>'24'!$A$1:$J$38</formula>
    <oldFormula>'24'!$A$1:$J$38</oldFormula>
  </rdn>
  <rdn rId="0" localSheetId="25" customView="1" name="Z_B3797D0B_1E44_402B_AD05_6509081B1712_.wvu.PrintArea" hidden="1" oldHidden="1">
    <formula>'25'!$A$1:$J$38</formula>
    <oldFormula>'25'!$A$1:$J$38</oldFormula>
  </rdn>
  <rdn rId="0" localSheetId="26" customView="1" name="Z_B3797D0B_1E44_402B_AD05_6509081B1712_.wvu.PrintArea" hidden="1" oldHidden="1">
    <formula>'26'!$A$1:$J$38</formula>
    <oldFormula>'26'!$A$1:$J$38</oldFormula>
  </rdn>
  <rdn rId="0" localSheetId="27" customView="1" name="Z_B3797D0B_1E44_402B_AD05_6509081B1712_.wvu.PrintArea" hidden="1" oldHidden="1">
    <formula>'27'!$A$1:$J$38</formula>
    <oldFormula>'27'!$A$1:$J$38</oldFormula>
  </rdn>
  <rdn rId="0" localSheetId="28" customView="1" name="Z_B3797D0B_1E44_402B_AD05_6509081B1712_.wvu.PrintArea" hidden="1" oldHidden="1">
    <formula>'28'!$A$1:$J$38</formula>
    <oldFormula>'28'!$A$1:$J$38</oldFormula>
  </rdn>
  <rdn rId="0" localSheetId="29" customView="1" name="Z_B3797D0B_1E44_402B_AD05_6509081B1712_.wvu.PrintArea" hidden="1" oldHidden="1">
    <formula>'29'!$A$1:$J$38</formula>
    <oldFormula>'29'!$A$1:$J$38</oldFormula>
  </rdn>
  <rdn rId="0" localSheetId="30" customView="1" name="Z_B3797D0B_1E44_402B_AD05_6509081B1712_.wvu.PrintArea" hidden="1" oldHidden="1">
    <formula>'30'!$A$1:$J$38</formula>
    <oldFormula>'30'!$A$1:$J$38</oldFormula>
  </rdn>
  <rdn rId="0" localSheetId="31" customView="1" name="Z_B3797D0B_1E44_402B_AD05_6509081B1712_.wvu.PrintArea" hidden="1" oldHidden="1">
    <formula>'31'!$A$1:$J$38</formula>
    <oldFormula>'31'!$A$1:$J$38</oldFormula>
  </rdn>
  <rcv guid="{B3797D0B-1E44-402B-AD05-6509081B1712}" action="add"/>
</revisions>
</file>

<file path=xl/revisions/revisionLog2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B7:I22">
    <dxf>
      <alignment vertical="center" readingOrder="0"/>
    </dxf>
  </rfmt>
  <rfmt sheetId="9" sqref="B7:I22">
    <dxf>
      <alignment horizontal="general" readingOrder="0"/>
    </dxf>
  </rfmt>
  <rfmt sheetId="9" sqref="B7:I22">
    <dxf>
      <alignment horizontal="center" readingOrder="0"/>
    </dxf>
  </rfmt>
</revisions>
</file>

<file path=xl/revisions/revisionLog2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2155" sheetId="9" source="B19:J19" destination="B15:J15" sourceSheetId="9">
    <rcc rId="0" sId="9" dxf="1">
      <nc r="B15">
        <v>308</v>
      </nc>
      <ndxf>
        <font>
          <sz val="14"/>
          <color theme="1"/>
          <name val="Calibri"/>
          <scheme val="minor"/>
        </font>
        <fill>
          <patternFill patternType="solid">
            <bgColor rgb="FF92D05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9" dxf="1">
      <nc r="C15" t="inlineStr">
        <is>
          <t>Koji Horikawa</t>
        </is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9" dxf="1" numFmtId="19">
      <nc r="D15">
        <v>46152</v>
      </nc>
      <n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9" dxf="1">
      <nc r="E15">
        <v>2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9" sqref="F1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G1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9" dxf="1">
      <nc r="H15" t="inlineStr">
        <is>
          <t>ALLOCATION</t>
        </is>
      </nc>
      <ndxf>
        <font>
          <sz val="14"/>
          <color theme="1"/>
          <name val="Calibri"/>
          <scheme val="minor"/>
        </font>
        <fill>
          <patternFill patternType="solid">
            <bgColor rgb="FF92D05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9" dxf="1">
      <nc r="I15" t="inlineStr">
        <is>
          <t>Faiha/UV</t>
        </is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9" dxf="1">
      <nc r="J15">
        <f>IF(OR(NOT(ISERROR(MATCH(RIGHT(B15,3)+0,#REF!,0))),NOT(ISERROR(MATCH(LEFT(B15,3)+0,#REF!,0)))),"No Post","")</f>
      </nc>
      <ndxf>
        <font>
          <b/>
          <sz val="12"/>
          <color auto="1"/>
          <name val="Calibri"/>
          <scheme val="none"/>
        </font>
      </ndxf>
    </rcc>
  </rm>
  <rm rId="2156" sheetId="9" source="B12:J12" destination="B19:J19" sourceSheetId="9"/>
  <rm rId="2157" sheetId="9" source="B22:J22" destination="B12:J12" sourceSheetId="9"/>
  <rm rId="2158" sheetId="9" source="B21:J21" destination="B22:J22" sourceSheetId="9"/>
  <rm rId="2159" sheetId="9" source="B14:J14" destination="B21:J21" sourceSheetId="9"/>
  <rm rId="2160" sheetId="9" source="B16:J16" destination="B14:J14" sourceSheetId="9"/>
  <rm rId="2161" sheetId="9" source="B13:J13" destination="B16:J16" sourceSheetId="9"/>
  <rm rId="2162" sheetId="9" source="B11:J11" destination="B13:J13" sourceSheetId="9"/>
  <rm rId="2163" sheetId="9" source="B20:J20" destination="B11:J11" sourceSheetId="9"/>
  <rm rId="2164" sheetId="9" source="B17:J17" destination="B20:J20" sourceSheetId="9"/>
  <rm rId="2165" sheetId="9" source="B9:J9" destination="B17:J17" sourceSheetId="9"/>
  <rm rId="2166" sheetId="9" source="B8:J8" destination="B9:J9" sourceSheetId="9"/>
  <rm rId="2167" sheetId="9" source="B18:J18" destination="B8:J8" sourceSheetId="9"/>
  <rm rId="2168" sheetId="9" source="B7:J7" destination="B18:J18" sourceSheetId="9">
    <undo index="0" exp="area" dr="F17:F26" r="F27" sId="9"/>
  </rm>
  <rfmt sheetId="9" sqref="B7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C7" start="0" length="0">
    <dxf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D7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E7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F7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G7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H7" start="0" length="0">
    <dxf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7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I23" start="0" length="0">
    <dxf>
      <alignment horizontal="left" readingOrder="0"/>
    </dxf>
  </rfmt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'6'!$A$1:$L$49</formula>
    <oldFormula>'6'!$A$1:$L$49</oldFormula>
  </rdn>
  <rdn rId="0" localSheetId="6" customView="1" name="Z_6222734F_EF03_4A42_A0AF_7421F8747AA6_.wvu.FilterData" hidden="1" oldHidden="1">
    <formula>'6'!$D$6:$K$36</formula>
    <oldFormula>'6'!$D$6:$K$36</oldFormula>
  </rdn>
  <rdn rId="0" localSheetId="7" customView="1" name="Z_6222734F_EF03_4A42_A0AF_7421F8747AA6_.wvu.PrintArea" hidden="1" oldHidden="1">
    <formula>'7'!$A$1:$L$37</formula>
    <oldFormula>'7'!$A$1:$L$37</oldFormula>
  </rdn>
  <rdn rId="0" localSheetId="8" customView="1" name="Z_6222734F_EF03_4A42_A0AF_7421F8747AA6_.wvu.PrintArea" hidden="1" oldHidden="1">
    <formula>'8'!$A$1:$J$33</formula>
    <oldFormula>'8'!$A$1:$J$33</oldFormula>
  </rdn>
  <rdn rId="0" localSheetId="9" customView="1" name="Z_6222734F_EF03_4A42_A0AF_7421F8747AA6_.wvu.PrintArea" hidden="1" oldHidden="1">
    <formula>'9'!$A$1:$J$37</formula>
    <oldFormula>'9'!$A$1:$J$37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2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1" sId="9">
    <oc r="B18" t="inlineStr">
      <is>
        <t>Prebooking</t>
      </is>
    </oc>
    <nc r="B18">
      <v>300</v>
    </nc>
  </rcc>
  <rrc rId="2202" sId="9" ref="A12:XFD12" action="insertRow"/>
  <rrc rId="2203" sId="9" ref="A7:XFD7" action="insertRow"/>
  <rfmt sheetId="9" sqref="A13:I13 A7:I7">
    <dxf>
      <fill>
        <patternFill>
          <bgColor theme="4" tint="0.39997558519241921"/>
        </patternFill>
      </fill>
    </dxf>
  </rfmt>
  <rfmt sheetId="9" sqref="A13" start="0" length="0">
    <dxf>
      <border>
        <left/>
      </border>
    </dxf>
  </rfmt>
  <rfmt sheetId="9" sqref="A13:I13" start="0" length="0">
    <dxf>
      <border>
        <top/>
      </border>
    </dxf>
  </rfmt>
  <rfmt sheetId="9" sqref="I13" start="0" length="0">
    <dxf>
      <border>
        <right/>
      </border>
    </dxf>
  </rfmt>
  <rfmt sheetId="9" sqref="A13:I13" start="0" length="0">
    <dxf>
      <border>
        <bottom/>
      </border>
    </dxf>
  </rfmt>
  <rfmt sheetId="9" sqref="A7" start="0" length="0">
    <dxf>
      <border>
        <left/>
      </border>
    </dxf>
  </rfmt>
  <rfmt sheetId="9" sqref="A7:I7" start="0" length="0">
    <dxf>
      <border>
        <top/>
      </border>
    </dxf>
  </rfmt>
  <rfmt sheetId="9" sqref="I7" start="0" length="0">
    <dxf>
      <border>
        <right/>
      </border>
    </dxf>
  </rfmt>
  <rfmt sheetId="9" sqref="A7:I7" start="0" length="0">
    <dxf>
      <border>
        <bottom/>
      </border>
    </dxf>
  </rfmt>
  <rfmt sheetId="9" sqref="A13:I13 A7:I7">
    <dxf>
      <border>
        <left/>
        <right/>
        <vertical/>
      </border>
    </dxf>
  </rfmt>
  <rfmt sheetId="9" sqref="A13" start="0" length="0">
    <dxf>
      <border>
        <left style="thin">
          <color indexed="64"/>
        </left>
      </border>
    </dxf>
  </rfmt>
  <rfmt sheetId="9" sqref="A13:I13" start="0" length="0">
    <dxf>
      <border>
        <top style="thin">
          <color indexed="64"/>
        </top>
      </border>
    </dxf>
  </rfmt>
  <rfmt sheetId="9" sqref="I13" start="0" length="0">
    <dxf>
      <border>
        <right style="thin">
          <color indexed="64"/>
        </right>
      </border>
    </dxf>
  </rfmt>
  <rfmt sheetId="9" sqref="A13:I13" start="0" length="0">
    <dxf>
      <border>
        <bottom style="thin">
          <color indexed="64"/>
        </bottom>
      </border>
    </dxf>
  </rfmt>
  <rfmt sheetId="9" sqref="A7" start="0" length="0">
    <dxf>
      <border>
        <left style="thin">
          <color indexed="64"/>
        </left>
      </border>
    </dxf>
  </rfmt>
  <rfmt sheetId="9" sqref="A7:I7" start="0" length="0">
    <dxf>
      <border>
        <top style="thin">
          <color indexed="64"/>
        </top>
      </border>
    </dxf>
  </rfmt>
  <rfmt sheetId="9" sqref="I7" start="0" length="0">
    <dxf>
      <border>
        <right style="thin">
          <color indexed="64"/>
        </right>
      </border>
    </dxf>
  </rfmt>
  <rfmt sheetId="9" sqref="A7:I7" start="0" length="0">
    <dxf>
      <border>
        <bottom style="thin">
          <color indexed="64"/>
        </bottom>
      </border>
    </dxf>
  </rfmt>
</revisions>
</file>

<file path=xl/revisions/revisionLog2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4" sId="9">
    <nc r="B8">
      <v>875</v>
    </nc>
  </rcc>
  <rcc rId="2205" sId="9">
    <nc r="C8" t="inlineStr">
      <is>
        <t>Yassir Ioumhan</t>
      </is>
    </nc>
  </rcc>
  <rcc rId="2206" sId="9" numFmtId="19">
    <nc r="D8">
      <v>46153</v>
    </nc>
  </rcc>
  <rcc rId="2207" sId="9">
    <nc r="E8">
      <v>2</v>
    </nc>
  </rcc>
  <rcc rId="2208" sId="9">
    <nc r="I8" t="inlineStr">
      <is>
        <t>Faiha</t>
      </is>
    </nc>
  </rcc>
</revisions>
</file>

<file path=xl/revisions/revisionLog2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9" sId="10">
    <nc r="B8">
      <v>814</v>
    </nc>
  </rcc>
  <rcc rId="2210" sId="10">
    <nc r="E8">
      <v>2</v>
    </nc>
  </rcc>
  <rcc rId="2211" sId="10">
    <nc r="I8" t="inlineStr">
      <is>
        <t>Tarush</t>
      </is>
    </nc>
  </rcc>
  <rcc rId="2212" sId="10">
    <nc r="C8" t="inlineStr">
      <is>
        <t>Ng Kok</t>
      </is>
    </nc>
  </rcc>
  <rcc rId="2213" sId="10" numFmtId="19">
    <nc r="D8">
      <v>46154</v>
    </nc>
  </rcc>
</revisions>
</file>

<file path=xl/revisions/revisionLog2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2214" sheetId="9" source="B14:I14" destination="B25:I25" sourceSheetId="9">
    <undo index="10" exp="ref" v="1" dr="B25" r="J25" sId="9"/>
    <undo index="0" exp="ref" v="1" dr="B25" r="J25" sId="9"/>
    <rfmt sheetId="9" sqref="B2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C2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D25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E2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F2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G2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H2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I2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2215" sId="9" odxf="1" dxf="1">
    <nc r="B14">
      <v>808</v>
    </nc>
    <odxf>
      <fill>
        <patternFill patternType="none">
          <bgColor indexed="65"/>
        </patternFill>
      </fill>
      <alignment vertical="top" readingOrder="0"/>
      <border outline="0">
        <left/>
        <right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2216" sId="9" odxf="1" dxf="1">
    <nc r="C14" t="inlineStr">
      <is>
        <t>Fuste Fores, Berta</t>
      </is>
    </nc>
    <odxf>
      <fill>
        <patternFill patternType="none">
          <bgColor indexed="65"/>
        </patternFill>
      </fill>
      <alignment vertical="top" readingOrder="0"/>
      <border outline="0">
        <left/>
        <right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2217" sId="9" odxf="1" dxf="1" numFmtId="19">
    <nc r="D14">
      <v>46153</v>
    </nc>
    <odxf>
      <fill>
        <patternFill patternType="none">
          <bgColor indexed="65"/>
        </patternFill>
      </fill>
      <alignment vertical="top" readingOrder="0"/>
      <border outline="0">
        <left/>
        <right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2218" sId="9" odxf="1" dxf="1">
    <nc r="E14">
      <v>2</v>
    </nc>
    <odxf>
      <fill>
        <patternFill patternType="none">
          <bgColor indexed="65"/>
        </patternFill>
      </fill>
      <alignment vertical="top" readingOrder="0"/>
      <border outline="0">
        <left/>
        <right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9" sqref="F14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9" sqref="G14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9" sqref="H14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cc rId="2219" sId="9" odxf="1" dxf="1">
    <nc r="I14" t="inlineStr">
      <is>
        <t>Xuan</t>
      </is>
    </nc>
    <odxf>
      <fill>
        <patternFill patternType="none">
          <bgColor indexed="65"/>
        </patternFill>
      </fill>
      <alignment vertical="top" readingOrder="0"/>
      <border outline="0">
        <left/>
        <right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2220" sId="9" odxf="1" dxf="1">
    <oc r="B24">
      <v>808</v>
    </oc>
    <nc r="B24">
      <v>811</v>
    </nc>
    <odxf>
      <border outline="0">
        <top/>
      </border>
    </odxf>
    <ndxf>
      <border outline="0">
        <top style="thin">
          <color indexed="64"/>
        </top>
      </border>
    </ndxf>
  </rcc>
  <rcc rId="2221" sId="9" odxf="1" dxf="1">
    <oc r="C24" t="inlineStr">
      <is>
        <t>Fuste Fores, Berta</t>
      </is>
    </oc>
    <nc r="C24" t="inlineStr">
      <is>
        <t>Finian Odriscoll</t>
      </is>
    </nc>
    <odxf>
      <border outline="0">
        <top/>
      </border>
    </odxf>
    <ndxf>
      <border outline="0">
        <top style="thin">
          <color indexed="64"/>
        </top>
      </border>
    </ndxf>
  </rcc>
  <rcc rId="2222" sId="9" odxf="1" dxf="1" numFmtId="19">
    <oc r="D24">
      <v>46153</v>
    </oc>
    <nc r="D24">
      <v>46157</v>
    </nc>
    <odxf>
      <border outline="0">
        <top/>
      </border>
    </odxf>
    <ndxf>
      <border outline="0">
        <top style="thin">
          <color indexed="64"/>
        </top>
      </border>
    </ndxf>
  </rcc>
  <rfmt sheetId="9" sqref="E24" start="0" length="0">
    <dxf>
      <border outline="0">
        <top style="thin">
          <color indexed="64"/>
        </top>
      </border>
    </dxf>
  </rfmt>
  <rfmt sheetId="9" sqref="F24" start="0" length="0">
    <dxf>
      <border outline="0">
        <top style="thin">
          <color indexed="64"/>
        </top>
      </border>
    </dxf>
  </rfmt>
  <rfmt sheetId="9" sqref="G24" start="0" length="0">
    <dxf>
      <border outline="0">
        <top style="thin">
          <color indexed="64"/>
        </top>
      </border>
    </dxf>
  </rfmt>
  <rfmt sheetId="9" sqref="H24" start="0" length="0">
    <dxf>
      <border outline="0">
        <top style="thin">
          <color indexed="64"/>
        </top>
      </border>
    </dxf>
  </rfmt>
  <rcc rId="2223" sId="9" odxf="1" dxf="1">
    <oc r="I24" t="inlineStr">
      <is>
        <t>Xuan</t>
      </is>
    </oc>
    <nc r="I24" t="inlineStr">
      <is>
        <t>Faiha</t>
      </is>
    </nc>
    <odxf>
      <border outline="0">
        <top/>
      </border>
    </odxf>
    <ndxf>
      <border outline="0">
        <top style="thin">
          <color indexed="64"/>
        </top>
      </border>
    </ndxf>
  </rcc>
  <rcc rId="2224" sId="9" odxf="1" dxf="1">
    <oc r="B23">
      <v>811</v>
    </oc>
    <nc r="B23">
      <v>818</v>
    </nc>
    <odxf>
      <fill>
        <patternFill>
          <bgColor theme="0"/>
        </patternFill>
      </fill>
    </odxf>
    <ndxf>
      <fill>
        <patternFill>
          <bgColor rgb="FF00B0F0"/>
        </patternFill>
      </fill>
    </ndxf>
  </rcc>
  <rcc rId="2225" sId="9">
    <oc r="C23" t="inlineStr">
      <is>
        <t>Finian Odriscoll</t>
      </is>
    </oc>
    <nc r="C23" t="inlineStr">
      <is>
        <t>Mr. Philip Edward Packman</t>
      </is>
    </nc>
  </rcc>
  <rcc rId="2226" sId="9" numFmtId="19">
    <oc r="D23">
      <v>46157</v>
    </oc>
    <nc r="D23">
      <v>46153</v>
    </nc>
  </rcc>
  <rcc rId="2227" sId="9" odxf="1" dxf="1">
    <nc r="H23" t="inlineStr">
      <is>
        <t>PAI</t>
      </is>
    </nc>
    <odxf>
      <fill>
        <patternFill>
          <bgColor theme="0"/>
        </patternFill>
      </fill>
    </odxf>
    <ndxf>
      <fill>
        <patternFill>
          <bgColor rgb="FF00B0F0"/>
        </patternFill>
      </fill>
    </ndxf>
  </rcc>
  <rcc rId="2228" sId="9">
    <oc r="I23" t="inlineStr">
      <is>
        <t>Faiha</t>
      </is>
    </oc>
    <nc r="I23" t="inlineStr">
      <is>
        <t>Vifau/Shamrath</t>
      </is>
    </nc>
  </rcc>
  <rcc rId="2229" sId="9" odxf="1" dxf="1">
    <oc r="B16">
      <v>818</v>
    </oc>
    <nc r="B16">
      <v>850</v>
    </nc>
    <odxf>
      <fill>
        <patternFill>
          <bgColor rgb="FF00B0F0"/>
        </patternFill>
      </fill>
    </odxf>
    <ndxf>
      <fill>
        <patternFill>
          <bgColor theme="0"/>
        </patternFill>
      </fill>
    </ndxf>
  </rcc>
  <rcc rId="2230" sId="9" odxf="1" dxf="1">
    <oc r="C16" t="inlineStr">
      <is>
        <t>Mr. Philip Edward Packman</t>
      </is>
    </oc>
    <nc r="C16" t="inlineStr">
      <is>
        <t>Hessko Khelo</t>
      </is>
    </nc>
    <o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border outline="0">
        <left/>
        <right/>
        <top/>
        <bottom/>
      </border>
    </ndxf>
  </rcc>
  <rcc rId="2231" sId="9" numFmtId="19">
    <oc r="D16">
      <v>46153</v>
    </oc>
    <nc r="D16">
      <v>46158</v>
    </nc>
  </rcc>
  <rcc rId="2232" sId="9" odxf="1" dxf="1">
    <oc r="H16" t="inlineStr">
      <is>
        <t>PAI</t>
      </is>
    </oc>
    <nc r="H16" t="inlineStr">
      <is>
        <t>SAI</t>
      </is>
    </nc>
    <odxf>
      <fill>
        <patternFill>
          <bgColor rgb="FF00B0F0"/>
        </patternFill>
      </fill>
    </odxf>
    <ndxf>
      <fill>
        <patternFill>
          <bgColor theme="0"/>
        </patternFill>
      </fill>
    </ndxf>
  </rcc>
  <rcc rId="2233" sId="9">
    <oc r="I16" t="inlineStr">
      <is>
        <t>Vifau/Shamrath</t>
      </is>
    </oc>
    <nc r="I16" t="inlineStr">
      <is>
        <t>Faiha</t>
      </is>
    </nc>
  </rcc>
  <rcc rId="2234" sId="9">
    <oc r="B18">
      <v>850</v>
    </oc>
    <nc r="B18">
      <v>856</v>
    </nc>
  </rcc>
  <rcc rId="2235" sId="9" odxf="1" dxf="1">
    <oc r="C18" t="inlineStr">
      <is>
        <t>Hessko Khelo</t>
      </is>
    </oc>
    <nc r="C18" t="inlineStr">
      <is>
        <t>Sameena Malik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36" sId="9" numFmtId="19">
    <oc r="D18">
      <v>46158</v>
    </oc>
    <nc r="D18">
      <v>46155</v>
    </nc>
  </rcc>
  <rcc rId="2237" sId="9">
    <oc r="H18" t="inlineStr">
      <is>
        <t>SAI</t>
      </is>
    </oc>
    <nc r="H18"/>
  </rcc>
  <rcc rId="2238" sId="9">
    <oc r="I18" t="inlineStr">
      <is>
        <t>Faiha</t>
      </is>
    </oc>
    <nc r="I18" t="inlineStr">
      <is>
        <t>Leyla/Faiha</t>
      </is>
    </nc>
  </rcc>
  <rcc rId="2239" sId="9">
    <oc r="B15">
      <v>856</v>
    </oc>
    <nc r="B15">
      <v>868</v>
    </nc>
  </rcc>
  <rcc rId="2240" sId="9">
    <oc r="C15" t="inlineStr">
      <is>
        <t>Sameena Malik</t>
      </is>
    </oc>
    <nc r="C15"/>
  </rcc>
  <rcc rId="2241" sId="9" numFmtId="19">
    <oc r="D15">
      <v>46155</v>
    </oc>
    <nc r="D15"/>
  </rcc>
  <rcc rId="2242" sId="9" odxf="1" dxf="1">
    <oc r="B12">
      <v>868</v>
    </oc>
    <nc r="B12">
      <v>869</v>
    </nc>
    <odxf>
      <fill>
        <patternFill>
          <bgColor theme="0"/>
        </patternFill>
      </fill>
    </odxf>
    <ndxf>
      <fill>
        <patternFill>
          <bgColor rgb="FFFF66CC"/>
        </patternFill>
      </fill>
    </ndxf>
  </rcc>
  <rcc rId="2243" sId="9">
    <nc r="C12" t="inlineStr">
      <is>
        <t>Sukyoung Maeng</t>
      </is>
    </nc>
  </rcc>
  <rcc rId="2244" sId="9" numFmtId="19">
    <nc r="D12">
      <v>46152</v>
    </nc>
  </rcc>
  <rcc rId="2245" sId="9" odxf="1" dxf="1">
    <nc r="H12" t="inlineStr">
      <is>
        <t>ITA(NP)</t>
      </is>
    </nc>
    <odxf>
      <fill>
        <patternFill>
          <bgColor theme="0"/>
        </patternFill>
      </fill>
    </odxf>
    <ndxf>
      <fill>
        <patternFill>
          <bgColor rgb="FFFF66CC"/>
        </patternFill>
      </fill>
    </ndxf>
  </rcc>
  <rcc rId="2246" sId="9">
    <oc r="I12" t="inlineStr">
      <is>
        <t>Leyla/Faiha</t>
      </is>
    </oc>
    <nc r="I12" t="inlineStr">
      <is>
        <t>UV/Tarush</t>
      </is>
    </nc>
  </rcc>
  <rcc rId="2247" sId="9">
    <oc r="B22">
      <v>869</v>
    </oc>
    <nc r="B22" t="inlineStr">
      <is>
        <t>666/852</t>
      </is>
    </nc>
  </rcc>
  <rcc rId="2248" sId="9">
    <oc r="C22" t="inlineStr">
      <is>
        <t>Sukyoung Maeng</t>
      </is>
    </oc>
    <nc r="C22" t="inlineStr">
      <is>
        <t>Jinyong Nam</t>
      </is>
    </nc>
  </rcc>
  <rcc rId="2249" sId="9" numFmtId="19">
    <oc r="D22">
      <v>46152</v>
    </oc>
    <nc r="D22">
      <v>46148</v>
    </nc>
  </rcc>
  <rcc rId="2250" sId="9" odxf="1" dxf="1">
    <oc r="H22" t="inlineStr">
      <is>
        <t>ITA(NP)</t>
      </is>
    </oc>
    <nc r="H22" t="inlineStr">
      <is>
        <t>ITA</t>
      </is>
    </nc>
    <odxf>
      <font>
        <sz val="14"/>
      </font>
    </odxf>
    <ndxf>
      <font>
        <sz val="14"/>
        <color auto="1"/>
      </font>
    </ndxf>
  </rcc>
  <rcc rId="2251" sId="9">
    <oc r="I22" t="inlineStr">
      <is>
        <t>UV/Tarush</t>
      </is>
    </oc>
    <nc r="I22" t="inlineStr">
      <is>
        <t>Win/Faiha</t>
      </is>
    </nc>
  </rcc>
  <rcc rId="2252" sId="9">
    <oc r="B19" t="inlineStr">
      <is>
        <t>666/852</t>
      </is>
    </oc>
    <nc r="B19" t="inlineStr">
      <is>
        <t>670/840</t>
      </is>
    </nc>
  </rcc>
  <rcc rId="2253" sId="9">
    <oc r="C19" t="inlineStr">
      <is>
        <t>Jinyong Nam</t>
      </is>
    </oc>
    <nc r="C19" t="inlineStr">
      <is>
        <t>Subeom Yang</t>
      </is>
    </nc>
  </rcc>
  <rcc rId="2254" sId="9" numFmtId="19">
    <oc r="D19">
      <v>46148</v>
    </oc>
    <nc r="D19">
      <v>46152</v>
    </nc>
  </rcc>
  <rfmt sheetId="9" sqref="H19" start="0" length="0">
    <dxf>
      <font>
        <sz val="14"/>
        <color auto="1"/>
      </font>
    </dxf>
  </rfmt>
  <rcc rId="2255" sId="9">
    <oc r="I19" t="inlineStr">
      <is>
        <t>Win/Faiha</t>
      </is>
    </oc>
    <nc r="I19" t="inlineStr">
      <is>
        <t>UV/Tarush</t>
      </is>
    </nc>
  </rcc>
  <rcc rId="2256" sId="9" odxf="1" dxf="1">
    <oc r="B10" t="inlineStr">
      <is>
        <t>670/840</t>
      </is>
    </oc>
    <nc r="B10" t="inlineStr">
      <is>
        <t>689/892</t>
      </is>
    </nc>
    <odxf>
      <fill>
        <patternFill>
          <bgColor rgb="FFFF66CC"/>
        </patternFill>
      </fill>
    </odxf>
    <ndxf>
      <fill>
        <patternFill>
          <bgColor rgb="FF92D050"/>
        </patternFill>
      </fill>
    </ndxf>
  </rcc>
  <rcc rId="2257" sId="9">
    <oc r="C10" t="inlineStr">
      <is>
        <t>Subeom Yang</t>
      </is>
    </oc>
    <nc r="C10" t="inlineStr">
      <is>
        <t>Yu, Hui</t>
      </is>
    </nc>
  </rcc>
  <rcc rId="2258" sId="9" numFmtId="19">
    <oc r="D10">
      <v>46152</v>
    </oc>
    <nc r="D10">
      <v>46150</v>
    </nc>
  </rcc>
  <rcc rId="2259" sId="9" odxf="1" dxf="1">
    <oc r="H10" t="inlineStr">
      <is>
        <t>ITA</t>
      </is>
    </oc>
    <nc r="H10" t="inlineStr">
      <is>
        <t>ALLOCATION</t>
      </is>
    </nc>
    <odxf>
      <fill>
        <patternFill>
          <bgColor rgb="FFFF66CC"/>
        </patternFill>
      </fill>
    </odxf>
    <ndxf>
      <fill>
        <patternFill>
          <bgColor rgb="FF92D050"/>
        </patternFill>
      </fill>
    </ndxf>
  </rcc>
  <rcc rId="2260" sId="9">
    <oc r="I10" t="inlineStr">
      <is>
        <t>UV/Tarush</t>
      </is>
    </oc>
    <nc r="I10" t="inlineStr">
      <is>
        <t>Habil/Xuan</t>
      </is>
    </nc>
  </rcc>
  <rcc rId="2261" sId="9" odxf="1" dxf="1">
    <oc r="B9" t="inlineStr">
      <is>
        <t>689/892</t>
      </is>
    </oc>
    <nc r="B9">
      <v>875</v>
    </nc>
    <odxf>
      <fill>
        <patternFill>
          <bgColor rgb="FF92D050"/>
        </patternFill>
      </fill>
    </odxf>
    <ndxf>
      <fill>
        <patternFill>
          <bgColor theme="0"/>
        </patternFill>
      </fill>
    </ndxf>
  </rcc>
  <rcc rId="2262" sId="9" odxf="1" dxf="1">
    <oc r="C9" t="inlineStr">
      <is>
        <t>Yu, Hui</t>
      </is>
    </oc>
    <nc r="C9" t="inlineStr">
      <is>
        <t>Yassir Ioumhan</t>
      </is>
    </nc>
    <odxf>
      <alignment horizontal="center" readingOrder="0"/>
    </odxf>
    <ndxf>
      <alignment horizontal="left" readingOrder="0"/>
    </ndxf>
  </rcc>
  <rcc rId="2263" sId="9" numFmtId="19">
    <oc r="D9">
      <v>46150</v>
    </oc>
    <nc r="D9">
      <v>46153</v>
    </nc>
  </rcc>
  <rcc rId="2264" sId="9" odxf="1" dxf="1">
    <oc r="H9" t="inlineStr">
      <is>
        <t>ALLOCATION</t>
      </is>
    </oc>
    <nc r="H9"/>
    <odxf>
      <fill>
        <patternFill>
          <bgColor rgb="FF92D050"/>
        </patternFill>
      </fill>
      <alignment horizontal="center" readingOrder="0"/>
    </odxf>
    <ndxf>
      <fill>
        <patternFill>
          <bgColor theme="0"/>
        </patternFill>
      </fill>
      <alignment horizontal="left" readingOrder="0"/>
    </ndxf>
  </rcc>
  <rcc rId="2265" sId="9">
    <oc r="I9" t="inlineStr">
      <is>
        <t>Habil/Xuan</t>
      </is>
    </oc>
    <nc r="I9" t="inlineStr">
      <is>
        <t>Faiha</t>
      </is>
    </nc>
  </rcc>
  <rcc rId="2266" sId="9" odxf="1" dxf="1">
    <oc r="B8">
      <v>875</v>
    </oc>
    <nc r="B8">
      <v>691</v>
    </nc>
    <odxf>
      <fill>
        <patternFill>
          <bgColor theme="0"/>
        </patternFill>
      </fill>
      <border outline="0">
        <bottom style="thin">
          <color indexed="64"/>
        </bottom>
      </border>
    </odxf>
    <ndxf>
      <fill>
        <patternFill>
          <bgColor rgb="FF00B050"/>
        </patternFill>
      </fill>
      <border outline="0">
        <bottom/>
      </border>
    </ndxf>
  </rcc>
  <rcc rId="2267" sId="9" odxf="1" dxf="1">
    <oc r="C8" t="inlineStr">
      <is>
        <t>Yassir Ioumhan</t>
      </is>
    </oc>
    <nc r="C8" t="inlineStr">
      <is>
        <t>Hai Li</t>
      </is>
    </nc>
    <odxf>
      <alignment horizontal="left" readingOrder="0"/>
      <border outline="0">
        <bottom style="thin">
          <color indexed="64"/>
        </bottom>
      </border>
    </odxf>
    <ndxf>
      <alignment horizontal="center" readingOrder="0"/>
      <border outline="0">
        <bottom/>
      </border>
    </ndxf>
  </rcc>
  <rcc rId="2268" sId="9" odxf="1" dxf="1" numFmtId="19">
    <oc r="D8">
      <v>46153</v>
    </oc>
    <nc r="D8">
      <v>46151</v>
    </nc>
    <odxf>
      <border outline="0">
        <bottom style="thin">
          <color indexed="64"/>
        </bottom>
      </border>
    </odxf>
    <ndxf>
      <border outline="0">
        <bottom/>
      </border>
    </ndxf>
  </rcc>
  <rfmt sheetId="9" sqref="E8" start="0" length="0">
    <dxf>
      <border outline="0">
        <bottom/>
      </border>
    </dxf>
  </rfmt>
  <rcc rId="2269" sId="9" odxf="1" dxf="1">
    <nc r="F8">
      <v>1</v>
    </nc>
    <odxf>
      <border outline="0">
        <bottom style="thin">
          <color indexed="64"/>
        </bottom>
      </border>
    </odxf>
    <ndxf>
      <border outline="0">
        <bottom/>
      </border>
    </ndxf>
  </rcc>
  <rfmt sheetId="9" sqref="G8" start="0" length="0">
    <dxf>
      <border outline="0">
        <bottom/>
      </border>
    </dxf>
  </rfmt>
  <rcc rId="2270" sId="9" odxf="1" dxf="1">
    <nc r="H8" t="inlineStr">
      <is>
        <t>2 pax ALLOCATION</t>
      </is>
    </nc>
    <odxf>
      <fill>
        <patternFill>
          <bgColor theme="0"/>
        </patternFill>
      </fill>
      <alignment horizontal="left" readingOrder="0"/>
      <border outline="0">
        <bottom style="thin">
          <color indexed="64"/>
        </bottom>
      </border>
    </odxf>
    <ndxf>
      <fill>
        <patternFill>
          <bgColor rgb="FF00B050"/>
        </patternFill>
      </fill>
      <alignment horizontal="center" readingOrder="0"/>
      <border outline="0">
        <bottom/>
      </border>
    </ndxf>
  </rcc>
  <rcc rId="2271" sId="9" odxf="1" dxf="1">
    <oc r="I8" t="inlineStr">
      <is>
        <t>Faiha</t>
      </is>
    </oc>
    <nc r="I8" t="inlineStr">
      <is>
        <t>Win/Faiha</t>
      </is>
    </nc>
    <odxf>
      <border outline="0">
        <bottom style="thin">
          <color indexed="64"/>
        </bottom>
      </border>
    </odxf>
    <ndxf>
      <border outline="0">
        <bottom/>
      </border>
    </ndxf>
  </rcc>
  <rcc rId="2272" sId="9" odxf="1" dxf="1">
    <oc r="B25">
      <v>691</v>
    </oc>
    <nc r="B25"/>
    <odxf>
      <fill>
        <patternFill>
          <bgColor rgb="FF00B050"/>
        </patternFill>
      </fill>
      <border outline="0">
        <bottom/>
      </border>
    </odxf>
    <ndxf>
      <fill>
        <patternFill>
          <bgColor theme="0"/>
        </patternFill>
      </fill>
      <border outline="0">
        <bottom style="thin">
          <color indexed="64"/>
        </bottom>
      </border>
    </ndxf>
  </rcc>
  <rcc rId="2273" sId="9" odxf="1" dxf="1">
    <oc r="C25" t="inlineStr">
      <is>
        <t>Hai Li</t>
      </is>
    </oc>
    <nc r="C25"/>
    <odxf>
      <alignment horizontal="center" readingOrder="0"/>
      <border outline="0">
        <bottom/>
      </border>
    </odxf>
    <ndxf>
      <alignment horizontal="left" readingOrder="0"/>
      <border outline="0">
        <bottom style="thin">
          <color indexed="64"/>
        </bottom>
      </border>
    </ndxf>
  </rcc>
  <rcc rId="2274" sId="9" odxf="1" dxf="1" numFmtId="19">
    <oc r="D25">
      <v>46151</v>
    </oc>
    <nc r="D25"/>
    <odxf>
      <border outline="0">
        <bottom/>
      </border>
    </odxf>
    <ndxf>
      <border outline="0">
        <bottom style="thin">
          <color indexed="64"/>
        </bottom>
      </border>
    </ndxf>
  </rcc>
  <rcc rId="2275" sId="9" odxf="1" dxf="1">
    <oc r="E25">
      <v>2</v>
    </oc>
    <nc r="E25"/>
    <odxf>
      <border outline="0">
        <bottom/>
      </border>
    </odxf>
    <ndxf>
      <border outline="0">
        <bottom style="thin">
          <color indexed="64"/>
        </bottom>
      </border>
    </ndxf>
  </rcc>
  <rcc rId="2276" sId="9" odxf="1" dxf="1">
    <oc r="F25">
      <v>1</v>
    </oc>
    <nc r="F25"/>
    <odxf>
      <border outline="0">
        <bottom/>
      </border>
    </odxf>
    <ndxf>
      <border outline="0">
        <bottom style="thin">
          <color indexed="64"/>
        </bottom>
      </border>
    </ndxf>
  </rcc>
  <rfmt sheetId="9" sqref="G25" start="0" length="0">
    <dxf>
      <border outline="0">
        <bottom style="thin">
          <color indexed="64"/>
        </bottom>
      </border>
    </dxf>
  </rfmt>
  <rcc rId="2277" sId="9" odxf="1" dxf="1">
    <oc r="H25" t="inlineStr">
      <is>
        <t>2 pax ALLOCATION</t>
      </is>
    </oc>
    <nc r="H25"/>
    <odxf>
      <fill>
        <patternFill>
          <bgColor rgb="FF00B050"/>
        </patternFill>
      </fill>
      <alignment horizontal="center" readingOrder="0"/>
      <border outline="0">
        <bottom/>
      </border>
    </odxf>
    <ndxf>
      <fill>
        <patternFill>
          <bgColor theme="0"/>
        </patternFill>
      </fill>
      <alignment horizontal="left" readingOrder="0"/>
      <border outline="0">
        <bottom style="thin">
          <color indexed="64"/>
        </bottom>
      </border>
    </ndxf>
  </rcc>
  <rcc rId="2278" sId="9" odxf="1" dxf="1">
    <oc r="I25" t="inlineStr">
      <is>
        <t>Win/Faiha</t>
      </is>
    </oc>
    <nc r="I25"/>
    <odxf>
      <alignment horizontal="center" readingOrder="0"/>
      <border outline="0">
        <bottom/>
      </border>
    </odxf>
    <ndxf>
      <alignment horizontal="left" readingOrder="0"/>
      <border outline="0">
        <bottom style="thin">
          <color indexed="64"/>
        </bottom>
      </border>
    </ndxf>
  </rcc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'6'!$A$1:$L$49</formula>
    <oldFormula>'6'!$A$1:$L$49</oldFormula>
  </rdn>
  <rdn rId="0" localSheetId="6" customView="1" name="Z_6222734F_EF03_4A42_A0AF_7421F8747AA6_.wvu.FilterData" hidden="1" oldHidden="1">
    <formula>'6'!$D$6:$K$36</formula>
    <oldFormula>'6'!$D$6:$K$36</oldFormula>
  </rdn>
  <rdn rId="0" localSheetId="7" customView="1" name="Z_6222734F_EF03_4A42_A0AF_7421F8747AA6_.wvu.PrintArea" hidden="1" oldHidden="1">
    <formula>'7'!$A$1:$L$37</formula>
    <oldFormula>'7'!$A$1:$L$37</oldFormula>
  </rdn>
  <rdn rId="0" localSheetId="8" customView="1" name="Z_6222734F_EF03_4A42_A0AF_7421F8747AA6_.wvu.PrintArea" hidden="1" oldHidden="1">
    <formula>'8'!$A$1:$J$33</formula>
    <oldFormula>'8'!$A$1:$J$33</oldFormula>
  </rdn>
  <rdn rId="0" localSheetId="9" customView="1" name="Z_6222734F_EF03_4A42_A0AF_7421F8747AA6_.wvu.PrintArea" hidden="1" oldHidden="1">
    <formula>'9'!$A$1:$J$39</formula>
    <oldFormula>'9'!$A$1:$J$39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2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1" sId="9" odxf="1" dxf="1">
    <oc r="H20">
      <v>25976904</v>
    </oc>
    <nc r="H20" t="inlineStr">
      <is>
        <t>PAI</t>
      </is>
    </nc>
    <odxf>
      <fill>
        <patternFill>
          <bgColor theme="0"/>
        </patternFill>
      </fill>
      <border outline="0">
        <top/>
      </border>
    </odxf>
    <ndxf>
      <fill>
        <patternFill>
          <bgColor rgb="FF00B0F0"/>
        </patternFill>
      </fill>
      <border outline="0">
        <top style="thin">
          <color indexed="64"/>
        </top>
      </border>
    </ndxf>
  </rcc>
  <rcc rId="2312" sId="9" odxf="1" dxf="1">
    <nc r="H11" t="inlineStr">
      <is>
        <t>ALLOCATION</t>
      </is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fmt sheetId="9" sqref="B20">
    <dxf>
      <fill>
        <patternFill>
          <bgColor rgb="FF00B0F0"/>
        </patternFill>
      </fill>
    </dxf>
  </rfmt>
  <rfmt sheetId="9" sqref="B11">
    <dxf>
      <fill>
        <patternFill>
          <bgColor rgb="FF92D050"/>
        </patternFill>
      </fill>
    </dxf>
  </rfmt>
  <rfmt sheetId="9" sqref="B11 H21">
    <dxf>
      <fill>
        <patternFill>
          <bgColor rgb="FFFFFF00"/>
        </patternFill>
      </fill>
    </dxf>
  </rfmt>
  <rcc rId="2313" sId="9" odxf="1" dxf="1">
    <nc r="H14" t="inlineStr">
      <is>
        <t>SAI</t>
      </is>
    </nc>
    <odxf>
      <fill>
        <patternFill>
          <bgColor theme="0"/>
        </patternFill>
      </fill>
      <border outline="0">
        <top/>
      </border>
    </odxf>
    <ndxf>
      <fill>
        <patternFill>
          <bgColor rgb="FFFFFF00"/>
        </patternFill>
      </fill>
      <border outline="0">
        <top style="thin">
          <color indexed="64"/>
        </top>
      </border>
    </ndxf>
  </rcc>
  <rfmt sheetId="9" sqref="B14">
    <dxf>
      <fill>
        <patternFill>
          <bgColor rgb="FFFFFF00"/>
        </patternFill>
      </fill>
    </dxf>
  </rfmt>
  <rcc rId="2314" sId="9">
    <oc r="J22" t="inlineStr">
      <is>
        <t>NO POST</t>
      </is>
    </oc>
    <nc r="J22"/>
  </rcc>
  <rcc rId="2315" sId="9">
    <oc r="B8">
      <v>691</v>
    </oc>
    <nc r="B8" t="inlineStr">
      <is>
        <t>691/819</t>
      </is>
    </nc>
  </rcc>
  <rcc rId="2316" sId="9" odxf="1" dxf="1">
    <nc r="H24" t="inlineStr">
      <is>
        <t>SAI</t>
      </is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2317" sId="9">
    <oc r="J24">
      <f>IF(OR(NOT(ISERROR(MATCH(RIGHT(B15,3)+0,#REF!,0))),NOT(ISERROR(MATCH(LEFT(B15,3)+0,#REF!,0)))),"No Post","")</f>
    </oc>
    <nc r="J24" t="inlineStr">
      <is>
        <t>NO POST</t>
      </is>
    </nc>
  </rcc>
  <rfmt sheetId="9" sqref="B24">
    <dxf>
      <fill>
        <patternFill>
          <bgColor rgb="FFFFFF00"/>
        </patternFill>
      </fill>
    </dxf>
  </rfmt>
  <rcc rId="2318" sId="9">
    <oc r="J16">
      <f>IF(OR(NOT(ISERROR(MATCH(RIGHT(B17,3)+0,#REF!,0))),NOT(ISERROR(MATCH(LEFT(B17,3)+0,#REF!,0)))),"No Post","")</f>
    </oc>
    <nc r="J16" t="inlineStr">
      <is>
        <t>NO POST</t>
      </is>
    </nc>
  </rcc>
  <rfmt sheetId="9" sqref="B17 H16">
    <dxf>
      <fill>
        <patternFill>
          <bgColor rgb="FFFFFF00"/>
        </patternFill>
      </fill>
    </dxf>
  </rfmt>
  <rcc rId="2319" sId="9" odxf="1" dxf="1">
    <nc r="H18" t="inlineStr">
      <is>
        <t>PAI</t>
      </is>
    </nc>
    <odxf>
      <fill>
        <patternFill>
          <bgColor theme="0"/>
        </patternFill>
      </fill>
    </odxf>
    <ndxf>
      <fill>
        <patternFill>
          <bgColor rgb="FF00B0F0"/>
        </patternFill>
      </fill>
    </ndxf>
  </rcc>
  <rfmt sheetId="9" sqref="B18">
    <dxf>
      <fill>
        <patternFill>
          <bgColor rgb="FF00B0F0"/>
        </patternFill>
      </fill>
    </dxf>
  </rfmt>
  <rcc rId="2320" sId="9">
    <nc r="C15" t="inlineStr">
      <is>
        <t>Natsuki Maki</t>
      </is>
    </nc>
  </rcc>
  <rcc rId="2321" sId="9" numFmtId="19">
    <nc r="D15">
      <v>46154</v>
    </nc>
  </rcc>
  <rcc rId="2322" sId="9" odxf="1" dxf="1">
    <nc r="H15" t="inlineStr">
      <is>
        <t>ALLOCATION</t>
      </is>
    </nc>
    <odxf>
      <fill>
        <patternFill>
          <bgColor theme="0"/>
        </patternFill>
      </fill>
      <border outline="0">
        <bottom style="thin">
          <color indexed="64"/>
        </bottom>
      </border>
    </odxf>
    <ndxf>
      <fill>
        <patternFill>
          <bgColor rgb="FF92D050"/>
        </patternFill>
      </fill>
      <border outline="0">
        <bottom/>
      </border>
    </ndxf>
  </rcc>
  <rfmt sheetId="9" sqref="B15">
    <dxf>
      <fill>
        <patternFill>
          <bgColor rgb="FF92D050"/>
        </patternFill>
      </fill>
    </dxf>
  </rfmt>
  <rcc rId="2323" sId="9" odxf="1" dxf="1">
    <oc r="H12" t="inlineStr">
      <is>
        <t>ITA(NP)</t>
      </is>
    </oc>
    <nc r="H12" t="inlineStr">
      <is>
        <t>ITA</t>
      </is>
    </nc>
    <odxf>
      <font>
        <sz val="14"/>
      </font>
    </odxf>
    <ndxf>
      <font>
        <sz val="14"/>
        <color auto="1"/>
      </font>
    </ndxf>
  </rcc>
  <rcc rId="2324" sId="9">
    <nc r="G9" t="inlineStr">
      <is>
        <t>RC $100</t>
      </is>
    </nc>
  </rcc>
  <rcc rId="2325" sId="9" odxf="1" dxf="1">
    <nc r="H9" t="inlineStr">
      <is>
        <t>SAI</t>
      </is>
    </nc>
    <odxf>
      <fill>
        <patternFill>
          <bgColor theme="0"/>
        </patternFill>
      </fill>
      <alignment horizontal="left" readingOrder="0"/>
    </odxf>
    <ndxf>
      <fill>
        <patternFill>
          <bgColor rgb="FFFFFF00"/>
        </patternFill>
      </fill>
      <alignment horizontal="center" readingOrder="0"/>
    </ndxf>
  </rcc>
  <rcc rId="2326" sId="9">
    <oc r="J9">
      <f>IF(OR(NOT(ISERROR(MATCH(RIGHT(B21,3)+0,#REF!,0))),NOT(ISERROR(MATCH(LEFT(B21,3)+0,#REF!,0)))),"No Post","")</f>
    </oc>
    <nc r="J9" t="inlineStr">
      <is>
        <t>NO POST</t>
      </is>
    </nc>
  </rcc>
  <rcc rId="2327" sId="9">
    <oc r="J21">
      <f>IF(OR(NOT(ISERROR(MATCH(RIGHT(B11,3)+0,#REF!,0))),NOT(ISERROR(MATCH(LEFT(B11,3)+0,#REF!,0)))),"No Post","")</f>
    </oc>
    <nc r="J21" t="inlineStr">
      <is>
        <t>NO POST</t>
      </is>
    </nc>
  </rcc>
  <rcc rId="2328" sId="9">
    <oc r="J14">
      <f>IF(OR(NOT(ISERROR(MATCH(RIGHT(B25,3)+0,#REF!,0))),NOT(ISERROR(MATCH(LEFT(B25,3)+0,#REF!,0)))),"No Post","")</f>
    </oc>
    <nc r="J14" t="inlineStr">
      <is>
        <t>NO POST</t>
      </is>
    </nc>
  </rcc>
</revisions>
</file>

<file path=xl/revisions/revisionLog2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B9">
    <dxf>
      <fill>
        <patternFill>
          <bgColor rgb="FFFFFF00"/>
        </patternFill>
      </fill>
    </dxf>
  </rfmt>
  <rcc rId="2329" sId="9" numFmtId="19">
    <oc r="D22">
      <v>46148</v>
    </oc>
    <nc r="D22">
      <v>46152</v>
    </nc>
  </rcc>
</revisions>
</file>

<file path=xl/revisions/revisionLog2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30" sId="9" numFmtId="19">
    <oc r="D10">
      <v>46150</v>
    </oc>
    <nc r="D10">
      <v>46152</v>
    </nc>
  </rcc>
  <rcc rId="2331" sId="9" numFmtId="19">
    <oc r="D8">
      <v>46151</v>
    </oc>
    <nc r="D8">
      <v>46153</v>
    </nc>
  </rcc>
  <rfmt sheetId="9" sqref="B8:I24">
    <dxf>
      <alignment horizontal="general" readingOrder="0"/>
    </dxf>
  </rfmt>
  <rfmt sheetId="9" sqref="B8:I24">
    <dxf>
      <alignment horizontal="center" readingOrder="0"/>
    </dxf>
  </rfmt>
  <rfmt sheetId="9" sqref="B8:I24">
    <dxf>
      <alignment vertical="bottom" readingOrder="0"/>
    </dxf>
  </rfmt>
  <rfmt sheetId="9" sqref="B8:I24">
    <dxf>
      <alignment vertical="center" readingOrder="0"/>
    </dxf>
  </rfmt>
  <rfmt sheetId="9" sqref="A29" start="0" length="0">
    <dxf>
      <border>
        <left style="thin">
          <color indexed="64"/>
        </left>
      </border>
    </dxf>
  </rfmt>
  <rfmt sheetId="9" sqref="I29" start="0" length="0">
    <dxf>
      <border>
        <right style="thin">
          <color indexed="64"/>
        </right>
      </border>
    </dxf>
  </rfmt>
  <rfmt sheetId="9" sqref="A29:I29" start="0" length="0">
    <dxf>
      <border>
        <bottom style="thin">
          <color indexed="64"/>
        </bottom>
      </border>
    </dxf>
  </rfmt>
</revisions>
</file>

<file path=xl/revisions/revisionLog2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32" sId="9" ref="B1:B1048576" action="insertCol"/>
  <rrc rId="2333" sId="9" ref="B1:B1048576" action="insertCol"/>
</revisions>
</file>

<file path=xl/revisions/revisionLog2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D8:K24" start="0" length="2147483647">
    <dxf>
      <font>
        <color theme="1"/>
      </font>
    </dxf>
  </rfmt>
</revisions>
</file>

<file path=xl/revisions/revisionLog2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E29" start="0" length="0">
    <dxf>
      <border>
        <left style="thin">
          <color indexed="64"/>
        </left>
      </border>
    </dxf>
  </rfmt>
  <rfmt sheetId="9" sqref="H29" start="0" length="0">
    <dxf>
      <border>
        <right style="thin">
          <color indexed="64"/>
        </right>
      </border>
    </dxf>
  </rfmt>
  <rfmt sheetId="9" sqref="E29:H2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9" sqref="A7:K7 A13:K13">
    <dxf>
      <fill>
        <patternFill>
          <bgColor theme="5" tint="-0.249977111117893"/>
        </patternFill>
      </fill>
    </dxf>
  </rfmt>
  <rcc rId="2334" sId="9">
    <nc r="E7" t="inlineStr">
      <is>
        <t>ASSEYRI</t>
      </is>
    </nc>
  </rcc>
  <rcc rId="2335" sId="9">
    <nc r="F7" t="inlineStr">
      <is>
        <t>BOAT 1</t>
      </is>
    </nc>
  </rcc>
  <rcc rId="2336" sId="9">
    <nc r="F13" t="inlineStr">
      <is>
        <t>BOAT 2</t>
      </is>
    </nc>
  </rcc>
  <rcc rId="2337" sId="9">
    <nc r="E13" t="inlineStr">
      <is>
        <t>SHADHA</t>
      </is>
    </nc>
  </rcc>
  <rfmt sheetId="9" sqref="E7 F7 F13 E13" start="0" length="2147483647">
    <dxf>
      <font>
        <color theme="0"/>
      </font>
    </dxf>
  </rfmt>
  <rfmt sheetId="9" sqref="E7 F7 F13 E13" start="0" length="2147483647">
    <dxf>
      <font>
        <b/>
      </font>
    </dxf>
  </rfmt>
</revisions>
</file>

<file path=xl/revisions/revisionLog2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38" sId="11">
    <nc r="B9">
      <v>843</v>
    </nc>
  </rcc>
  <rcc rId="2339" sId="11">
    <nc r="E9">
      <v>2</v>
    </nc>
  </rcc>
  <rcc rId="2340" sId="11">
    <nc r="I9" t="inlineStr">
      <is>
        <t>Tarush</t>
      </is>
    </nc>
  </rcc>
  <rcc rId="2341" sId="11">
    <nc r="C9" t="inlineStr">
      <is>
        <t>Shang Lee</t>
      </is>
    </nc>
  </rcc>
</revisions>
</file>

<file path=xl/revisions/revisionLog2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2" sId="9">
    <oc r="L24" t="inlineStr">
      <is>
        <t>NO POST</t>
      </is>
    </oc>
    <nc r="L24"/>
  </rcc>
  <rcc rId="2343" sId="9">
    <oc r="L23">
      <f>IF(OR(NOT(ISERROR(MATCH(RIGHT(D15,3)+0,#REF!,0))),NOT(ISERROR(MATCH(LEFT(D15,3)+0,#REF!,0)))),"No Post","")</f>
    </oc>
    <nc r="L23"/>
  </rcc>
  <rcc rId="2344" sId="9">
    <oc r="L16" t="inlineStr">
      <is>
        <t>NO POST</t>
      </is>
    </oc>
    <nc r="L16"/>
  </rcc>
  <rcc rId="2345" sId="9">
    <oc r="L18">
      <f>IF(OR(NOT(ISERROR(MATCH(RIGHT(D17,3)+0,#REF!,0))),NOT(ISERROR(MATCH(LEFT(D17,3)+0,#REF!,0)))),"No Post","")</f>
    </oc>
    <nc r="L18"/>
  </rcc>
  <rcc rId="2346" sId="9">
    <oc r="L15">
      <f>IF(OR(NOT(ISERROR(MATCH(RIGHT(D18,3)+0,#REF!,0))),NOT(ISERROR(MATCH(LEFT(D18,3)+0,#REF!,0)))),"No Post","")</f>
    </oc>
    <nc r="L15"/>
  </rcc>
  <rcc rId="2347" sId="9">
    <oc r="L12">
      <f>IF(OR(NOT(ISERROR(MATCH(RIGHT(D19,3)+0,#REF!,0))),NOT(ISERROR(MATCH(LEFT(D19,3)+0,#REF!,0)))),"No Post","")</f>
    </oc>
    <nc r="L12"/>
  </rcc>
  <rcc rId="2348" sId="9">
    <oc r="L9" t="inlineStr">
      <is>
        <t>NO POST</t>
      </is>
    </oc>
    <nc r="L9"/>
  </rcc>
  <rfmt sheetId="9" sqref="L20">
    <dxf>
      <fill>
        <patternFill patternType="solid">
          <bgColor rgb="FFFF0000"/>
        </patternFill>
      </fill>
    </dxf>
  </rfmt>
  <rcc rId="2349" sId="9" odxf="1" dxf="1">
    <oc r="L11">
      <f>IF(OR(NOT(ISERROR(MATCH(RIGHT(D11,3)+0,#REF!,0))),NOT(ISERROR(MATCH(LEFT(D11,3)+0,#REF!,0)))),"No Post","")</f>
    </oc>
    <nc r="L11">
      <f>IF(OR(NOT(ISERROR(MATCH(RIGHT(D11,3)+0,#REF!,0))),NOT(ISERROR(MATCH(LEFT(D11,3)+0,#REF!,0)))),"No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350" sId="9" odxf="1" dxf="1">
    <oc r="L17">
      <f>IF(OR(NOT(ISERROR(MATCH(RIGHT(D17,3)+0,#REF!,0))),NOT(ISERROR(MATCH(LEFT(D17,3)+0,#REF!,0)))),"No Post","")</f>
    </oc>
    <nc r="L17">
      <f>IF(OR(NOT(ISERROR(MATCH(RIGHT(D17,3)+0,#REF!,0))),NOT(ISERROR(MATCH(LEFT(D17,3)+0,#REF!,0)))),"No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rc rId="2351" sId="9" ref="B1:B1048576" action="deleteCol">
    <rfmt sheetId="9" xfDxf="1" sqref="B1:B1048576" start="0" length="0">
      <dxf>
        <font>
          <sz val="14"/>
        </font>
        <alignment horizontal="center" readingOrder="0"/>
      </dxf>
    </rfmt>
    <rfmt sheetId="9" sqref="B4" start="0" length="0">
      <dxf>
        <font>
          <sz val="13"/>
        </font>
      </dxf>
    </rfmt>
    <rfmt sheetId="9" sqref="B5" start="0" length="0">
      <dxf>
        <font>
          <b/>
          <sz val="18"/>
        </font>
        <alignment readingOrder="0"/>
        <border outline="0">
          <top style="medium">
            <color indexed="64"/>
          </top>
          <bottom style="medium">
            <color indexed="64"/>
          </bottom>
        </border>
      </dxf>
    </rfmt>
    <rfmt sheetId="9" sqref="B6" start="0" length="0">
      <dxf>
        <fill>
          <patternFill patternType="solid">
            <bgColor theme="0"/>
          </patternFill>
        </fill>
        <border outline="0">
          <right style="thin">
            <color indexed="64"/>
          </right>
        </border>
      </dxf>
    </rfmt>
    <rfmt sheetId="9" sqref="B7" start="0" length="0">
      <dxf>
        <fill>
          <patternFill patternType="solid">
            <bgColor theme="5" tint="-0.249977111117893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9" sqref="B20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9" sqref="B11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7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1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4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9" sqref="B13" start="0" length="0">
      <dxf>
        <fill>
          <patternFill patternType="solid">
            <bgColor theme="5" tint="-0.249977111117893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9" sqref="B24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9" sqref="B23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5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2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2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0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</border>
      </dxf>
    </rfmt>
    <rfmt sheetId="9" sqref="B25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7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9" start="0" length="0">
      <dxf>
        <fill>
          <patternFill patternType="solid">
            <bgColor theme="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</rrc>
  <rrc rId="2352" sId="9" ref="B1:B1048576" action="deleteCol">
    <rfmt sheetId="9" xfDxf="1" sqref="B1:B1048576" start="0" length="0">
      <dxf>
        <font>
          <sz val="14"/>
        </font>
        <alignment horizontal="center" readingOrder="0"/>
      </dxf>
    </rfmt>
    <rfmt sheetId="9" sqref="B4" start="0" length="0">
      <dxf>
        <font>
          <sz val="13"/>
        </font>
      </dxf>
    </rfmt>
    <rfmt sheetId="9" sqref="B5" start="0" length="0">
      <dxf>
        <font>
          <b/>
          <sz val="18"/>
        </font>
        <alignment readingOrder="0"/>
        <border outline="0">
          <top style="medium">
            <color indexed="64"/>
          </top>
          <bottom style="medium">
            <color indexed="64"/>
          </bottom>
        </border>
      </dxf>
    </rfmt>
    <rfmt sheetId="9" sqref="B6" start="0" length="0">
      <dxf>
        <fill>
          <patternFill patternType="solid">
            <bgColor theme="0"/>
          </patternFill>
        </fill>
        <border outline="0">
          <right style="thin">
            <color indexed="64"/>
          </right>
        </border>
      </dxf>
    </rfmt>
    <rfmt sheetId="9" sqref="B7" start="0" length="0">
      <dxf>
        <fill>
          <patternFill patternType="solid">
            <bgColor theme="5" tint="-0.249977111117893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9" sqref="B20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9" sqref="B11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7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1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4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</border>
      </dxf>
    </rfmt>
    <rfmt sheetId="9" sqref="B13" start="0" length="0">
      <dxf>
        <fill>
          <patternFill patternType="solid">
            <bgColor theme="5" tint="-0.249977111117893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9" sqref="B24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9" sqref="B23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5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2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2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10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</border>
      </dxf>
    </rfmt>
    <rfmt sheetId="9" sqref="B25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7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B29" start="0" length="0">
      <dxf>
        <fill>
          <patternFill patternType="solid">
            <bgColor theme="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9" sqref="B37" start="0" length="0">
      <dxf>
        <font>
          <b/>
          <sz val="12"/>
        </font>
      </dxf>
    </rfmt>
    <rfmt sheetId="9" sqref="B38" start="0" length="0">
      <dxf>
        <font>
          <b/>
          <sz val="12"/>
        </font>
      </dxf>
    </rfmt>
    <rfmt sheetId="9" sqref="B39" start="0" length="0">
      <dxf>
        <font>
          <b/>
          <sz val="14"/>
        </font>
      </dxf>
    </rfmt>
    <rfmt sheetId="9" sqref="B40" start="0" length="0">
      <dxf>
        <font>
          <sz val="11"/>
          <color theme="1"/>
          <name val="Calibri"/>
          <scheme val="minor"/>
        </font>
      </dxf>
    </rfmt>
  </rrc>
  <rcc rId="2353" sId="9" odxf="1" dxf="1">
    <oc r="J21" t="inlineStr">
      <is>
        <t>NO POST</t>
      </is>
    </oc>
    <nc r="J21">
      <f>IF(OR(NOT(ISERROR(MATCH(RIGHT(B21,3)+0,#REF!,0))),NOT(ISERROR(MATCH(LEFT(B21,3)+0,#REF!,0)))),"No Post","")</f>
    </nc>
    <ndxf>
      <fill>
        <patternFill patternType="solid">
          <bgColor rgb="FFFF0000"/>
        </patternFill>
      </fill>
    </ndxf>
  </rcc>
  <rcc rId="2354" sId="9" odxf="1" dxf="1">
    <oc r="J14" t="inlineStr">
      <is>
        <t>NO POST</t>
      </is>
    </oc>
    <nc r="J14">
      <f>IF(OR(NOT(ISERROR(MATCH(RIGHT(B14,3)+0,#REF!,0))),NOT(ISERROR(MATCH(LEFT(B14,3)+0,#REF!,0)))),"No Post","")</f>
    </nc>
    <ndxf>
      <fill>
        <patternFill patternType="solid">
          <bgColor rgb="FFFF0000"/>
        </patternFill>
      </fill>
    </ndxf>
  </rcc>
  <rfmt sheetId="9" sqref="J20" start="0" length="0">
    <dxf>
      <border>
        <top style="thin">
          <color indexed="64"/>
        </top>
      </border>
    </dxf>
  </rfmt>
  <rfmt sheetId="9" sqref="J8:J24" start="0" length="0">
    <dxf>
      <border>
        <right style="thin">
          <color indexed="64"/>
        </right>
      </border>
    </dxf>
  </rfmt>
  <rfmt sheetId="9" sqref="J8" start="0" length="0">
    <dxf>
      <border>
        <bottom style="thin">
          <color indexed="64"/>
        </bottom>
      </border>
    </dxf>
  </rfmt>
  <rfmt sheetId="9" sqref="J8:J2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2355" sId="10" odxf="1" dxf="1">
    <nc r="B9">
      <v>811</v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2356" sId="10" odxf="1" dxf="1">
    <nc r="C9" t="inlineStr">
      <is>
        <t>Finian Odriscoll</t>
      </is>
    </nc>
    <odxf>
      <alignment vertical="top" readingOrder="0"/>
    </odxf>
    <ndxf>
      <alignment vertical="center" readingOrder="0"/>
    </ndxf>
  </rcc>
  <rcc rId="2357" sId="10" odxf="1" dxf="1" numFmtId="19">
    <nc r="D9">
      <v>46157</v>
    </nc>
    <odxf>
      <alignment vertical="top" readingOrder="0"/>
    </odxf>
    <ndxf>
      <alignment vertical="center" readingOrder="0"/>
    </ndxf>
  </rcc>
  <rcc rId="2358" sId="10" odxf="1" dxf="1">
    <nc r="E9">
      <v>2</v>
    </nc>
    <odxf>
      <alignment vertical="top" readingOrder="0"/>
    </odxf>
    <ndxf>
      <alignment vertical="center" readingOrder="0"/>
    </ndxf>
  </rcc>
  <rfmt sheetId="10" sqref="F9" start="0" length="0">
    <dxf>
      <alignment vertical="center" readingOrder="0"/>
    </dxf>
  </rfmt>
  <rfmt sheetId="10" sqref="G9" start="0" length="0">
    <dxf>
      <alignment vertical="center" readingOrder="0"/>
    </dxf>
  </rfmt>
  <rcc rId="2359" sId="10" odxf="1" dxf="1">
    <nc r="H9" t="inlineStr">
      <is>
        <t>SAI</t>
      </is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2360" sId="10" odxf="1" dxf="1">
    <nc r="I9" t="inlineStr">
      <is>
        <t>Faiha</t>
      </is>
    </nc>
    <odxf>
      <alignment vertical="top" readingOrder="0"/>
    </odxf>
    <ndxf>
      <alignment vertical="center" readingOrder="0"/>
    </ndxf>
  </rcc>
</revisions>
</file>

<file path=xl/revisions/revisionLog2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61" sId="9">
    <oc r="E24">
      <v>2</v>
    </oc>
    <nc r="E24" t="inlineStr">
      <is>
        <t>PP2</t>
      </is>
    </nc>
  </rcc>
  <rfmt sheetId="9" sqref="J24">
    <dxf>
      <fill>
        <patternFill patternType="solid">
          <bgColor rgb="FF00B050"/>
        </patternFill>
      </fill>
    </dxf>
  </rfmt>
  <rfmt sheetId="9" sqref="J23">
    <dxf>
      <fill>
        <patternFill patternType="solid">
          <bgColor rgb="FFFF0000"/>
        </patternFill>
      </fill>
    </dxf>
  </rfmt>
  <rfmt sheetId="9" sqref="J9" start="0" length="0">
    <dxf>
      <fill>
        <patternFill patternType="solid">
          <bgColor rgb="FF00B050"/>
        </patternFill>
      </fill>
    </dxf>
  </rfmt>
  <rfmt sheetId="9" sqref="J16" start="0" length="0">
    <dxf>
      <fill>
        <patternFill patternType="solid">
          <bgColor rgb="FF00B050"/>
        </patternFill>
      </fill>
    </dxf>
  </rfmt>
  <rcc rId="2362" sId="9">
    <nc r="K16" t="inlineStr">
      <is>
        <t>whatsapp</t>
      </is>
    </nc>
  </rcc>
  <rcc rId="2363" sId="9">
    <nc r="K9" t="inlineStr">
      <is>
        <t>whatsapp</t>
      </is>
    </nc>
  </rcc>
  <rfmt sheetId="9" sqref="J18" start="0" length="0">
    <dxf>
      <fill>
        <patternFill patternType="solid">
          <bgColor rgb="FFFF0000"/>
        </patternFill>
      </fill>
    </dxf>
  </rfmt>
  <rfmt sheetId="9" sqref="J15" start="0" length="0">
    <dxf>
      <fill>
        <patternFill patternType="solid">
          <bgColor rgb="FFFF0000"/>
        </patternFill>
      </fill>
    </dxf>
  </rfmt>
  <rfmt sheetId="9" sqref="J12" start="0" length="0">
    <dxf>
      <fill>
        <patternFill patternType="solid">
          <bgColor rgb="FFFF0000"/>
        </patternFill>
      </fill>
    </dxf>
  </rfmt>
  <rfmt sheetId="9" sqref="J22" start="0" length="0">
    <dxf>
      <fill>
        <patternFill patternType="solid">
          <bgColor rgb="FF00B050"/>
        </patternFill>
      </fill>
    </dxf>
  </rfmt>
  <rcc rId="2364" sId="9" odxf="1" dxf="1">
    <oc r="J19">
      <f>IF(OR(NOT(ISERROR(MATCH(RIGHT(B22,3)+0,#REF!,0))),NOT(ISERROR(MATCH(LEFT(B22,3)+0,#REF!,0)))),"No Post","")</f>
    </oc>
    <nc r="J19"/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fmt sheetId="9" sqref="J10" start="0" length="0">
    <dxf>
      <fill>
        <patternFill patternType="solid">
          <bgColor rgb="FFFF0000"/>
        </patternFill>
      </fill>
    </dxf>
  </rfmt>
  <rcc rId="2365" sId="9">
    <oc r="J10">
      <f>IF(OR(NOT(ISERROR(MATCH(RIGHT(B23,3)+0,#REF!,0))),NOT(ISERROR(MATCH(LEFT(B23,3)+0,#REF!,0)))),"No Post","")</f>
    </oc>
    <nc r="J10"/>
  </rcc>
  <rfmt sheetId="9" sqref="J8" start="0" length="0">
    <dxf>
      <font>
        <b/>
        <sz val="12"/>
        <color auto="1"/>
      </font>
      <fill>
        <patternFill patternType="solid">
          <bgColor rgb="FF00B050"/>
        </patternFill>
      </fill>
      <alignment horizontal="general" vertical="bottom" readingOrder="0"/>
    </dxf>
  </rfmt>
  <rcc rId="2366" sId="10" odxf="1" dxf="1">
    <nc r="B10" t="inlineStr">
      <is>
        <t>691/819</t>
      </is>
    </nc>
    <odxf>
      <fill>
        <patternFill>
          <bgColor theme="0"/>
        </patternFill>
      </fill>
      <alignment vertical="top" readingOrder="0"/>
      <border outline="0">
        <bottom style="thin">
          <color indexed="64"/>
        </bottom>
      </border>
    </odxf>
    <ndxf>
      <fill>
        <patternFill>
          <bgColor rgb="FF00B050"/>
        </patternFill>
      </fill>
      <alignment vertical="center" readingOrder="0"/>
      <border outline="0">
        <bottom/>
      </border>
    </ndxf>
  </rcc>
  <rcc rId="2367" sId="10" odxf="1" dxf="1">
    <nc r="C10" t="inlineStr">
      <is>
        <t>Hai Li</t>
      </is>
    </nc>
    <odxf>
      <alignment vertical="top" readingOrder="0"/>
      <border outline="0">
        <bottom style="thin">
          <color indexed="64"/>
        </bottom>
      </border>
    </odxf>
    <ndxf>
      <alignment vertical="center" readingOrder="0"/>
      <border outline="0">
        <bottom/>
      </border>
    </ndxf>
  </rcc>
  <rcc rId="2368" sId="10" odxf="1" dxf="1" numFmtId="19">
    <nc r="D10">
      <v>46153</v>
    </nc>
    <odxf>
      <alignment vertical="top" readingOrder="0"/>
      <border outline="0">
        <bottom style="thin">
          <color indexed="64"/>
        </bottom>
      </border>
    </odxf>
    <ndxf>
      <alignment vertical="center" readingOrder="0"/>
      <border outline="0">
        <bottom/>
      </border>
    </ndxf>
  </rcc>
  <rcc rId="2369" sId="10" odxf="1" dxf="1">
    <nc r="E10">
      <v>2</v>
    </nc>
    <odxf>
      <alignment vertical="top" readingOrder="0"/>
      <border outline="0">
        <bottom style="thin">
          <color indexed="64"/>
        </bottom>
      </border>
    </odxf>
    <ndxf>
      <alignment vertical="center" readingOrder="0"/>
      <border outline="0">
        <bottom/>
      </border>
    </ndxf>
  </rcc>
  <rcc rId="2370" sId="10" odxf="1" dxf="1">
    <nc r="F10">
      <v>1</v>
    </nc>
    <odxf>
      <alignment vertical="top" readingOrder="0"/>
      <border outline="0">
        <bottom style="thin">
          <color indexed="64"/>
        </bottom>
      </border>
    </odxf>
    <ndxf>
      <alignment vertical="center" readingOrder="0"/>
      <border outline="0">
        <bottom/>
      </border>
    </ndxf>
  </rcc>
  <rfmt sheetId="10" sqref="G10" start="0" length="0">
    <dxf>
      <alignment vertical="center" readingOrder="0"/>
      <border outline="0">
        <bottom/>
      </border>
    </dxf>
  </rfmt>
  <rcc rId="2371" sId="10" odxf="1" dxf="1">
    <nc r="H10" t="inlineStr">
      <is>
        <t>2 pax ALLOCATION</t>
      </is>
    </nc>
    <odxf>
      <fill>
        <patternFill>
          <bgColor theme="0"/>
        </patternFill>
      </fill>
      <alignment vertical="top" readingOrder="0"/>
      <border outline="0">
        <bottom style="thin">
          <color indexed="64"/>
        </bottom>
      </border>
    </odxf>
    <ndxf>
      <fill>
        <patternFill>
          <bgColor rgb="FF00B050"/>
        </patternFill>
      </fill>
      <alignment vertical="center" readingOrder="0"/>
      <border outline="0">
        <bottom/>
      </border>
    </ndxf>
  </rcc>
  <rcc rId="2372" sId="10" odxf="1" dxf="1">
    <nc r="I10" t="inlineStr">
      <is>
        <t>Win/Faiha</t>
      </is>
    </nc>
    <odxf>
      <alignment vertical="top" readingOrder="0"/>
      <border outline="0">
        <bottom style="thin">
          <color indexed="64"/>
        </bottom>
      </border>
    </odxf>
    <ndxf>
      <alignment vertical="center" readingOrder="0"/>
      <border outline="0">
        <bottom/>
      </border>
    </ndxf>
  </rcc>
</revisions>
</file>

<file path=xl/revisions/revisionLog2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73" sId="10" odxf="1" dxf="1">
    <nc r="B11">
      <v>875</v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2374" sId="10" odxf="1" dxf="1">
    <nc r="C11" t="inlineStr">
      <is>
        <t>Yassir Ioumhan</t>
      </is>
    </nc>
    <odxf>
      <alignment vertical="top" readingOrder="0"/>
    </odxf>
    <ndxf>
      <alignment vertical="center" readingOrder="0"/>
    </ndxf>
  </rcc>
  <rcc rId="2375" sId="10" odxf="1" dxf="1" numFmtId="19">
    <nc r="D11">
      <v>46153</v>
    </nc>
    <odxf>
      <alignment vertical="top" readingOrder="0"/>
    </odxf>
    <ndxf>
      <alignment vertical="center" readingOrder="0"/>
    </ndxf>
  </rcc>
  <rcc rId="2376" sId="10" odxf="1" dxf="1">
    <nc r="E11">
      <v>2</v>
    </nc>
    <odxf>
      <alignment vertical="top" readingOrder="0"/>
    </odxf>
    <ndxf>
      <alignment vertical="center" readingOrder="0"/>
    </ndxf>
  </rcc>
  <rfmt sheetId="10" sqref="F11" start="0" length="0">
    <dxf>
      <alignment vertical="center" readingOrder="0"/>
    </dxf>
  </rfmt>
  <rcc rId="2377" sId="10" odxf="1" dxf="1">
    <nc r="G11" t="inlineStr">
      <is>
        <t>RC $100</t>
      </is>
    </nc>
    <odxf>
      <alignment vertical="top" readingOrder="0"/>
    </odxf>
    <ndxf>
      <alignment vertical="center" readingOrder="0"/>
    </ndxf>
  </rcc>
  <rcc rId="2378" sId="10" odxf="1" dxf="1">
    <nc r="H11" t="inlineStr">
      <is>
        <t>SAI</t>
      </is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2379" sId="10" odxf="1" dxf="1">
    <nc r="I11" t="inlineStr">
      <is>
        <t>Faiha</t>
      </is>
    </nc>
    <odxf>
      <alignment vertical="top" readingOrder="0"/>
    </odxf>
    <ndxf>
      <alignment vertical="center" readingOrder="0"/>
    </ndxf>
  </rcc>
</revisions>
</file>

<file path=xl/revisions/revisionLog2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0" sId="9">
    <oc r="E9">
      <v>2</v>
    </oc>
    <nc r="E9" t="inlineStr">
      <is>
        <t>PP2</t>
      </is>
    </nc>
  </rcc>
  <rcc rId="2381" sId="10" odxf="1" dxf="1">
    <nc r="B12">
      <v>850</v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2382" sId="10" odxf="1" dxf="1">
    <nc r="C12" t="inlineStr">
      <is>
        <t>Hessko Khelo</t>
      </is>
    </nc>
    <odxf>
      <alignment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vertical="center" readingOrder="0"/>
      <border outline="0">
        <left/>
        <right/>
        <top/>
        <bottom/>
      </border>
    </ndxf>
  </rcc>
  <rcc rId="2383" sId="10" odxf="1" dxf="1" numFmtId="19">
    <nc r="D12">
      <v>46158</v>
    </nc>
    <odxf>
      <alignment vertical="top" readingOrder="0"/>
    </odxf>
    <ndxf>
      <alignment vertical="center" readingOrder="0"/>
    </ndxf>
  </rcc>
  <rcc rId="2384" sId="10" odxf="1" dxf="1">
    <nc r="E12">
      <v>2</v>
    </nc>
    <odxf>
      <alignment vertical="top" readingOrder="0"/>
    </odxf>
    <ndxf>
      <alignment vertical="center" readingOrder="0"/>
    </ndxf>
  </rcc>
  <rfmt sheetId="10" sqref="F12" start="0" length="0">
    <dxf>
      <alignment vertical="center" readingOrder="0"/>
    </dxf>
  </rfmt>
  <rfmt sheetId="10" sqref="G12" start="0" length="0">
    <dxf>
      <alignment vertical="center" readingOrder="0"/>
    </dxf>
  </rfmt>
  <rcc rId="2385" sId="10" odxf="1" dxf="1">
    <nc r="H12" t="inlineStr">
      <is>
        <t>SAI</t>
      </is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2386" sId="10" odxf="1" dxf="1">
    <nc r="I12" t="inlineStr">
      <is>
        <t>Faiha</t>
      </is>
    </nc>
    <odxf>
      <alignment vertical="top" readingOrder="0"/>
    </odxf>
    <ndxf>
      <alignment vertical="center" readingOrder="0"/>
    </ndxf>
  </rcc>
  <rcc rId="2387" sId="9">
    <oc r="E16">
      <v>2</v>
    </oc>
    <nc r="E16" t="inlineStr">
      <is>
        <t>PP2</t>
      </is>
    </nc>
  </rcc>
</revisions>
</file>

<file path=xl/revisions/revisionLog2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8" sId="10" odxf="1" dxf="1">
    <nc r="B13">
      <v>617</v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cc rId="2389" sId="10" odxf="1" dxf="1">
    <nc r="C13" t="inlineStr">
      <is>
        <t>Alexandra Abramova</t>
      </is>
    </nc>
    <odxf>
      <alignment vertical="top" readingOrder="0"/>
    </odxf>
    <ndxf>
      <alignment vertical="center" readingOrder="0"/>
    </ndxf>
  </rcc>
  <rcc rId="2390" sId="10" odxf="1" dxf="1" numFmtId="19">
    <nc r="D13">
      <v>46124</v>
    </nc>
    <odxf>
      <alignment vertical="top" readingOrder="0"/>
    </odxf>
    <ndxf>
      <alignment vertical="center" readingOrder="0"/>
    </ndxf>
  </rcc>
  <rcc rId="2391" sId="10" odxf="1" dxf="1">
    <nc r="E13">
      <v>3</v>
    </nc>
    <odxf>
      <alignment vertical="top" readingOrder="0"/>
    </odxf>
    <ndxf>
      <alignment vertical="center" readingOrder="0"/>
    </ndxf>
  </rcc>
  <rfmt sheetId="10" sqref="F13" start="0" length="0">
    <dxf>
      <alignment vertical="center" readingOrder="0"/>
    </dxf>
  </rfmt>
  <rfmt sheetId="10" sqref="G13" start="0" length="0">
    <dxf>
      <alignment vertical="center" readingOrder="0"/>
    </dxf>
  </rfmt>
  <rcc rId="2392" sId="10" odxf="1" dxf="1">
    <nc r="H13" t="inlineStr">
      <is>
        <t>PAI</t>
      </is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cc rId="2393" sId="10" odxf="1" dxf="1">
    <nc r="I13" t="inlineStr">
      <is>
        <t>Faiha</t>
      </is>
    </nc>
    <odxf>
      <alignment vertical="top" readingOrder="0"/>
    </odxf>
    <ndxf>
      <alignment vertical="center" readingOrder="0"/>
    </ndxf>
  </rcc>
</revisions>
</file>

<file path=xl/revisions/revisionLog2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4" sId="9" odxf="1" dxf="1">
    <oc r="J17">
      <f>IF(OR(NOT(ISERROR(MATCH(RIGHT(B10,3)+0,#REF!,0))),NOT(ISERROR(MATCH(LEFT(B10,3)+0,#REF!,0)))),"No Post","")</f>
    </oc>
    <nc r="J17"/>
    <odxf>
      <fill>
        <patternFill>
          <bgColor rgb="FFFF0000"/>
        </patternFill>
      </fill>
    </odxf>
    <ndxf>
      <fill>
        <patternFill>
          <bgColor rgb="FF00B050"/>
        </patternFill>
      </fill>
    </ndxf>
  </rcc>
</revisions>
</file>

<file path=xl/revisions/revisionLog2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5" sId="10" odxf="1" dxf="1">
    <nc r="B14">
      <v>620</v>
    </nc>
    <ndxf>
      <fill>
        <patternFill>
          <bgColor rgb="FFFFFF00"/>
        </patternFill>
      </fill>
      <alignment vertical="center" readingOrder="0"/>
    </ndxf>
  </rcc>
  <rcc rId="2396" sId="10" odxf="1" dxf="1">
    <nc r="C14" t="inlineStr">
      <is>
        <t>Andrew Smedley</t>
      </is>
    </nc>
    <odxf>
      <alignment vertical="top" readingOrder="0"/>
    </odxf>
    <ndxf>
      <alignment vertical="center" readingOrder="0"/>
    </ndxf>
  </rcc>
  <rcc rId="2397" sId="10" odxf="1" dxf="1" numFmtId="19">
    <nc r="D14">
      <v>46157</v>
    </nc>
    <odxf>
      <alignment vertical="top" readingOrder="0"/>
    </odxf>
    <ndxf>
      <alignment vertical="center" readingOrder="0"/>
    </ndxf>
  </rcc>
  <rcc rId="2398" sId="10" odxf="1" dxf="1">
    <nc r="E14">
      <v>2</v>
    </nc>
    <ndxf>
      <alignment vertical="center" readingOrder="0"/>
    </ndxf>
  </rcc>
  <rfmt sheetId="10" sqref="F14" start="0" length="0">
    <dxf>
      <alignment vertical="center" readingOrder="0"/>
    </dxf>
  </rfmt>
  <rcc rId="2399" sId="10" odxf="1" dxf="1">
    <nc r="G14" t="inlineStr">
      <is>
        <t>RC $150</t>
      </is>
    </nc>
    <odxf>
      <alignment vertical="top" readingOrder="0"/>
    </odxf>
    <ndxf>
      <alignment vertical="center" readingOrder="0"/>
    </ndxf>
  </rcc>
  <rcc rId="2400" sId="10" odxf="1" dxf="1">
    <nc r="H14" t="inlineStr">
      <is>
        <t>SAI</t>
      </is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2401" sId="10" odxf="1" dxf="1">
    <nc r="I14" t="inlineStr">
      <is>
        <t>Win/Faiha</t>
      </is>
    </nc>
    <ndxf>
      <alignment vertical="center" readingOrder="0"/>
    </ndxf>
  </rcc>
</revisions>
</file>

<file path=xl/revisions/revisionLog2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2" sId="11" odxf="1" dxf="1">
    <nc r="B10">
      <v>300</v>
    </nc>
    <odxf>
      <fill>
        <patternFill>
          <bgColor theme="0"/>
        </patternFill>
      </fill>
      <alignment vertical="top" readingOrder="0"/>
      <border outline="0">
        <top style="thin">
          <color indexed="64"/>
        </top>
      </border>
    </odxf>
    <ndxf>
      <fill>
        <patternFill>
          <bgColor rgb="FF00B0F0"/>
        </patternFill>
      </fill>
      <alignment vertical="center" readingOrder="0"/>
      <border outline="0">
        <top/>
      </border>
    </ndxf>
  </rcc>
  <rcc rId="2403" sId="11" odxf="1" dxf="1">
    <nc r="C10" t="inlineStr">
      <is>
        <t>Miss Victoria Statham</t>
      </is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cc rId="2404" sId="11" odxf="1" dxf="1" numFmtId="19">
    <nc r="D10">
      <v>46155</v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cc rId="2405" sId="11" odxf="1" dxf="1">
    <nc r="E10">
      <v>2</v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fmt sheetId="11" sqref="F10" start="0" length="0">
    <dxf>
      <alignment vertical="center" readingOrder="0"/>
      <border outline="0">
        <top/>
      </border>
    </dxf>
  </rfmt>
  <rfmt sheetId="11" sqref="G10" start="0" length="0">
    <dxf>
      <alignment vertical="center" readingOrder="0"/>
      <border outline="0">
        <top/>
      </border>
    </dxf>
  </rfmt>
  <rcc rId="2406" sId="11" odxf="1" dxf="1">
    <nc r="H10" t="inlineStr">
      <is>
        <t>PAI</t>
      </is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cc rId="2407" sId="11" odxf="1" dxf="1">
    <nc r="I10" t="inlineStr">
      <is>
        <t>Shamrath/Faiha</t>
      </is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cc rId="2408" sId="9">
    <oc r="E21">
      <v>2</v>
    </oc>
    <nc r="E21" t="inlineStr">
      <is>
        <t>PP2</t>
      </is>
    </nc>
  </rcc>
  <rcc rId="2409" sId="9">
    <oc r="E20">
      <v>2</v>
    </oc>
    <nc r="E20" t="inlineStr">
      <is>
        <t>PP2</t>
      </is>
    </nc>
  </rcc>
</revisions>
</file>

<file path=xl/revisions/revisionLog2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0" sId="9">
    <oc r="E17">
      <v>3</v>
    </oc>
    <nc r="E17" t="inlineStr">
      <is>
        <t>PP3</t>
      </is>
    </nc>
  </rcc>
</revisions>
</file>

<file path=xl/revisions/revisionLog2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1" sId="17" odxf="1" dxf="1">
    <nc r="B10" t="inlineStr">
      <is>
        <t>Prebooking</t>
      </is>
    </nc>
    <odxf>
      <border outline="0">
        <top style="thin">
          <color indexed="64"/>
        </top>
      </border>
    </odxf>
    <ndxf>
      <border outline="0">
        <top/>
      </border>
    </ndxf>
  </rcc>
  <rcc rId="2412" sId="17" xfDxf="1" dxf="1">
    <nc r="C10" t="inlineStr">
      <is>
        <t>Mr. ZHANG SHU HAO</t>
      </is>
    </nc>
    <ndxf>
      <font>
        <sz val="14"/>
      </font>
      <fill>
        <patternFill patternType="solid">
          <bgColor theme="0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13" sId="17">
    <nc r="I10" t="inlineStr">
      <is>
        <t>Usayyu/Faiha</t>
      </is>
    </nc>
  </rcc>
  <rcc rId="2414" sId="17" numFmtId="19">
    <nc r="D10">
      <v>46162</v>
    </nc>
  </rcc>
  <rcc rId="2415" sId="17">
    <nc r="E10">
      <v>2</v>
    </nc>
  </rcc>
  <rfmt sheetId="17" sqref="H10" start="0" length="0">
    <dxf>
      <numFmt numFmtId="3" formatCode="#,##0"/>
    </dxf>
  </rfmt>
  <rfmt sheetId="17" xfDxf="1" sqref="H10" start="0" length="0">
    <dxf>
      <font>
        <sz val="14"/>
      </font>
      <numFmt numFmtId="3" formatCode="#,##0"/>
      <fill>
        <patternFill patternType="solid">
          <bgColor theme="0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16" sId="17" numFmtId="4">
    <nc r="H10" t="inlineStr">
      <is>
        <t>3372438, 3372437</t>
      </is>
    </nc>
  </rcc>
</revisions>
</file>

<file path=xl/revisions/revisionLog2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7" sId="16" odxf="1" dxf="1">
    <nc r="B8" t="inlineStr">
      <is>
        <t>Prebooking</t>
      </is>
    </nc>
    <odxf>
      <border outline="0">
        <top style="thin">
          <color indexed="64"/>
        </top>
      </border>
    </odxf>
    <ndxf>
      <border outline="0">
        <top/>
      </border>
    </ndxf>
  </rcc>
  <rcc rId="2418" sId="16" xfDxf="1" dxf="1">
    <nc r="C8" t="inlineStr">
      <is>
        <t>MR.WANG/TENGBIAO</t>
      </is>
    </nc>
    <ndxf>
      <font>
        <sz val="14"/>
      </font>
      <fill>
        <patternFill patternType="solid">
          <bgColor theme="0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19" sId="16" numFmtId="19">
    <nc r="D8">
      <v>46160</v>
    </nc>
  </rcc>
  <rcc rId="2420" sId="16">
    <nc r="E8">
      <v>2</v>
    </nc>
  </rcc>
  <rcc rId="2421" sId="16" xfDxf="1" dxf="1">
    <nc r="H8" t="inlineStr">
      <is>
        <t>3364427, 3364429</t>
      </is>
    </nc>
    <ndxf>
      <font>
        <sz val="14"/>
      </font>
      <fill>
        <patternFill patternType="solid">
          <bgColor theme="0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22" sId="16">
    <nc r="I8" t="inlineStr">
      <is>
        <t>Ussayu/Faiha</t>
      </is>
    </nc>
  </rcc>
</revisions>
</file>

<file path=xl/revisions/revisionLog2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J20">
    <dxf>
      <fill>
        <patternFill>
          <bgColor rgb="FF00B050"/>
        </patternFill>
      </fill>
    </dxf>
  </rfmt>
  <rfmt sheetId="9" sqref="J21">
    <dxf>
      <fill>
        <patternFill>
          <bgColor rgb="FF00B050"/>
        </patternFill>
      </fill>
    </dxf>
  </rfmt>
</revisions>
</file>

<file path=xl/revisions/revisionLog2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3" sId="9" odxf="1" dxf="1">
    <oc r="J11">
      <f>IF(OR(NOT(ISERROR(MATCH(RIGHT(B11,3)+0,#REF!,0))),NOT(ISERROR(MATCH(LEFT(B11,3)+0,#REF!,0)))),"No Post","")</f>
    </oc>
    <nc r="J11">
      <f>IF(OR(NOT(ISERROR(MATCH(RIGHT(B11,3)+0,#REF!,0))),NOT(ISERROR(MATCH(LEFT(B11,3)+0,#REF!,0)))),"No Post","")</f>
    </nc>
    <odxf>
      <fill>
        <patternFill>
          <bgColor rgb="FFFF0000"/>
        </patternFill>
      </fill>
    </odxf>
    <ndxf>
      <fill>
        <patternFill>
          <bgColor rgb="FF00B050"/>
        </patternFill>
      </fill>
    </ndxf>
  </rcc>
  <rfmt sheetId="9" sqref="J18">
    <dxf>
      <fill>
        <patternFill>
          <bgColor rgb="FF00B050"/>
        </patternFill>
      </fill>
    </dxf>
  </rfmt>
  <rcc rId="2424" sId="10" odxf="1" dxf="1">
    <nc r="B15">
      <v>856</v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cc rId="2425" sId="10" odxf="1" dxf="1">
    <nc r="C15" t="inlineStr">
      <is>
        <t>Sameena Malik</t>
      </is>
    </nc>
    <odxf>
      <alignment vertical="top" readingOrder="0"/>
    </odxf>
    <ndxf>
      <alignment vertical="center" readingOrder="0"/>
    </ndxf>
  </rcc>
  <rcc rId="2426" sId="10" odxf="1" dxf="1" numFmtId="19">
    <nc r="D15">
      <v>46155</v>
    </nc>
    <odxf>
      <alignment vertical="top" readingOrder="0"/>
    </odxf>
    <ndxf>
      <alignment vertical="center" readingOrder="0"/>
    </ndxf>
  </rcc>
  <rcc rId="2427" sId="10" odxf="1" dxf="1">
    <nc r="E15">
      <v>2</v>
    </nc>
    <odxf>
      <alignment vertical="top" readingOrder="0"/>
    </odxf>
    <ndxf>
      <alignment vertical="center" readingOrder="0"/>
    </ndxf>
  </rcc>
  <rfmt sheetId="10" sqref="F15" start="0" length="0">
    <dxf>
      <alignment vertical="center" readingOrder="0"/>
    </dxf>
  </rfmt>
  <rfmt sheetId="10" sqref="G15" start="0" length="0">
    <dxf>
      <alignment vertical="center" readingOrder="0"/>
    </dxf>
  </rfmt>
  <rcc rId="2428" sId="10" odxf="1" dxf="1">
    <nc r="H15" t="inlineStr">
      <is>
        <t>PAI</t>
      </is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cc rId="2429" sId="10" odxf="1" dxf="1">
    <nc r="I15" t="inlineStr">
      <is>
        <t>Leyla/Faiha</t>
      </is>
    </nc>
    <odxf>
      <alignment vertical="top" readingOrder="0"/>
    </odxf>
    <ndxf>
      <alignment vertical="center" readingOrder="0"/>
    </ndxf>
  </rcc>
</revisions>
</file>

<file path=xl/revisions/revisionLog2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0" sId="9">
    <oc r="E18">
      <v>2</v>
    </oc>
    <nc r="E18" t="inlineStr">
      <is>
        <t>PP2</t>
      </is>
    </nc>
  </rcc>
</revisions>
</file>

<file path=xl/revisions/revisionLog2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J10" start="0" length="0">
    <dxf>
      <fill>
        <patternFill>
          <bgColor rgb="FF00B050"/>
        </patternFill>
      </fill>
    </dxf>
  </rfmt>
</revisions>
</file>

<file path=xl/revisions/revisionLog2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J12">
    <dxf>
      <fill>
        <patternFill>
          <bgColor rgb="FF00B050"/>
        </patternFill>
      </fill>
    </dxf>
  </rfmt>
</revisions>
</file>

<file path=xl/revisions/revisionLog2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1" sId="10">
    <nc r="E16">
      <v>2</v>
    </nc>
  </rcc>
  <rcc rId="2432" sId="10">
    <nc r="B16">
      <v>309</v>
    </nc>
  </rcc>
  <rcc rId="2433" sId="10">
    <nc r="I16" t="inlineStr">
      <is>
        <t>Leyla/Tarush</t>
      </is>
    </nc>
  </rcc>
</revisions>
</file>

<file path=xl/revisions/revisionLog2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4" sId="10" xfDxf="1" dxf="1">
    <nc r="C16" t="inlineStr">
      <is>
        <t>Ms. Fanling Meng</t>
      </is>
    </nc>
    <ndxf>
      <font>
        <sz val="14"/>
      </font>
      <fill>
        <patternFill patternType="solid">
          <bgColor theme="0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2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5" sId="10" odxf="1" dxf="1" numFmtId="19">
    <nc r="D16">
      <v>46153</v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fmt sheetId="10" sqref="F16" start="0" length="0">
    <dxf>
      <alignment vertical="center" readingOrder="0"/>
      <border outline="0">
        <top/>
      </border>
    </dxf>
  </rfmt>
  <rfmt sheetId="10" sqref="G16" start="0" length="0">
    <dxf>
      <alignment vertical="center" readingOrder="0"/>
      <border outline="0">
        <top/>
      </border>
    </dxf>
  </rfmt>
  <rcc rId="2436" sId="10" odxf="1" dxf="1">
    <nc r="H16" t="inlineStr">
      <is>
        <t>SAI</t>
      </is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</revisions>
</file>

<file path=xl/revisions/revisionLog2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7" sId="10" odxf="1" dxf="1">
    <nc r="B17">
      <v>808</v>
    </nc>
    <odxf>
      <fill>
        <patternFill>
          <bgColor theme="0"/>
        </patternFill>
      </fill>
      <border outline="0">
        <top style="thin">
          <color indexed="64"/>
        </top>
      </border>
    </odxf>
    <ndxf>
      <fill>
        <patternFill>
          <bgColor rgb="FFFFFF00"/>
        </patternFill>
      </fill>
      <border outline="0">
        <top/>
      </border>
    </ndxf>
  </rcc>
  <rcc rId="2438" sId="10" odxf="1" dxf="1">
    <nc r="C17" t="inlineStr">
      <is>
        <t>Fuste Fores, Berta</t>
      </is>
    </nc>
    <odxf>
      <alignment horizontal="left" readingOrder="0"/>
      <border outline="0">
        <top style="thin">
          <color indexed="64"/>
        </top>
      </border>
    </odxf>
    <ndxf>
      <alignment horizontal="center" readingOrder="0"/>
      <border outline="0">
        <top/>
      </border>
    </ndxf>
  </rcc>
  <rcc rId="2439" sId="10" odxf="1" dxf="1" numFmtId="19">
    <nc r="D17">
      <v>46153</v>
    </nc>
    <odxf>
      <border outline="0">
        <top style="thin">
          <color indexed="64"/>
        </top>
      </border>
    </odxf>
    <ndxf>
      <border outline="0">
        <top/>
      </border>
    </ndxf>
  </rcc>
  <rcc rId="2440" sId="10" odxf="1" dxf="1">
    <nc r="E17">
      <v>2</v>
    </nc>
    <odxf>
      <border outline="0">
        <top style="thin">
          <color indexed="64"/>
        </top>
      </border>
    </odxf>
    <ndxf>
      <border outline="0">
        <top/>
      </border>
    </ndxf>
  </rcc>
  <rfmt sheetId="10" sqref="F17" start="0" length="0">
    <dxf>
      <border outline="0">
        <top/>
      </border>
    </dxf>
  </rfmt>
  <rfmt sheetId="10" sqref="G17" start="0" length="0">
    <dxf>
      <border outline="0">
        <top/>
      </border>
    </dxf>
  </rfmt>
  <rcc rId="2441" sId="10" odxf="1" dxf="1">
    <nc r="H17" t="inlineStr">
      <is>
        <t>SAI</t>
      </is>
    </nc>
    <odxf>
      <fill>
        <patternFill>
          <bgColor theme="0"/>
        </patternFill>
      </fill>
      <alignment horizontal="left" readingOrder="0"/>
    </odxf>
    <ndxf>
      <fill>
        <patternFill>
          <bgColor rgb="FFFFFF00"/>
        </patternFill>
      </fill>
      <alignment horizontal="center" readingOrder="0"/>
    </ndxf>
  </rcc>
  <rcc rId="2442" sId="10" odxf="1" dxf="1">
    <nc r="I17" t="inlineStr">
      <is>
        <t>Xuan</t>
      </is>
    </nc>
    <odxf>
      <alignment horizontal="left" readingOrder="0"/>
      <border outline="0">
        <top style="thin">
          <color indexed="64"/>
        </top>
      </border>
    </odxf>
    <ndxf>
      <alignment horizontal="center" readingOrder="0"/>
      <border outline="0">
        <top/>
      </border>
    </ndxf>
  </rcc>
</revisions>
</file>

<file path=xl/revisions/revisionLog2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43" sId="9">
    <oc r="E14">
      <v>2</v>
    </oc>
    <nc r="E14" t="inlineStr">
      <is>
        <t>PP2</t>
      </is>
    </nc>
  </rcc>
</revisions>
</file>

<file path=xl/revisions/revisionLog2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44" sId="10">
    <oc r="B16">
      <v>309</v>
    </oc>
    <nc r="B16" t="inlineStr">
      <is>
        <t>309/306</t>
      </is>
    </nc>
  </rcc>
</revisions>
</file>

<file path=xl/revisions/revisionLog2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45" sId="10" odxf="1" dxf="1">
    <nc r="B18">
      <v>868</v>
    </nc>
    <ndxf>
      <fill>
        <patternFill>
          <bgColor rgb="FF92D050"/>
        </patternFill>
      </fill>
    </ndxf>
  </rcc>
  <rcc rId="2446" sId="10" odxf="1" dxf="1">
    <nc r="C18" t="inlineStr">
      <is>
        <t>Natsuki Maki</t>
      </is>
    </nc>
    <odxf>
      <alignment horizontal="left" readingOrder="0"/>
    </odxf>
    <ndxf>
      <alignment horizontal="center" readingOrder="0"/>
    </ndxf>
  </rcc>
  <rcc rId="2447" sId="10" numFmtId="19">
    <nc r="D18">
      <v>46154</v>
    </nc>
  </rcc>
  <rcc rId="2448" sId="10">
    <nc r="E18">
      <v>2</v>
    </nc>
  </rcc>
  <rcc rId="2449" sId="10" odxf="1" dxf="1">
    <nc r="H18" t="inlineStr">
      <is>
        <t>ALLOCATION</t>
      </is>
    </nc>
    <odxf>
      <fill>
        <patternFill>
          <bgColor theme="0"/>
        </patternFill>
      </fill>
      <alignment horizontal="left" readingOrder="0"/>
    </odxf>
    <ndxf>
      <fill>
        <patternFill>
          <bgColor rgb="FF92D050"/>
        </patternFill>
      </fill>
      <alignment horizontal="center" readingOrder="0"/>
    </ndxf>
  </rcc>
  <rcc rId="2450" sId="10" odxf="1" dxf="1">
    <nc r="I18" t="inlineStr">
      <is>
        <t>Leyla/Faiha</t>
      </is>
    </nc>
    <odxf>
      <alignment horizontal="left" readingOrder="0"/>
    </odxf>
    <ndxf>
      <alignment horizontal="center" readingOrder="0"/>
    </ndxf>
  </rcc>
</revisions>
</file>

<file path=xl/revisions/revisionLog2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51" sId="12">
    <nc r="B11">
      <v>602</v>
    </nc>
  </rcc>
  <rcc rId="2452" sId="12">
    <nc r="E11">
      <v>2</v>
    </nc>
  </rcc>
  <rcc rId="2453" sId="12">
    <nc r="I11" t="inlineStr">
      <is>
        <t>Astrid/Faiha</t>
      </is>
    </nc>
  </rcc>
</revisions>
</file>

<file path=xl/revisions/revisionLog2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54" sId="11">
    <nc r="B11">
      <v>604</v>
    </nc>
  </rcc>
  <rcc rId="2455" sId="11">
    <nc r="E11">
      <v>2</v>
    </nc>
  </rcc>
  <rcc rId="2456" sId="11">
    <nc r="I11" t="inlineStr">
      <is>
        <t>Leyla/Faiha</t>
      </is>
    </nc>
  </rcc>
  <rcc rId="2457" sId="11">
    <nc r="C11" t="inlineStr">
      <is>
        <t>Sergei Komar</t>
      </is>
    </nc>
  </rcc>
  <rcc rId="2458" sId="11" numFmtId="19">
    <nc r="D11">
      <v>46161</v>
    </nc>
  </rcc>
</revisions>
</file>

<file path=xl/revisions/revisionLog2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59" sId="11">
    <nc r="C8" t="inlineStr">
      <is>
        <t>Kwende Monlois</t>
      </is>
    </nc>
  </rcc>
  <rcc rId="2460" sId="11" numFmtId="19">
    <nc r="D8">
      <v>46155</v>
    </nc>
  </rcc>
  <rcc rId="2461" sId="11" numFmtId="19">
    <nc r="D9">
      <v>46155</v>
    </nc>
  </rcc>
</revisions>
</file>

<file path=xl/revisions/revisionLog2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62" sId="12">
    <nc r="C11" t="inlineStr">
      <is>
        <t>Matthew Green</t>
      </is>
    </nc>
  </rcc>
  <rcc rId="2463" sId="12" numFmtId="19">
    <nc r="D11">
      <v>46162</v>
    </nc>
  </rcc>
</revisions>
</file>

<file path=xl/revisions/revisionLog2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64" sId="11" odxf="1" dxf="1">
    <nc r="B12">
      <v>811</v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2465" sId="11" odxf="1" dxf="1">
    <nc r="C12" t="inlineStr">
      <is>
        <t>Finian Odriscoll</t>
      </is>
    </nc>
    <odxf>
      <alignment vertical="top" readingOrder="0"/>
    </odxf>
    <ndxf>
      <alignment vertical="center" readingOrder="0"/>
    </ndxf>
  </rcc>
  <rcc rId="2466" sId="11" odxf="1" dxf="1" numFmtId="19">
    <nc r="D12">
      <v>46157</v>
    </nc>
    <odxf>
      <alignment vertical="top" readingOrder="0"/>
    </odxf>
    <ndxf>
      <alignment vertical="center" readingOrder="0"/>
    </ndxf>
  </rcc>
  <rcc rId="2467" sId="11" odxf="1" dxf="1">
    <nc r="E12">
      <v>2</v>
    </nc>
    <odxf>
      <alignment vertical="top" readingOrder="0"/>
    </odxf>
    <ndxf>
      <alignment vertical="center" readingOrder="0"/>
    </ndxf>
  </rcc>
  <rfmt sheetId="11" sqref="F12" start="0" length="0">
    <dxf>
      <alignment vertical="center" readingOrder="0"/>
    </dxf>
  </rfmt>
  <rfmt sheetId="11" sqref="G12" start="0" length="0">
    <dxf>
      <alignment vertical="center" readingOrder="0"/>
    </dxf>
  </rfmt>
  <rcc rId="2468" sId="11" odxf="1" dxf="1">
    <nc r="H12" t="inlineStr">
      <is>
        <t>SAI</t>
      </is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2469" sId="11" odxf="1" dxf="1">
    <nc r="I12" t="inlineStr">
      <is>
        <t>Faiha</t>
      </is>
    </nc>
    <odxf>
      <alignment vertical="top" readingOrder="0"/>
    </odxf>
    <ndxf>
      <alignment vertical="center" readingOrder="0"/>
    </ndxf>
  </rcc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'6'!$A$1:$L$49</formula>
    <oldFormula>'6'!$A$1:$L$49</oldFormula>
  </rdn>
  <rdn rId="0" localSheetId="6" customView="1" name="Z_6222734F_EF03_4A42_A0AF_7421F8747AA6_.wvu.FilterData" hidden="1" oldHidden="1">
    <formula>'6'!$D$6:$K$36</formula>
    <oldFormula>'6'!$D$6:$K$36</oldFormula>
  </rdn>
  <rdn rId="0" localSheetId="7" customView="1" name="Z_6222734F_EF03_4A42_A0AF_7421F8747AA6_.wvu.PrintArea" hidden="1" oldHidden="1">
    <formula>'7'!$A$1:$L$37</formula>
    <oldFormula>'7'!$A$1:$L$37</oldFormula>
  </rdn>
  <rdn rId="0" localSheetId="8" customView="1" name="Z_6222734F_EF03_4A42_A0AF_7421F8747AA6_.wvu.PrintArea" hidden="1" oldHidden="1">
    <formula>'8'!$A$1:$J$33</formula>
    <oldFormula>'8'!$A$1:$J$33</oldFormula>
  </rdn>
  <rdn rId="0" localSheetId="9" customView="1" name="Z_6222734F_EF03_4A42_A0AF_7421F8747AA6_.wvu.PrintArea" hidden="1" oldHidden="1">
    <formula>'9'!$A$1:$J$39</formula>
    <oldFormula>'9'!$A$1:$J$39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2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02" sId="12" odxf="1" dxf="1">
    <nc r="B12">
      <v>811</v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2503" sId="12" odxf="1" dxf="1">
    <nc r="C12" t="inlineStr">
      <is>
        <t>Finian Odriscoll</t>
      </is>
    </nc>
    <odxf>
      <alignment vertical="top" readingOrder="0"/>
    </odxf>
    <ndxf>
      <alignment vertical="center" readingOrder="0"/>
    </ndxf>
  </rcc>
  <rcc rId="2504" sId="12" odxf="1" dxf="1" numFmtId="19">
    <nc r="D12">
      <v>46157</v>
    </nc>
    <odxf>
      <alignment vertical="top" readingOrder="0"/>
    </odxf>
    <ndxf>
      <alignment vertical="center" readingOrder="0"/>
    </ndxf>
  </rcc>
  <rcc rId="2505" sId="12" odxf="1" dxf="1">
    <nc r="E12">
      <v>2</v>
    </nc>
    <odxf>
      <alignment vertical="top" readingOrder="0"/>
    </odxf>
    <ndxf>
      <alignment vertical="center" readingOrder="0"/>
    </ndxf>
  </rcc>
  <rfmt sheetId="12" sqref="F12" start="0" length="0">
    <dxf>
      <alignment vertical="center" readingOrder="0"/>
    </dxf>
  </rfmt>
  <rfmt sheetId="12" sqref="G12" start="0" length="0">
    <dxf>
      <alignment vertical="center" readingOrder="0"/>
    </dxf>
  </rfmt>
  <rcc rId="2506" sId="12" odxf="1" dxf="1">
    <nc r="H12" t="inlineStr">
      <is>
        <t>SAI</t>
      </is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2507" sId="12" odxf="1" dxf="1">
    <nc r="I12" t="inlineStr">
      <is>
        <t>Faiha</t>
      </is>
    </nc>
    <odxf>
      <alignment vertical="top" readingOrder="0"/>
    </odxf>
    <ndxf>
      <alignment vertical="center" readingOrder="0"/>
    </ndxf>
  </rcc>
  <rcc rId="2508" sId="11" odxf="1" dxf="1">
    <oc r="B12">
      <v>811</v>
    </oc>
    <nc r="B12"/>
    <odxf>
      <fill>
        <patternFill>
          <bgColor rgb="FFFFFF00"/>
        </patternFill>
      </fill>
      <alignment vertical="center" readingOrder="0"/>
    </odxf>
    <ndxf>
      <fill>
        <patternFill>
          <bgColor theme="0"/>
        </patternFill>
      </fill>
      <alignment vertical="top" readingOrder="0"/>
    </ndxf>
  </rcc>
  <rcc rId="2509" sId="11" odxf="1" dxf="1">
    <oc r="C12" t="inlineStr">
      <is>
        <t>Finian Odriscoll</t>
      </is>
    </oc>
    <nc r="C12"/>
    <odxf>
      <alignment vertical="center" readingOrder="0"/>
    </odxf>
    <ndxf>
      <alignment vertical="top" readingOrder="0"/>
    </ndxf>
  </rcc>
  <rcc rId="2510" sId="11" odxf="1" dxf="1" numFmtId="19">
    <oc r="D12">
      <v>46157</v>
    </oc>
    <nc r="D12"/>
    <odxf>
      <alignment vertical="center" readingOrder="0"/>
    </odxf>
    <ndxf>
      <alignment vertical="top" readingOrder="0"/>
    </ndxf>
  </rcc>
  <rcc rId="2511" sId="11" odxf="1" dxf="1">
    <oc r="E12">
      <v>2</v>
    </oc>
    <nc r="E12"/>
    <odxf>
      <alignment vertical="center" readingOrder="0"/>
    </odxf>
    <ndxf>
      <alignment vertical="top" readingOrder="0"/>
    </ndxf>
  </rcc>
  <rfmt sheetId="11" sqref="F12" start="0" length="0">
    <dxf>
      <alignment vertical="top" readingOrder="0"/>
    </dxf>
  </rfmt>
  <rfmt sheetId="11" sqref="G12" start="0" length="0">
    <dxf>
      <alignment vertical="top" readingOrder="0"/>
    </dxf>
  </rfmt>
  <rcc rId="2512" sId="11" odxf="1" dxf="1">
    <oc r="H12" t="inlineStr">
      <is>
        <t>SAI</t>
      </is>
    </oc>
    <nc r="H12"/>
    <odxf>
      <fill>
        <patternFill>
          <bgColor rgb="FFFFFF00"/>
        </patternFill>
      </fill>
      <alignment vertical="center" readingOrder="0"/>
    </odxf>
    <ndxf>
      <fill>
        <patternFill>
          <bgColor theme="0"/>
        </patternFill>
      </fill>
      <alignment vertical="top" readingOrder="0"/>
    </ndxf>
  </rcc>
  <rcc rId="2513" sId="11" odxf="1" dxf="1">
    <oc r="I12" t="inlineStr">
      <is>
        <t>Faiha</t>
      </is>
    </oc>
    <nc r="I12"/>
    <odxf>
      <alignment vertical="center" readingOrder="0"/>
    </odxf>
    <ndxf>
      <alignment vertical="top" readingOrder="0"/>
    </ndxf>
  </rcc>
</revisions>
</file>

<file path=xl/revisions/revisionLog2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J16">
    <dxf>
      <fill>
        <patternFill patternType="solid">
          <bgColor rgb="FF92D050"/>
        </patternFill>
      </fill>
    </dxf>
  </rfmt>
  <rcc rId="2514" sId="10">
    <oc r="B7" t="inlineStr">
      <is>
        <t>Prebooking</t>
      </is>
    </oc>
    <nc r="B7">
      <v>881</v>
    </nc>
  </rcc>
  <rfmt sheetId="10" sqref="J7">
    <dxf>
      <fill>
        <patternFill patternType="solid">
          <bgColor rgb="FFFF0000"/>
        </patternFill>
      </fill>
    </dxf>
  </rfmt>
  <rcc rId="2515" sId="10">
    <oc r="E9">
      <v>2</v>
    </oc>
    <nc r="E9" t="inlineStr">
      <is>
        <t>PP2</t>
      </is>
    </nc>
  </rcc>
  <rfmt sheetId="10" sqref="J9">
    <dxf>
      <fill>
        <patternFill patternType="solid">
          <bgColor rgb="FF92D050"/>
        </patternFill>
      </fill>
    </dxf>
  </rfmt>
</revisions>
</file>

<file path=xl/revisions/revisionLog2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J10">
    <dxf>
      <fill>
        <patternFill patternType="solid">
          <bgColor rgb="FFFF0000"/>
        </patternFill>
      </fill>
    </dxf>
  </rfmt>
  <rfmt sheetId="10" sqref="J11">
    <dxf>
      <fill>
        <patternFill patternType="solid">
          <bgColor rgb="FFFF0000"/>
        </patternFill>
      </fill>
    </dxf>
  </rfmt>
  <rcc rId="2516" sId="10" odxf="1" dxf="1">
    <oc r="J12">
      <f>IF(OR(NOT(ISERROR(MATCH(RIGHT(B12,3)+0,#REF!,0))),NOT(ISERROR(MATCH(LEFT(B12,3)+0,#REF!,0)))),"No Post","")</f>
    </oc>
    <nc r="J12">
      <f>IF(OR(NOT(ISERROR(MATCH(RIGHT(B12,3)+0,#REF!,0))),NOT(ISERROR(MATCH(LEFT(B12,3)+0,#REF!,0)))),"No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</revisions>
</file>

<file path=xl/revisions/revisionLog2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J10">
    <dxf>
      <fill>
        <patternFill>
          <bgColor rgb="FF92D050"/>
        </patternFill>
      </fill>
    </dxf>
  </rfmt>
  <rcc rId="2517" sId="10">
    <nc r="K12" t="inlineStr">
      <is>
        <t>whatsapp</t>
      </is>
    </nc>
  </rcc>
  <rfmt sheetId="10" sqref="J13">
    <dxf>
      <fill>
        <patternFill patternType="solid">
          <bgColor rgb="FFFF0000"/>
        </patternFill>
      </fill>
    </dxf>
  </rfmt>
  <rcc rId="2518" sId="10" odxf="1" dxf="1">
    <oc r="J8">
      <f>IF(OR(NOT(ISERROR(MATCH(RIGHT(B8,3)+0,#REF!,0))),NOT(ISERROR(MATCH(LEFT(B8,3)+0,#REF!,0)))),"No Post","")</f>
    </oc>
    <nc r="J8">
      <f>IF(OR(NOT(ISERROR(MATCH(RIGHT(B8,3)+0,#REF!,0))),NOT(ISERROR(MATCH(LEFT(B8,3)+0,#REF!,0)))),"No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2519" sId="11">
    <nc r="B12">
      <v>814</v>
    </nc>
  </rcc>
  <rcc rId="2520" sId="11">
    <nc r="C12" t="inlineStr">
      <is>
        <t>Ng Kok</t>
      </is>
    </nc>
  </rcc>
  <rcc rId="2521" sId="11" numFmtId="19">
    <nc r="D12">
      <v>46154</v>
    </nc>
  </rcc>
  <rcc rId="2522" sId="11">
    <nc r="E12">
      <v>2</v>
    </nc>
  </rcc>
  <rcc rId="2523" sId="11">
    <nc r="I12" t="inlineStr">
      <is>
        <t>Tarush</t>
      </is>
    </nc>
  </rcc>
</revisions>
</file>

<file path=xl/revisions/revisionLog2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4" sId="10" odxf="1" dxf="1">
    <oc r="J14">
      <f>IF(OR(NOT(ISERROR(MATCH(RIGHT(B14,3)+0,#REF!,0))),NOT(ISERROR(MATCH(LEFT(B14,3)+0,#REF!,0)))),"No Post","")</f>
    </oc>
    <nc r="J14">
      <f>IF(OR(NOT(ISERROR(MATCH(RIGHT(B14,3)+0,#REF!,0))),NOT(ISERROR(MATCH(LEFT(B14,3)+0,#REF!,0)))),"No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525" sId="10" odxf="1" dxf="1">
    <oc r="J15">
      <f>IF(OR(NOT(ISERROR(MATCH(RIGHT(B15,3)+0,#REF!,0))),NOT(ISERROR(MATCH(LEFT(B15,3)+0,#REF!,0)))),"No Post","")</f>
    </oc>
    <nc r="J15">
      <f>IF(OR(NOT(ISERROR(MATCH(RIGHT(B15,3)+0,#REF!,0))),NOT(ISERROR(MATCH(LEFT(B15,3)+0,#REF!,0)))),"No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fmt sheetId="10" sqref="J18" start="0" length="0">
    <dxf>
      <border>
        <bottom style="thin">
          <color indexed="64"/>
        </bottom>
      </border>
    </dxf>
  </rfmt>
  <rfmt sheetId="10" sqref="J7" start="0" length="0">
    <dxf>
      <border>
        <top style="thin">
          <color indexed="64"/>
        </top>
      </border>
    </dxf>
  </rfmt>
  <rfmt sheetId="10" sqref="J7:J18" start="0" length="0">
    <dxf>
      <border>
        <right style="thin">
          <color indexed="64"/>
        </right>
      </border>
    </dxf>
  </rfmt>
  <rfmt sheetId="10" sqref="J7:J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0" sqref="J17" start="0" length="0">
    <dxf>
      <fill>
        <patternFill patternType="solid">
          <bgColor rgb="FFFF0000"/>
        </patternFill>
      </fill>
    </dxf>
  </rfmt>
  <rcc rId="2526" sId="10">
    <oc r="J17">
      <f>IF(OR(NOT(ISERROR(MATCH(RIGHT(B17,3)+0,#REF!,0))),NOT(ISERROR(MATCH(LEFT(B17,3)+0,#REF!,0)))),"No Post","")</f>
    </oc>
    <nc r="J17">
      <f>IF(OR(NOT(ISERROR(MATCH(RIGHT(B17,3)+0,#REF!,0))),NOT(ISERROR(MATCH(LEFT(B17,3)+0,#REF!,0)))),"No Post","")</f>
    </nc>
  </rcc>
  <rcc rId="2527" sId="10" odxf="1" dxf="1">
    <oc r="J18">
      <f>IF(OR(NOT(ISERROR(MATCH(RIGHT(B18,3)+0,#REF!,0))),NOT(ISERROR(MATCH(LEFT(B18,3)+0,#REF!,0)))),"No Post","")</f>
    </oc>
    <nc r="J18">
      <f>IF(OR(NOT(ISERROR(MATCH(RIGHT(B18,3)+0,#REF!,0))),NOT(ISERROR(MATCH(LEFT(B18,3)+0,#REF!,0)))),"No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</revisions>
</file>

<file path=xl/revisions/revisionLog2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J11">
    <dxf>
      <fill>
        <patternFill>
          <bgColor rgb="FF92D050"/>
        </patternFill>
      </fill>
    </dxf>
  </rfmt>
  <rcc rId="2528" sId="10">
    <nc r="K11" t="inlineStr">
      <is>
        <t>whatsapp</t>
      </is>
    </nc>
  </rcc>
</revisions>
</file>

<file path=xl/revisions/revisionLog2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9" sId="10" odxf="1" dxf="1">
    <oc r="J17">
      <f>IF(OR(NOT(ISERROR(MATCH(RIGHT(B17,3)+0,#REF!,0))),NOT(ISERROR(MATCH(LEFT(B17,3)+0,#REF!,0)))),"No Post","")</f>
    </oc>
    <nc r="J17">
      <f>IF(OR(NOT(ISERROR(MATCH(RIGHT(B17,3)+0,#REF!,0))),NOT(ISERROR(MATCH(LEFT(B17,3)+0,#REF!,0)))),"No Post","")</f>
    </nc>
    <odxf>
      <fill>
        <patternFill>
          <bgColor rgb="FFFF0000"/>
        </patternFill>
      </fill>
    </odxf>
    <ndxf>
      <fill>
        <patternFill>
          <bgColor rgb="FF92D050"/>
        </patternFill>
      </fill>
    </ndxf>
  </rcc>
  <rcc rId="2530" sId="10">
    <nc r="K17" t="inlineStr">
      <is>
        <t>whatsapp</t>
      </is>
    </nc>
  </rcc>
</revisions>
</file>

<file path=xl/revisions/revisionLog2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J18">
    <dxf>
      <fill>
        <patternFill>
          <bgColor rgb="FF92D050"/>
        </patternFill>
      </fill>
    </dxf>
  </rfmt>
</revisions>
</file>

<file path=xl/revisions/revisionLog2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1" sId="11" odxf="1" dxf="1">
    <nc r="B13">
      <v>868</v>
    </nc>
    <odxf>
      <fill>
        <patternFill>
          <bgColor theme="0"/>
        </patternFill>
      </fill>
      <alignment vertical="top" readingOrder="0"/>
    </odxf>
    <ndxf>
      <fill>
        <patternFill>
          <bgColor rgb="FF92D050"/>
        </patternFill>
      </fill>
      <alignment vertical="center" readingOrder="0"/>
    </ndxf>
  </rcc>
  <rcc rId="2532" sId="11" odxf="1" dxf="1">
    <nc r="C13" t="inlineStr">
      <is>
        <t>Natsuki Maki</t>
      </is>
    </nc>
    <odxf>
      <alignment vertical="top" readingOrder="0"/>
    </odxf>
    <ndxf>
      <alignment vertical="center" readingOrder="0"/>
    </ndxf>
  </rcc>
  <rcc rId="2533" sId="11" odxf="1" dxf="1" numFmtId="19">
    <nc r="D13">
      <v>46154</v>
    </nc>
    <odxf>
      <alignment vertical="top" readingOrder="0"/>
    </odxf>
    <ndxf>
      <alignment vertical="center" readingOrder="0"/>
    </ndxf>
  </rcc>
  <rcc rId="2534" sId="11" odxf="1" dxf="1">
    <nc r="E13">
      <v>2</v>
    </nc>
    <odxf>
      <alignment vertical="top" readingOrder="0"/>
    </odxf>
    <ndxf>
      <alignment vertical="center" readingOrder="0"/>
    </ndxf>
  </rcc>
  <rfmt sheetId="11" sqref="F13" start="0" length="0">
    <dxf>
      <alignment vertical="center" readingOrder="0"/>
    </dxf>
  </rfmt>
  <rfmt sheetId="11" sqref="G13" start="0" length="0">
    <dxf>
      <alignment vertical="center" readingOrder="0"/>
    </dxf>
  </rfmt>
  <rcc rId="2535" sId="11" odxf="1" dxf="1">
    <nc r="H13" t="inlineStr">
      <is>
        <t>ALLOCATION</t>
      </is>
    </nc>
    <odxf>
      <fill>
        <patternFill>
          <bgColor theme="0"/>
        </patternFill>
      </fill>
      <alignment vertical="top" readingOrder="0"/>
    </odxf>
    <ndxf>
      <fill>
        <patternFill>
          <bgColor rgb="FF92D050"/>
        </patternFill>
      </fill>
      <alignment vertical="center" readingOrder="0"/>
    </ndxf>
  </rcc>
  <rcc rId="2536" sId="11" odxf="1" dxf="1">
    <nc r="I13" t="inlineStr">
      <is>
        <t>Leyla/Faiha</t>
      </is>
    </nc>
    <odxf>
      <alignment vertical="top" readingOrder="0"/>
    </odxf>
    <ndxf>
      <alignment vertical="center" readingOrder="0"/>
    </ndxf>
  </rcc>
</revisions>
</file>

<file path=xl/revisions/revisionLog2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7" sId="11" odxf="1" dxf="1">
    <nc r="B14">
      <v>856</v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cc rId="2538" sId="11" odxf="1" dxf="1">
    <nc r="C14" t="inlineStr">
      <is>
        <t>Sameena Malik</t>
      </is>
    </nc>
    <odxf>
      <alignment vertical="top" readingOrder="0"/>
    </odxf>
    <ndxf>
      <alignment vertical="center" readingOrder="0"/>
    </ndxf>
  </rcc>
  <rcc rId="2539" sId="11" odxf="1" dxf="1" numFmtId="19">
    <nc r="D14">
      <v>46155</v>
    </nc>
    <odxf>
      <alignment vertical="top" readingOrder="0"/>
    </odxf>
    <ndxf>
      <alignment vertical="center" readingOrder="0"/>
    </ndxf>
  </rcc>
  <rcc rId="2540" sId="11" odxf="1" dxf="1">
    <nc r="E14">
      <v>2</v>
    </nc>
    <odxf>
      <alignment vertical="top" readingOrder="0"/>
    </odxf>
    <ndxf>
      <alignment vertical="center" readingOrder="0"/>
    </ndxf>
  </rcc>
  <rfmt sheetId="11" sqref="F14" start="0" length="0">
    <dxf>
      <alignment vertical="center" readingOrder="0"/>
    </dxf>
  </rfmt>
  <rfmt sheetId="11" sqref="G14" start="0" length="0">
    <dxf>
      <alignment vertical="center" readingOrder="0"/>
    </dxf>
  </rfmt>
  <rcc rId="2541" sId="11" odxf="1" dxf="1">
    <nc r="H14" t="inlineStr">
      <is>
        <t>PAI</t>
      </is>
    </nc>
    <odxf>
      <fill>
        <patternFill>
          <bgColor theme="0"/>
        </patternFill>
      </fill>
      <alignment vertical="top" readingOrder="0"/>
    </odxf>
    <ndxf>
      <fill>
        <patternFill>
          <bgColor rgb="FF00B0F0"/>
        </patternFill>
      </fill>
      <alignment vertical="center" readingOrder="0"/>
    </ndxf>
  </rcc>
  <rcc rId="2542" sId="11" odxf="1" dxf="1">
    <nc r="I14" t="inlineStr">
      <is>
        <t>Leyla/Faiha</t>
      </is>
    </nc>
    <odxf>
      <alignment vertical="top" readingOrder="0"/>
    </odxf>
    <ndxf>
      <alignment vertical="center" readingOrder="0"/>
    </ndxf>
  </rcc>
</revisions>
</file>

<file path=xl/revisions/revisionLog2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J15">
    <dxf>
      <fill>
        <patternFill>
          <bgColor rgb="FF92D050"/>
        </patternFill>
      </fill>
    </dxf>
  </rfmt>
</revisions>
</file>

<file path=xl/revisions/revisionLog2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43" sId="10">
    <oc r="E15">
      <v>2</v>
    </oc>
    <nc r="E15" t="inlineStr">
      <is>
        <t>PP2</t>
      </is>
    </nc>
  </rcc>
  <rcc rId="2544" sId="10">
    <oc r="E18">
      <v>2</v>
    </oc>
    <nc r="E18" t="inlineStr">
      <is>
        <t>PP2</t>
      </is>
    </nc>
  </rcc>
</revisions>
</file>

<file path=xl/revisions/revisionLog2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45" sId="11">
    <nc r="B15">
      <v>881</v>
    </nc>
  </rcc>
  <rcc rId="2546" sId="11">
    <nc r="C15" t="inlineStr">
      <is>
        <t>Mr. Ross Wilson</t>
      </is>
    </nc>
  </rcc>
  <rcc rId="2547" sId="11" numFmtId="19">
    <nc r="D15">
      <v>46154</v>
    </nc>
  </rcc>
  <rcc rId="2548" sId="11">
    <nc r="E15">
      <v>2</v>
    </nc>
  </rcc>
  <rcc rId="2549" sId="11">
    <nc r="H15">
      <v>2836971</v>
    </nc>
  </rcc>
  <rcc rId="2550" sId="11">
    <nc r="I15" t="inlineStr">
      <is>
        <t>Vifau/Shamrath</t>
      </is>
    </nc>
  </rcc>
</revisions>
</file>

<file path=xl/revisions/revisionLog2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J7">
    <dxf>
      <fill>
        <patternFill>
          <bgColor rgb="FF92D050"/>
        </patternFill>
      </fill>
    </dxf>
  </rfmt>
</revisions>
</file>

<file path=xl/revisions/revisionLog2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51" sId="10">
    <oc r="E7">
      <v>2</v>
    </oc>
    <nc r="E7" t="inlineStr">
      <is>
        <t>PP2</t>
      </is>
    </nc>
  </rcc>
</revisions>
</file>

<file path=xl/revisions/revisionLog2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52" sId="10">
    <oc r="E16">
      <v>2</v>
    </oc>
    <nc r="E16" t="inlineStr">
      <is>
        <t>PP2</t>
      </is>
    </nc>
  </rcc>
</revisions>
</file>

<file path=xl/revisions/revisionLog2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53" sId="10">
    <oc r="E16" t="inlineStr">
      <is>
        <t>PP2</t>
      </is>
    </oc>
    <nc r="E16">
      <v>2</v>
    </nc>
  </rcc>
</revisions>
</file>

<file path=xl/revisions/revisionLog2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54" sId="13">
    <nc r="I7" t="inlineStr">
      <is>
        <t>UV/Faiha</t>
      </is>
    </nc>
  </rcc>
  <rcc rId="2555" sId="13">
    <nc r="B7">
      <v>206</v>
    </nc>
  </rcc>
  <rcc rId="2556" sId="13" odxf="1" dxf="1">
    <nc r="C7" t="inlineStr">
      <is>
        <t>Claudio Lino Mirco</t>
      </is>
    </nc>
    <odxf>
      <alignment horizontal="center" readingOrder="0"/>
    </odxf>
    <ndxf>
      <alignment horizontal="left" readingOrder="0"/>
    </ndxf>
  </rcc>
  <rcc rId="2557" sId="13" numFmtId="19">
    <nc r="D7">
      <v>46157</v>
    </nc>
  </rcc>
  <rcc rId="2558" sId="13">
    <nc r="E7">
      <v>1</v>
    </nc>
  </rcc>
</revisions>
</file>

<file path=xl/revisions/revisionLog2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59" sId="11">
    <nc r="B16">
      <v>802</v>
    </nc>
  </rcc>
  <rcc rId="2560" sId="11">
    <nc r="E16">
      <v>2</v>
    </nc>
  </rcc>
  <rcc rId="2561" sId="11">
    <nc r="I16" t="inlineStr">
      <is>
        <t>Win/Faiha</t>
      </is>
    </nc>
  </rcc>
</revisions>
</file>

<file path=xl/revisions/revisionLog2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62" sId="11">
    <nc r="B17">
      <v>624</v>
    </nc>
  </rcc>
  <rcc rId="2563" sId="11">
    <nc r="E17">
      <v>2</v>
    </nc>
  </rcc>
</revisions>
</file>

<file path=xl/revisions/revisionLog2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64" sId="11">
    <nc r="I17" t="inlineStr">
      <is>
        <t>Win/Maaji</t>
      </is>
    </nc>
  </rcc>
  <rcc rId="2565" sId="11">
    <nc r="C17" t="inlineStr">
      <is>
        <t>Shuaicheng Niu</t>
      </is>
    </nc>
  </rcc>
  <rcc rId="2566" sId="11" numFmtId="19">
    <nc r="D17">
      <v>46154</v>
    </nc>
  </rcc>
</revisions>
</file>

<file path=xl/revisions/revisionLog2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67" sId="11">
    <nc r="B18">
      <v>603</v>
    </nc>
  </rcc>
  <rcc rId="2568" sId="11">
    <nc r="E18">
      <v>2</v>
    </nc>
  </rcc>
  <rcc rId="2569" sId="11">
    <nc r="I18" t="inlineStr">
      <is>
        <t>Leyla/Faiha</t>
      </is>
    </nc>
  </rcc>
</revisions>
</file>

<file path=xl/revisions/revisionLog2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0" sId="11">
    <oc r="E27">
      <f>SUM(E17:E26)</f>
    </oc>
    <nc r="E27">
      <f>SUM(E7:E26)</f>
    </nc>
  </rcc>
</revisions>
</file>

<file path=xl/revisions/revisionLog2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1" sId="12">
    <nc r="B13">
      <v>619</v>
    </nc>
  </rcc>
  <rcc rId="2572" sId="12">
    <nc r="E13">
      <v>2</v>
    </nc>
  </rcc>
</revisions>
</file>

<file path=xl/revisions/revisionLog3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3" sId="11">
    <nc r="B19">
      <v>619</v>
    </nc>
  </rcc>
  <rcc rId="2574" sId="11">
    <nc r="E19">
      <v>2</v>
    </nc>
  </rcc>
  <rcc rId="2575" sId="11">
    <nc r="I19" t="inlineStr">
      <is>
        <t>Win/Faiha</t>
      </is>
    </nc>
  </rcc>
  <rcc rId="2576" sId="11">
    <nc r="C18" t="inlineStr">
      <is>
        <t>Vladimir Medvedchikov</t>
      </is>
    </nc>
  </rcc>
  <rcc rId="2577" sId="11" numFmtId="19">
    <nc r="D18">
      <v>46161</v>
    </nc>
  </rcc>
  <rcc rId="2578" sId="11">
    <nc r="C16" t="inlineStr">
      <is>
        <t>Yunqian Cheng</t>
      </is>
    </nc>
  </rcc>
  <rcc rId="2579" sId="11" numFmtId="19">
    <nc r="D16">
      <v>46154</v>
    </nc>
  </rcc>
  <rcc rId="2580" sId="11">
    <nc r="C19" t="inlineStr">
      <is>
        <t>Hui Zhi</t>
      </is>
    </nc>
  </rcc>
  <rcc rId="2581" sId="11" numFmtId="19">
    <nc r="D19">
      <v>46154</v>
    </nc>
  </rcc>
</revisions>
</file>

<file path=xl/revisions/revisionLog3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82" sId="11">
    <nc r="B20">
      <v>880</v>
    </nc>
  </rcc>
  <rcc rId="2583" sId="11">
    <nc r="E20">
      <v>2</v>
    </nc>
  </rcc>
  <rcc rId="2584" sId="11">
    <nc r="I20" t="inlineStr">
      <is>
        <t>Faiha</t>
      </is>
    </nc>
  </rcc>
  <rcc rId="2585" sId="11">
    <nc r="C20" t="inlineStr">
      <is>
        <t>Shunya Kajigaya</t>
      </is>
    </nc>
  </rcc>
  <rcc rId="2586" sId="11" numFmtId="19">
    <nc r="D20">
      <v>46156</v>
    </nc>
  </rcc>
</revisions>
</file>

<file path=xl/revisions/revisionLog3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B7:I20">
    <dxf>
      <alignment vertical="center" readingOrder="0"/>
    </dxf>
  </rfmt>
  <rfmt sheetId="11" sqref="B7:I20">
    <dxf>
      <alignment horizontal="general" readingOrder="0"/>
    </dxf>
  </rfmt>
  <rfmt sheetId="11" sqref="B7:I20">
    <dxf>
      <alignment horizontal="center" readingOrder="0"/>
    </dxf>
  </rfmt>
</revisions>
</file>

<file path=xl/revisions/revisionLog3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I8" start="0" length="0">
    <dxf>
      <border>
        <right style="thin">
          <color indexed="64"/>
        </right>
      </border>
    </dxf>
  </rfmt>
  <rfmt sheetId="11" sqref="B8:I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87" sId="13">
    <nc r="B8">
      <v>618</v>
    </nc>
  </rcc>
  <rcc rId="2588" sId="13">
    <nc r="E8">
      <v>2</v>
    </nc>
  </rcc>
  <rcc rId="2589" sId="13">
    <nc r="I8" t="inlineStr">
      <is>
        <t>UV/Faiha</t>
      </is>
    </nc>
  </rcc>
  <rcc rId="2590" sId="13">
    <oc r="E7">
      <v>1</v>
    </oc>
    <nc r="E7">
      <v>2</v>
    </nc>
  </rcc>
</revisions>
</file>

<file path=xl/revisions/revisionLog3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1" sId="13">
    <nc r="C8" t="inlineStr">
      <is>
        <t>Yena Lee</t>
      </is>
    </nc>
  </rcc>
  <rcc rId="2592" sId="13" numFmtId="19">
    <nc r="D8">
      <v>46155</v>
    </nc>
  </rcc>
</revisions>
</file>

<file path=xl/revisions/revisionLog3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3" sId="11">
    <oc r="B7" t="inlineStr">
      <is>
        <t>Prebooking</t>
      </is>
    </oc>
    <nc r="B7">
      <v>679</v>
    </nc>
  </rcc>
</revisions>
</file>

<file path=xl/revisions/revisionLog3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4" sId="11">
    <oc r="J10" t="inlineStr">
      <is>
        <t>OLD</t>
      </is>
    </oc>
    <nc r="J10"/>
  </rcc>
  <rfmt sheetId="11" sqref="J10">
    <dxf>
      <fill>
        <patternFill patternType="solid">
          <bgColor rgb="FFFF0000"/>
        </patternFill>
      </fill>
    </dxf>
  </rfmt>
  <rcc rId="2595" sId="12" odxf="1" dxf="1">
    <nc r="B14">
      <v>343</v>
    </nc>
    <odxf>
      <fill>
        <patternFill patternType="solid">
          <bgColor theme="0"/>
        </patternFill>
      </fill>
      <alignment vertical="top" readingOrder="0"/>
    </odxf>
    <ndxf>
      <fill>
        <patternFill patternType="none">
          <bgColor indexed="65"/>
        </patternFill>
      </fill>
      <alignment vertical="center" readingOrder="0"/>
    </ndxf>
  </rcc>
  <rcc rId="2596" sId="12" odxf="1" dxf="1">
    <nc r="C14" t="inlineStr">
      <is>
        <t>Kwende Monlois</t>
      </is>
    </nc>
    <odxf>
      <fill>
        <patternFill patternType="solid">
          <bgColor theme="0"/>
        </patternFill>
      </fill>
      <alignment vertical="top" readingOrder="0"/>
    </odxf>
    <ndxf>
      <fill>
        <patternFill patternType="none">
          <bgColor indexed="65"/>
        </patternFill>
      </fill>
      <alignment vertical="center" readingOrder="0"/>
    </ndxf>
  </rcc>
  <rcc rId="2597" sId="12" odxf="1" dxf="1" numFmtId="19">
    <nc r="D14">
      <v>46155</v>
    </nc>
    <odxf>
      <fill>
        <patternFill patternType="solid">
          <bgColor theme="0"/>
        </patternFill>
      </fill>
      <alignment vertical="top" readingOrder="0"/>
    </odxf>
    <ndxf>
      <fill>
        <patternFill patternType="none">
          <bgColor indexed="65"/>
        </patternFill>
      </fill>
      <alignment vertical="center" readingOrder="0"/>
    </ndxf>
  </rcc>
  <rcc rId="2598" sId="12" odxf="1" dxf="1">
    <nc r="E14">
      <v>2</v>
    </nc>
    <odxf>
      <fill>
        <patternFill patternType="solid">
          <bgColor theme="0"/>
        </patternFill>
      </fill>
      <alignment vertical="top" readingOrder="0"/>
    </odxf>
    <ndxf>
      <fill>
        <patternFill patternType="none">
          <bgColor indexed="65"/>
        </patternFill>
      </fill>
      <alignment vertical="center" readingOrder="0"/>
    </ndxf>
  </rcc>
  <rcc rId="2599" sId="12" odxf="1" dxf="1">
    <nc r="F14">
      <v>1</v>
    </nc>
    <odxf>
      <fill>
        <patternFill patternType="solid">
          <bgColor theme="0"/>
        </patternFill>
      </fill>
      <alignment vertical="top" readingOrder="0"/>
    </odxf>
    <ndxf>
      <fill>
        <patternFill patternType="none">
          <bgColor indexed="65"/>
        </patternFill>
      </fill>
      <alignment vertical="center" readingOrder="0"/>
    </ndxf>
  </rcc>
  <rfmt sheetId="12" sqref="G14" start="0" length="0">
    <dxf>
      <fill>
        <patternFill patternType="none">
          <bgColor indexed="65"/>
        </patternFill>
      </fill>
      <alignment vertical="center" readingOrder="0"/>
    </dxf>
  </rfmt>
  <rfmt sheetId="12" sqref="H14" start="0" length="0">
    <dxf>
      <fill>
        <patternFill patternType="none">
          <bgColor indexed="65"/>
        </patternFill>
      </fill>
      <alignment vertical="center" readingOrder="0"/>
    </dxf>
  </rfmt>
  <rcc rId="2600" sId="12" odxf="1" dxf="1">
    <nc r="I14" t="inlineStr">
      <is>
        <t>UV/Faiha</t>
      </is>
    </nc>
    <odxf>
      <fill>
        <patternFill patternType="solid">
          <bgColor theme="0"/>
        </patternFill>
      </fill>
      <alignment vertical="top" readingOrder="0"/>
    </odxf>
    <ndxf>
      <fill>
        <patternFill patternType="none">
          <bgColor indexed="65"/>
        </patternFill>
      </fill>
      <alignment vertical="center" readingOrder="0"/>
    </ndxf>
  </rcc>
  <rfmt sheetId="11" sqref="J8">
    <dxf>
      <fill>
        <patternFill patternType="solid">
          <bgColor rgb="FF92D050"/>
        </patternFill>
      </fill>
    </dxf>
  </rfmt>
</revisions>
</file>

<file path=xl/revisions/revisionLog3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1" sId="13">
    <nc r="B9">
      <v>874</v>
    </nc>
  </rcc>
  <rcc rId="2602" sId="13">
    <nc r="E9">
      <v>2</v>
    </nc>
  </rcc>
  <rcc rId="2603" sId="13">
    <nc r="I9" t="inlineStr">
      <is>
        <t>Archana/Faiha</t>
      </is>
    </nc>
  </rcc>
</revisions>
</file>

<file path=xl/revisions/revisionLog3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J18">
    <dxf>
      <fill>
        <patternFill patternType="solid">
          <bgColor rgb="FFFF0000"/>
        </patternFill>
      </fill>
    </dxf>
  </rfmt>
  <rfmt sheetId="11" sqref="J11">
    <dxf>
      <fill>
        <patternFill patternType="solid">
          <bgColor rgb="FFFF0000"/>
        </patternFill>
      </fill>
    </dxf>
  </rfmt>
  <rfmt sheetId="11" sqref="J19">
    <dxf>
      <fill>
        <patternFill patternType="solid">
          <bgColor rgb="FF92D050"/>
        </patternFill>
      </fill>
    </dxf>
  </rfmt>
  <rcc rId="2604" sId="11">
    <oc r="E19">
      <v>2</v>
    </oc>
    <nc r="E19" t="inlineStr">
      <is>
        <t>pp2</t>
      </is>
    </nc>
  </rcc>
  <rcc rId="2605" sId="12" odxf="1" dxf="1">
    <nc r="B15">
      <v>619</v>
    </nc>
    <odxf>
      <alignment vertical="top" readingOrder="0"/>
    </odxf>
    <ndxf>
      <alignment vertical="center" readingOrder="0"/>
    </ndxf>
  </rcc>
  <rcc rId="2606" sId="12" odxf="1" dxf="1">
    <nc r="C15" t="inlineStr">
      <is>
        <t>Hui Zhi</t>
      </is>
    </nc>
    <odxf>
      <alignment vertical="top" readingOrder="0"/>
    </odxf>
    <ndxf>
      <alignment vertical="center" readingOrder="0"/>
    </ndxf>
  </rcc>
  <rcc rId="2607" sId="12" odxf="1" dxf="1" numFmtId="19">
    <nc r="D15">
      <v>46154</v>
    </nc>
    <odxf>
      <alignment vertical="top" readingOrder="0"/>
    </odxf>
    <ndxf>
      <alignment vertical="center" readingOrder="0"/>
    </ndxf>
  </rcc>
  <rcc rId="2608" sId="12" odxf="1" dxf="1">
    <nc r="E15" t="inlineStr">
      <is>
        <t>pp2</t>
      </is>
    </nc>
    <odxf>
      <alignment vertical="top" readingOrder="0"/>
    </odxf>
    <ndxf>
      <alignment vertical="center" readingOrder="0"/>
    </ndxf>
  </rcc>
  <rfmt sheetId="12" sqref="F15" start="0" length="0">
    <dxf>
      <alignment vertical="center" readingOrder="0"/>
    </dxf>
  </rfmt>
  <rfmt sheetId="12" sqref="G15" start="0" length="0">
    <dxf>
      <alignment vertical="center" readingOrder="0"/>
    </dxf>
  </rfmt>
  <rfmt sheetId="12" sqref="H15" start="0" length="0">
    <dxf>
      <alignment vertical="center" readingOrder="0"/>
    </dxf>
  </rfmt>
  <rcc rId="2609" sId="12" odxf="1" dxf="1">
    <nc r="I15" t="inlineStr">
      <is>
        <t>Win/Faiha</t>
      </is>
    </nc>
    <odxf>
      <alignment vertical="top" readingOrder="0"/>
    </odxf>
    <ndxf>
      <alignment vertical="center" readingOrder="0"/>
    </ndxf>
  </rcc>
  <rcc rId="2610" sId="11">
    <oc r="E8">
      <v>2</v>
    </oc>
    <nc r="E8" t="inlineStr">
      <is>
        <t>pp2</t>
      </is>
    </nc>
  </rcc>
  <rfmt sheetId="11" sqref="J17">
    <dxf>
      <fill>
        <patternFill patternType="solid">
          <bgColor rgb="FF92D050"/>
        </patternFill>
      </fill>
    </dxf>
  </rfmt>
  <rcc rId="2611" sId="12" odxf="1" dxf="1">
    <nc r="B16">
      <v>624</v>
    </nc>
    <odxf>
      <alignment vertical="top" readingOrder="0"/>
    </odxf>
    <ndxf>
      <alignment vertical="center" readingOrder="0"/>
    </ndxf>
  </rcc>
  <rcc rId="2612" sId="12" odxf="1" dxf="1">
    <nc r="C16" t="inlineStr">
      <is>
        <t>Shuaicheng Niu</t>
      </is>
    </nc>
    <odxf>
      <alignment vertical="top" readingOrder="0"/>
    </odxf>
    <ndxf>
      <alignment vertical="center" readingOrder="0"/>
    </ndxf>
  </rcc>
  <rcc rId="2613" sId="12" odxf="1" dxf="1" numFmtId="19">
    <nc r="D16">
      <v>46154</v>
    </nc>
    <odxf>
      <alignment vertical="top" readingOrder="0"/>
    </odxf>
    <ndxf>
      <alignment vertical="center" readingOrder="0"/>
    </ndxf>
  </rcc>
  <rcc rId="2614" sId="12" odxf="1" dxf="1">
    <nc r="E16">
      <v>2</v>
    </nc>
    <odxf>
      <alignment vertical="top" readingOrder="0"/>
    </odxf>
    <ndxf>
      <alignment vertical="center" readingOrder="0"/>
    </ndxf>
  </rcc>
  <rfmt sheetId="12" sqref="F16" start="0" length="0">
    <dxf>
      <alignment vertical="center" readingOrder="0"/>
    </dxf>
  </rfmt>
  <rfmt sheetId="12" sqref="G16" start="0" length="0">
    <dxf>
      <alignment vertical="center" readingOrder="0"/>
    </dxf>
  </rfmt>
  <rfmt sheetId="12" sqref="H16" start="0" length="0">
    <dxf>
      <alignment vertical="center" readingOrder="0"/>
    </dxf>
  </rfmt>
  <rcc rId="2615" sId="12" odxf="1" dxf="1">
    <nc r="I16" t="inlineStr">
      <is>
        <t>Win/Maaji</t>
      </is>
    </nc>
    <odxf>
      <alignment vertical="top" readingOrder="0"/>
    </odxf>
    <ndxf>
      <alignment vertical="center" readingOrder="0"/>
    </ndxf>
  </rcc>
  <rfmt sheetId="11" sqref="J7">
    <dxf>
      <fill>
        <patternFill patternType="solid">
          <bgColor rgb="FFFF0000"/>
        </patternFill>
      </fill>
    </dxf>
  </rfmt>
  <rfmt sheetId="11" sqref="J16">
    <dxf>
      <fill>
        <patternFill patternType="solid">
          <bgColor rgb="FF92D050"/>
        </patternFill>
      </fill>
    </dxf>
  </rfmt>
  <rcc rId="2616" sId="12">
    <nc r="B17">
      <v>802</v>
    </nc>
  </rcc>
  <rcc rId="2617" sId="12" odxf="1" dxf="1">
    <nc r="C17" t="inlineStr">
      <is>
        <t>Yunqian Cheng</t>
      </is>
    </nc>
    <odxf>
      <alignment horizontal="left" readingOrder="0"/>
    </odxf>
    <ndxf>
      <alignment horizontal="center" readingOrder="0"/>
    </ndxf>
  </rcc>
  <rcc rId="2618" sId="12" numFmtId="19">
    <nc r="D17">
      <v>46154</v>
    </nc>
  </rcc>
  <rcc rId="2619" sId="12">
    <nc r="E17">
      <v>2</v>
    </nc>
  </rcc>
  <rfmt sheetId="12" sqref="H17" start="0" length="0">
    <dxf>
      <alignment horizontal="center" readingOrder="0"/>
    </dxf>
  </rfmt>
  <rcc rId="2620" sId="12" odxf="1" dxf="1">
    <nc r="I17" t="inlineStr">
      <is>
        <t>Win/Faiha</t>
      </is>
    </nc>
    <odxf>
      <alignment horizontal="left" readingOrder="0"/>
    </odxf>
    <ndxf>
      <alignment horizontal="center" readingOrder="0"/>
    </ndxf>
  </rcc>
</revisions>
</file>

<file path=xl/revisions/revisionLog3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J12">
    <dxf>
      <fill>
        <patternFill patternType="solid">
          <bgColor rgb="FFFF0000"/>
        </patternFill>
      </fill>
    </dxf>
  </rfmt>
  <rfmt sheetId="11" sqref="J9">
    <dxf>
      <fill>
        <patternFill patternType="solid">
          <bgColor rgb="FF92D050"/>
        </patternFill>
      </fill>
    </dxf>
  </rfmt>
  <rcc rId="2621" sId="12">
    <nc r="B18">
      <v>843</v>
    </nc>
  </rcc>
  <rcc rId="2622" sId="12" odxf="1" dxf="1">
    <nc r="C18" t="inlineStr">
      <is>
        <t>Shang Lee</t>
      </is>
    </nc>
    <odxf>
      <alignment horizontal="left" readingOrder="0"/>
    </odxf>
    <ndxf>
      <alignment horizontal="center" readingOrder="0"/>
    </ndxf>
  </rcc>
  <rcc rId="2623" sId="12" numFmtId="19">
    <nc r="D18">
      <v>46155</v>
    </nc>
  </rcc>
  <rcc rId="2624" sId="12">
    <nc r="E18">
      <v>2</v>
    </nc>
  </rcc>
  <rfmt sheetId="12" sqref="H18" start="0" length="0">
    <dxf>
      <alignment horizontal="center" readingOrder="0"/>
    </dxf>
  </rfmt>
  <rcc rId="2625" sId="12" odxf="1" dxf="1">
    <nc r="I18" t="inlineStr">
      <is>
        <t>Tarush</t>
      </is>
    </nc>
    <odxf>
      <alignment horizontal="left" readingOrder="0"/>
    </odxf>
    <ndxf>
      <alignment horizontal="center" readingOrder="0"/>
    </ndxf>
  </rcc>
  <rcc rId="2626" sId="11">
    <oc r="B14">
      <v>856</v>
    </oc>
    <nc r="B14" t="inlineStr">
      <is>
        <t>856/865</t>
      </is>
    </nc>
  </rcc>
  <rfmt sheetId="11" sqref="J14">
    <dxf>
      <fill>
        <patternFill patternType="solid">
          <bgColor rgb="FFFF0000"/>
        </patternFill>
      </fill>
    </dxf>
  </rfmt>
  <rfmt sheetId="11" sqref="J13">
    <dxf>
      <fill>
        <patternFill patternType="solid">
          <bgColor rgb="FF92D050"/>
        </patternFill>
      </fill>
    </dxf>
  </rfmt>
  <rcc rId="2627" sId="11">
    <oc r="E9">
      <v>2</v>
    </oc>
    <nc r="E9" t="inlineStr">
      <is>
        <t>pp2</t>
      </is>
    </nc>
  </rcc>
  <rcc rId="2628" sId="11">
    <oc r="E16">
      <v>2</v>
    </oc>
    <nc r="E16" t="inlineStr">
      <is>
        <t>pp2</t>
      </is>
    </nc>
  </rcc>
  <rcc rId="2629" sId="11">
    <oc r="E17">
      <v>2</v>
    </oc>
    <nc r="E17" t="inlineStr">
      <is>
        <t>pp2</t>
      </is>
    </nc>
  </rcc>
  <rcc rId="2630" sId="12">
    <nc r="B19">
      <v>880</v>
    </nc>
  </rcc>
  <rcc rId="2631" sId="12" odxf="1" dxf="1">
    <nc r="C19" t="inlineStr">
      <is>
        <t>Shunya Kajigaya</t>
      </is>
    </nc>
    <odxf>
      <alignment horizontal="left" readingOrder="0"/>
    </odxf>
    <ndxf>
      <alignment horizontal="center" readingOrder="0"/>
    </ndxf>
  </rcc>
  <rcc rId="2632" sId="12" numFmtId="19">
    <nc r="D19">
      <v>46156</v>
    </nc>
  </rcc>
  <rcc rId="2633" sId="12">
    <nc r="E19">
      <v>2</v>
    </nc>
  </rcc>
  <rfmt sheetId="12" sqref="H19" start="0" length="0">
    <dxf>
      <alignment horizontal="center" readingOrder="0"/>
    </dxf>
  </rfmt>
  <rcc rId="2634" sId="12" odxf="1" dxf="1">
    <nc r="I19" t="inlineStr">
      <is>
        <t>Faiha</t>
      </is>
    </nc>
    <odxf>
      <alignment horizontal="left" readingOrder="0"/>
    </odxf>
    <ndxf>
      <alignment horizontal="center" readingOrder="0"/>
    </ndxf>
  </rcc>
  <rcc rId="2635" sId="12" odxf="1" dxf="1">
    <nc r="B20">
      <v>868</v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2636" sId="12" odxf="1" dxf="1">
    <nc r="C20" t="inlineStr">
      <is>
        <t>Natsuki Maki</t>
      </is>
    </nc>
    <odxf>
      <alignment horizontal="left" readingOrder="0"/>
    </odxf>
    <ndxf>
      <alignment horizontal="center" readingOrder="0"/>
    </ndxf>
  </rcc>
  <rcc rId="2637" sId="12" numFmtId="19">
    <nc r="D20">
      <v>46154</v>
    </nc>
  </rcc>
  <rcc rId="2638" sId="12">
    <nc r="E20">
      <v>2</v>
    </nc>
  </rcc>
  <rcc rId="2639" sId="12" odxf="1" dxf="1">
    <nc r="H20" t="inlineStr">
      <is>
        <t>ALLOCATION</t>
      </is>
    </nc>
    <odxf>
      <fill>
        <patternFill>
          <bgColor theme="0"/>
        </patternFill>
      </fill>
      <alignment horizontal="left" readingOrder="0"/>
    </odxf>
    <ndxf>
      <fill>
        <patternFill>
          <bgColor rgb="FF92D050"/>
        </patternFill>
      </fill>
      <alignment horizontal="center" readingOrder="0"/>
    </ndxf>
  </rcc>
  <rcc rId="2640" sId="12" odxf="1" dxf="1">
    <nc r="I20" t="inlineStr">
      <is>
        <t>Leyla/Faiha</t>
      </is>
    </nc>
    <odxf>
      <alignment horizontal="left" readingOrder="0"/>
    </odxf>
    <ndxf>
      <alignment horizontal="center" readingOrder="0"/>
    </ndxf>
  </rcc>
  <rfmt sheetId="11" sqref="J20">
    <dxf>
      <fill>
        <patternFill patternType="solid">
          <bgColor rgb="FF92D050"/>
        </patternFill>
      </fill>
    </dxf>
  </rfmt>
  <rcc rId="2641" sId="11">
    <oc r="E20">
      <v>2</v>
    </oc>
    <nc r="E20" t="inlineStr">
      <is>
        <t>pp2</t>
      </is>
    </nc>
  </rcc>
  <rcc rId="2642" sId="11">
    <oc r="E13">
      <v>2</v>
    </oc>
    <nc r="E13" t="inlineStr">
      <is>
        <t>pp2</t>
      </is>
    </nc>
  </rcc>
  <rfmt sheetId="11" sqref="J15">
    <dxf>
      <fill>
        <patternFill patternType="solid">
          <bgColor rgb="FFFF0000"/>
        </patternFill>
      </fill>
    </dxf>
  </rfmt>
</revisions>
</file>

<file path=xl/revisions/revisionLog3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43" sId="12">
    <nc r="B21">
      <v>649</v>
    </nc>
  </rcc>
  <rcc rId="2644" sId="12">
    <nc r="E21">
      <v>3</v>
    </nc>
  </rcc>
  <rfmt sheetId="12" sqref="I21" start="0" length="0">
    <dxf>
      <alignment horizontal="center" readingOrder="0"/>
    </dxf>
  </rfmt>
  <rcc rId="2645" sId="12">
    <nc r="I21" t="inlineStr">
      <is>
        <t>Win/Faiha</t>
      </is>
    </nc>
  </rcc>
  <rcc rId="2646" sId="12">
    <nc r="C21" t="inlineStr">
      <is>
        <t>Xiaoyu Xing</t>
      </is>
    </nc>
  </rcc>
  <rcc rId="2647" sId="12" numFmtId="19">
    <nc r="D21">
      <v>46155</v>
    </nc>
  </rcc>
</revisions>
</file>

<file path=xl/revisions/revisionLog3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48" sId="12">
    <nc r="C13" t="inlineStr">
      <is>
        <t>Hui Zhi</t>
      </is>
    </nc>
  </rcc>
  <rcc rId="2649" sId="12" numFmtId="19">
    <nc r="D13">
      <v>46154</v>
    </nc>
  </rcc>
</revisions>
</file>

<file path=xl/revisions/revisionLog3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50" sId="12">
    <nc r="I13" t="inlineStr">
      <is>
        <t>c</t>
      </is>
    </nc>
  </rcc>
  <rcc rId="2651" sId="11">
    <oc r="E7">
      <v>2</v>
    </oc>
    <nc r="E7" t="inlineStr">
      <is>
        <t>CXL2</t>
      </is>
    </nc>
  </rcc>
</revisions>
</file>

<file path=xl/revisions/revisionLog3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52" sId="12" odxf="1" dxf="1">
    <nc r="B22">
      <v>300</v>
    </nc>
    <odxf>
      <fill>
        <patternFill>
          <bgColor theme="0"/>
        </patternFill>
      </fill>
    </odxf>
    <ndxf>
      <fill>
        <patternFill>
          <bgColor rgb="FF00B0F0"/>
        </patternFill>
      </fill>
    </ndxf>
  </rcc>
  <rcc rId="2653" sId="12" odxf="1" dxf="1">
    <nc r="C22" t="inlineStr">
      <is>
        <t>Miss Victoria Statham</t>
      </is>
    </nc>
    <odxf>
      <alignment horizontal="left" readingOrder="0"/>
    </odxf>
    <ndxf>
      <alignment horizontal="center" readingOrder="0"/>
    </ndxf>
  </rcc>
  <rcc rId="2654" sId="12" numFmtId="19">
    <nc r="D22">
      <v>46155</v>
    </nc>
  </rcc>
  <rcc rId="2655" sId="12">
    <nc r="E22">
      <v>2</v>
    </nc>
  </rcc>
  <rcc rId="2656" sId="12" odxf="1" dxf="1">
    <nc r="H22" t="inlineStr">
      <is>
        <t>PAI</t>
      </is>
    </nc>
    <odxf>
      <fill>
        <patternFill>
          <bgColor theme="0"/>
        </patternFill>
      </fill>
      <alignment horizontal="left" readingOrder="0"/>
    </odxf>
    <ndxf>
      <fill>
        <patternFill>
          <bgColor rgb="FF00B0F0"/>
        </patternFill>
      </fill>
      <alignment horizontal="center" readingOrder="0"/>
    </ndxf>
  </rcc>
  <rcc rId="2657" sId="12" odxf="1" dxf="1">
    <nc r="I22" t="inlineStr">
      <is>
        <t>Shamrath/Faiha</t>
      </is>
    </nc>
    <odxf>
      <alignment horizontal="left" readingOrder="0"/>
    </odxf>
    <ndxf>
      <alignment horizontal="center" readingOrder="0"/>
    </ndxf>
  </rcc>
</revisions>
</file>

<file path=xl/revisions/revisionLog3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58" sId="11">
    <oc r="E10">
      <v>2</v>
    </oc>
    <nc r="E10" t="inlineStr">
      <is>
        <t>PP2</t>
      </is>
    </nc>
  </rcc>
  <rfmt sheetId="11" sqref="J10">
    <dxf>
      <fill>
        <patternFill>
          <bgColor rgb="FF92D050"/>
        </patternFill>
      </fill>
    </dxf>
  </rfmt>
  <rfmt sheetId="11" sqref="J7">
    <dxf>
      <fill>
        <patternFill>
          <bgColor rgb="FF92D050"/>
        </patternFill>
      </fill>
    </dxf>
  </rfmt>
</revisions>
</file>

<file path=xl/revisions/revisionLog3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J12">
    <dxf>
      <fill>
        <patternFill>
          <bgColor rgb="FF92D050"/>
        </patternFill>
      </fill>
    </dxf>
  </rfmt>
  <rcc rId="2659" sId="11">
    <oc r="E12">
      <v>2</v>
    </oc>
    <nc r="E12" t="inlineStr">
      <is>
        <t>cxl2</t>
      </is>
    </nc>
  </rcc>
</revisions>
</file>

<file path=xl/revisions/revisionLog3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0" sId="11" odxf="1" dxf="1">
    <nc r="B21">
      <v>850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2661" sId="11" odxf="1" dxf="1">
    <nc r="C21" t="inlineStr">
      <is>
        <t>Hessko Khelo</t>
      </is>
    </nc>
    <o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center" readingOrder="0"/>
      <border outline="0">
        <left/>
        <right/>
        <top/>
        <bottom/>
      </border>
    </ndxf>
  </rcc>
  <rcc rId="2662" sId="11" numFmtId="19">
    <nc r="D21">
      <v>46158</v>
    </nc>
  </rcc>
  <rcc rId="2663" sId="11">
    <nc r="E21">
      <v>2</v>
    </nc>
  </rcc>
  <rcc rId="2664" sId="11" odxf="1" dxf="1">
    <nc r="H21" t="inlineStr">
      <is>
        <t>SAI</t>
      </is>
    </nc>
    <odxf>
      <fill>
        <patternFill>
          <bgColor theme="0"/>
        </patternFill>
      </fill>
      <alignment horizontal="left" readingOrder="0"/>
    </odxf>
    <ndxf>
      <fill>
        <patternFill>
          <bgColor rgb="FFFFFF00"/>
        </patternFill>
      </fill>
      <alignment horizontal="center" readingOrder="0"/>
    </ndxf>
  </rcc>
  <rcc rId="2665" sId="11" odxf="1" dxf="1">
    <nc r="I21" t="inlineStr">
      <is>
        <t>Faiha</t>
      </is>
    </nc>
    <odxf>
      <alignment horizontal="left" readingOrder="0"/>
    </odxf>
    <ndxf>
      <alignment horizontal="center" readingOrder="0"/>
    </ndxf>
  </rcc>
</revisions>
</file>

<file path=xl/revisions/revisionLog3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6" sId="12" odxf="1" dxf="1">
    <nc r="B23">
      <v>850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2667" sId="12" odxf="1" dxf="1">
    <nc r="C23" t="inlineStr">
      <is>
        <t>Hessko Khelo</t>
      </is>
    </nc>
    <o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center" readingOrder="0"/>
      <border outline="0">
        <left/>
        <right/>
        <top/>
        <bottom/>
      </border>
    </ndxf>
  </rcc>
  <rcc rId="2668" sId="12" numFmtId="19">
    <nc r="D23">
      <v>46158</v>
    </nc>
  </rcc>
  <rcc rId="2669" sId="12">
    <nc r="E23">
      <v>2</v>
    </nc>
  </rcc>
  <rcc rId="2670" sId="12" odxf="1" dxf="1">
    <nc r="H23" t="inlineStr">
      <is>
        <t>SAI</t>
      </is>
    </nc>
    <odxf>
      <fill>
        <patternFill>
          <bgColor theme="0"/>
        </patternFill>
      </fill>
      <alignment horizontal="left" readingOrder="0"/>
    </odxf>
    <ndxf>
      <fill>
        <patternFill>
          <bgColor rgb="FFFFFF00"/>
        </patternFill>
      </fill>
      <alignment horizontal="center" readingOrder="0"/>
    </ndxf>
  </rcc>
  <rcc rId="2671" sId="12" odxf="1" dxf="1">
    <nc r="I23" t="inlineStr">
      <is>
        <t>Faiha</t>
      </is>
    </nc>
    <odxf>
      <alignment horizontal="left" readingOrder="0"/>
    </odxf>
    <ndxf>
      <alignment horizontal="center" readingOrder="0"/>
    </ndxf>
  </rcc>
</revisions>
</file>

<file path=xl/revisions/revisionLog3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72" sId="8">
    <oc r="E20">
      <v>2</v>
    </oc>
    <nc r="E20" t="inlineStr">
      <is>
        <t>pp2</t>
      </is>
    </nc>
  </rcc>
  <rcc rId="2673" sId="8">
    <oc r="E14">
      <v>3</v>
    </oc>
    <nc r="E14" t="inlineStr">
      <is>
        <t>pp3</t>
      </is>
    </nc>
  </rcc>
  <rcc rId="2674" sId="8">
    <oc r="E11">
      <v>2</v>
    </oc>
    <nc r="E11" t="inlineStr">
      <is>
        <t>pp2</t>
      </is>
    </nc>
  </rcc>
  <rcc rId="2675" sId="9">
    <oc r="E8">
      <v>2</v>
    </oc>
    <nc r="E8" t="inlineStr">
      <is>
        <t>pp2</t>
      </is>
    </nc>
  </rcc>
  <rcc rId="2676" sId="8">
    <oc r="E10">
      <v>2</v>
    </oc>
    <nc r="E10" t="inlineStr">
      <is>
        <t>pp2</t>
      </is>
    </nc>
  </rcc>
  <rcc rId="2677" sId="8">
    <oc r="E8">
      <v>2</v>
    </oc>
    <nc r="E8" t="inlineStr">
      <is>
        <t>pp2</t>
      </is>
    </nc>
  </rcc>
  <rcc rId="2678" sId="8">
    <oc r="F8">
      <v>1</v>
    </oc>
    <nc r="F8" t="inlineStr">
      <is>
        <t>pp1</t>
      </is>
    </nc>
  </rcc>
  <rcc rId="2679" sId="12">
    <nc r="B24">
      <v>877</v>
    </nc>
  </rcc>
  <rcc rId="2680" sId="12">
    <nc r="E24">
      <v>2</v>
    </nc>
  </rcc>
  <rcc rId="2681" sId="12">
    <nc r="I24" t="inlineStr">
      <is>
        <t>Faiha</t>
      </is>
    </nc>
  </rcc>
</revisions>
</file>

<file path=xl/revisions/revisionLog3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2" sId="12">
    <nc r="C24" t="inlineStr">
      <is>
        <t>Alexandre Arnaud Banse</t>
      </is>
    </nc>
  </rcc>
  <rcc rId="2683" sId="12" numFmtId="19">
    <nc r="D24">
      <v>46156</v>
    </nc>
  </rcc>
</revisions>
</file>

<file path=xl/revisions/revisionLog3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4" sId="14">
    <nc r="B7">
      <v>602</v>
    </nc>
  </rcc>
  <rcc rId="2685" sId="14">
    <nc r="C7" t="inlineStr">
      <is>
        <t>Matthew Green</t>
      </is>
    </nc>
  </rcc>
  <rcc rId="2686" sId="14" numFmtId="19">
    <nc r="D7">
      <v>46162</v>
    </nc>
  </rcc>
  <rcc rId="2687" sId="14">
    <nc r="E7">
      <v>2</v>
    </nc>
  </rcc>
  <rcc rId="2688" sId="14">
    <nc r="I7" t="inlineStr">
      <is>
        <t>Astrid/Faiha</t>
      </is>
    </nc>
  </rcc>
</revisions>
</file>

<file path=xl/revisions/revisionLog3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9" sId="12">
    <nc r="B25">
      <v>869</v>
    </nc>
  </rcc>
  <rcc rId="2690" sId="12">
    <nc r="E25">
      <v>2</v>
    </nc>
  </rcc>
  <rcc rId="2691" sId="12">
    <nc r="I25" t="inlineStr">
      <is>
        <t>Faiha</t>
      </is>
    </nc>
  </rcc>
</revisions>
</file>

<file path=xl/revisions/revisionLog3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92" sId="21">
    <nc r="B8" t="inlineStr">
      <is>
        <t>Prebooking</t>
      </is>
    </nc>
  </rcc>
  <rcc rId="2693" sId="21" odxf="1" dxf="1">
    <nc r="C8" t="inlineStr">
      <is>
        <t>Elizaveta Bordykova</t>
      </is>
    </nc>
    <odxf>
      <font>
        <b val="0"/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2694" sId="21" numFmtId="19">
    <nc r="D8">
      <v>46164</v>
    </nc>
  </rcc>
  <rcc rId="2695" sId="21">
    <nc r="E8">
      <v>1</v>
    </nc>
  </rcc>
  <rcc rId="2696" sId="21">
    <nc r="H8" t="inlineStr">
      <is>
        <t>SALES ENT</t>
      </is>
    </nc>
  </rcc>
  <rcc rId="2697" sId="21">
    <nc r="I8" t="inlineStr">
      <is>
        <t>Susmita/Tarush</t>
      </is>
    </nc>
  </rcc>
  <rcc rId="2698" sId="21">
    <nc r="B9" t="inlineStr">
      <is>
        <t>Prebooking</t>
      </is>
    </nc>
  </rcc>
  <rcc rId="2699" sId="21" odxf="1" dxf="1">
    <nc r="C9" t="inlineStr">
      <is>
        <t>Maria Rymarchuk</t>
      </is>
    </nc>
    <odxf>
      <font>
        <b val="0"/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2700" sId="21" numFmtId="19">
    <nc r="D9">
      <v>46164</v>
    </nc>
  </rcc>
  <rcc rId="2701" sId="21">
    <nc r="E9">
      <v>1</v>
    </nc>
  </rcc>
  <rcc rId="2702" sId="21">
    <nc r="H9" t="inlineStr">
      <is>
        <t>SALES ENT</t>
      </is>
    </nc>
  </rcc>
  <rcc rId="2703" sId="21">
    <nc r="I9" t="inlineStr">
      <is>
        <t>Susmita/Tarush</t>
      </is>
    </nc>
  </rcc>
  <rcc rId="2704" sId="21">
    <nc r="B10" t="inlineStr">
      <is>
        <t>Prebooking</t>
      </is>
    </nc>
  </rcc>
  <rcc rId="2705" sId="21" odxf="1" dxf="1">
    <nc r="C10" t="inlineStr">
      <is>
        <t>Dmitrii Netuzhilkin</t>
      </is>
    </nc>
    <odxf>
      <font>
        <b val="0"/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2706" sId="21" numFmtId="19">
    <nc r="D10">
      <v>46164</v>
    </nc>
  </rcc>
  <rcc rId="2707" sId="21">
    <nc r="E10">
      <v>1</v>
    </nc>
  </rcc>
  <rcc rId="2708" sId="21">
    <nc r="H10" t="inlineStr">
      <is>
        <t>SALES ENT</t>
      </is>
    </nc>
  </rcc>
  <rcc rId="2709" sId="21">
    <nc r="I10" t="inlineStr">
      <is>
        <t>Susmita/Tarush</t>
      </is>
    </nc>
  </rcc>
  <rcc rId="2710" sId="21">
    <nc r="B11" t="inlineStr">
      <is>
        <t>Prebooking</t>
      </is>
    </nc>
  </rcc>
  <rcc rId="2711" sId="21" odxf="1" dxf="1">
    <nc r="C11" t="inlineStr">
      <is>
        <t>Olga Ayazbaeva</t>
      </is>
    </nc>
    <odxf>
      <font>
        <b val="0"/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2712" sId="21" numFmtId="19">
    <nc r="D11">
      <v>46164</v>
    </nc>
  </rcc>
  <rcc rId="2713" sId="21">
    <nc r="E11">
      <v>1</v>
    </nc>
  </rcc>
  <rcc rId="2714" sId="21">
    <nc r="H11" t="inlineStr">
      <is>
        <t>SALES ENT</t>
      </is>
    </nc>
  </rcc>
  <rcc rId="2715" sId="21">
    <nc r="I11" t="inlineStr">
      <is>
        <t>Susmita/Tarush</t>
      </is>
    </nc>
  </rcc>
  <rcc rId="2716" sId="21">
    <nc r="B12" t="inlineStr">
      <is>
        <t>Prebooking</t>
      </is>
    </nc>
  </rcc>
  <rcc rId="2717" sId="21" odxf="1" dxf="1">
    <nc r="C12" t="inlineStr">
      <is>
        <t>Anastasia Savina</t>
      </is>
    </nc>
    <odxf>
      <font>
        <b val="0"/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2718" sId="21" numFmtId="19">
    <nc r="D12">
      <v>46164</v>
    </nc>
  </rcc>
  <rcc rId="2719" sId="21">
    <nc r="E12">
      <v>1</v>
    </nc>
  </rcc>
  <rcc rId="2720" sId="21">
    <nc r="H12" t="inlineStr">
      <is>
        <t>SALES ENT</t>
      </is>
    </nc>
  </rcc>
  <rcc rId="2721" sId="21">
    <nc r="I12" t="inlineStr">
      <is>
        <t>Susmita/Tarush</t>
      </is>
    </nc>
  </rcc>
  <rcc rId="2722" sId="21">
    <nc r="B13" t="inlineStr">
      <is>
        <t>Prebooking</t>
      </is>
    </nc>
  </rcc>
  <rcc rId="2723" sId="21" odxf="1" dxf="1">
    <nc r="C13" t="inlineStr">
      <is>
        <t>Ekaterina Dobromyslova</t>
      </is>
    </nc>
    <odxf>
      <font>
        <b val="0"/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2724" sId="21" numFmtId="19">
    <nc r="D13">
      <v>46164</v>
    </nc>
  </rcc>
  <rcc rId="2725" sId="21">
    <nc r="E13">
      <v>1</v>
    </nc>
  </rcc>
  <rcc rId="2726" sId="21">
    <nc r="H13" t="inlineStr">
      <is>
        <t>SALES ENT</t>
      </is>
    </nc>
  </rcc>
  <rcc rId="2727" sId="21">
    <nc r="I13" t="inlineStr">
      <is>
        <t>Susmita/Tarush</t>
      </is>
    </nc>
  </rcc>
  <rcc rId="2728" sId="21">
    <nc r="B14" t="inlineStr">
      <is>
        <t>Prebooking</t>
      </is>
    </nc>
  </rcc>
  <rcc rId="2729" sId="21" odxf="1" dxf="1">
    <nc r="C14" t="inlineStr">
      <is>
        <t>Igor Boriskin</t>
      </is>
    </nc>
    <odxf>
      <font>
        <b val="0"/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2730" sId="21" numFmtId="19">
    <nc r="D14">
      <v>46164</v>
    </nc>
  </rcc>
  <rcc rId="2731" sId="21">
    <nc r="E14">
      <v>1</v>
    </nc>
  </rcc>
  <rcc rId="2732" sId="21">
    <nc r="H14" t="inlineStr">
      <is>
        <t>SALES ENT</t>
      </is>
    </nc>
  </rcc>
  <rcc rId="2733" sId="21">
    <nc r="I14" t="inlineStr">
      <is>
        <t>Susmita/Tarush</t>
      </is>
    </nc>
  </rcc>
  <rcc rId="2734" sId="21" odxf="1" dxf="1">
    <nc r="B15" t="inlineStr">
      <is>
        <t>Prebooking</t>
      </is>
    </nc>
    <odxf/>
    <ndxf/>
  </rcc>
  <rcc rId="2735" sId="21" odxf="1" dxf="1">
    <nc r="C15" t="inlineStr">
      <is>
        <t>Kristina Zaitseva</t>
      </is>
    </nc>
    <odxf>
      <font>
        <b val="0"/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2736" sId="21" odxf="1" dxf="1" numFmtId="19">
    <nc r="D15">
      <v>46164</v>
    </nc>
    <odxf/>
    <ndxf/>
  </rcc>
  <rcc rId="2737" sId="21" odxf="1" dxf="1">
    <nc r="E15">
      <v>1</v>
    </nc>
    <odxf>
      <alignment vertical="top" readingOrder="0"/>
    </odxf>
    <ndxf>
      <alignment vertical="center" readingOrder="0"/>
    </ndxf>
  </rcc>
  <rfmt sheetId="21" sqref="F15" start="0" length="0">
    <dxf>
      <alignment vertical="center" readingOrder="0"/>
    </dxf>
  </rfmt>
  <rfmt sheetId="21" sqref="G15" start="0" length="0">
    <dxf>
      <alignment vertical="center" readingOrder="0"/>
    </dxf>
  </rfmt>
  <rcc rId="2738" sId="21" odxf="1" dxf="1">
    <nc r="H15" t="inlineStr">
      <is>
        <t>SALES ENT</t>
      </is>
    </nc>
    <odxf/>
    <ndxf/>
  </rcc>
  <rcc rId="2739" sId="21" odxf="1" dxf="1">
    <nc r="I15" t="inlineStr">
      <is>
        <t>Susmita/Tarush</t>
      </is>
    </nc>
    <odxf/>
    <ndxf/>
  </rcc>
  <rcc rId="2740" sId="19">
    <oc r="B10" t="inlineStr">
      <is>
        <t>Prebooking</t>
      </is>
    </oc>
    <nc r="B10"/>
  </rcc>
  <rcc rId="2741" sId="19">
    <oc r="C10" t="inlineStr">
      <is>
        <t>Elizaveta Bordykova</t>
      </is>
    </oc>
    <nc r="C10"/>
  </rcc>
  <rcc rId="2742" sId="19" numFmtId="19">
    <oc r="D10">
      <v>46164</v>
    </oc>
    <nc r="D10"/>
  </rcc>
  <rcc rId="2743" sId="19">
    <oc r="E10">
      <v>1</v>
    </oc>
    <nc r="E10"/>
  </rcc>
  <rcc rId="2744" sId="19">
    <oc r="H10" t="inlineStr">
      <is>
        <t>SALES ENT</t>
      </is>
    </oc>
    <nc r="H10"/>
  </rcc>
  <rcc rId="2745" sId="19">
    <oc r="I10" t="inlineStr">
      <is>
        <t>Susmita/Tarush</t>
      </is>
    </oc>
    <nc r="I10"/>
  </rcc>
  <rcc rId="2746" sId="19">
    <oc r="B11" t="inlineStr">
      <is>
        <t>Prebooking</t>
      </is>
    </oc>
    <nc r="B11"/>
  </rcc>
  <rcc rId="2747" sId="19">
    <oc r="C11" t="inlineStr">
      <is>
        <t>Maria Rymarchuk</t>
      </is>
    </oc>
    <nc r="C11"/>
  </rcc>
  <rcc rId="2748" sId="19" numFmtId="19">
    <oc r="D11">
      <v>46164</v>
    </oc>
    <nc r="D11"/>
  </rcc>
  <rcc rId="2749" sId="19">
    <oc r="E11">
      <v>1</v>
    </oc>
    <nc r="E11"/>
  </rcc>
  <rcc rId="2750" sId="19">
    <oc r="H11" t="inlineStr">
      <is>
        <t>SALES ENT</t>
      </is>
    </oc>
    <nc r="H11"/>
  </rcc>
  <rcc rId="2751" sId="19">
    <oc r="I11" t="inlineStr">
      <is>
        <t>Susmita/Tarush</t>
      </is>
    </oc>
    <nc r="I11"/>
  </rcc>
  <rcc rId="2752" sId="19">
    <oc r="B12" t="inlineStr">
      <is>
        <t>Prebooking</t>
      </is>
    </oc>
    <nc r="B12"/>
  </rcc>
  <rcc rId="2753" sId="19">
    <oc r="C12" t="inlineStr">
      <is>
        <t>Dmitrii Netuzhilkin</t>
      </is>
    </oc>
    <nc r="C12"/>
  </rcc>
  <rcc rId="2754" sId="19" numFmtId="19">
    <oc r="D12">
      <v>46164</v>
    </oc>
    <nc r="D12"/>
  </rcc>
  <rcc rId="2755" sId="19">
    <oc r="E12">
      <v>1</v>
    </oc>
    <nc r="E12"/>
  </rcc>
  <rcc rId="2756" sId="19">
    <oc r="H12" t="inlineStr">
      <is>
        <t>SALES ENT</t>
      </is>
    </oc>
    <nc r="H12"/>
  </rcc>
  <rcc rId="2757" sId="19">
    <oc r="I12" t="inlineStr">
      <is>
        <t>Susmita/Tarush</t>
      </is>
    </oc>
    <nc r="I12"/>
  </rcc>
  <rcc rId="2758" sId="19">
    <oc r="B13" t="inlineStr">
      <is>
        <t>Prebooking</t>
      </is>
    </oc>
    <nc r="B13"/>
  </rcc>
  <rcc rId="2759" sId="19">
    <oc r="C13" t="inlineStr">
      <is>
        <t>Olga Ayazbaeva</t>
      </is>
    </oc>
    <nc r="C13"/>
  </rcc>
  <rcc rId="2760" sId="19" numFmtId="19">
    <oc r="D13">
      <v>46164</v>
    </oc>
    <nc r="D13"/>
  </rcc>
  <rcc rId="2761" sId="19">
    <oc r="E13">
      <v>1</v>
    </oc>
    <nc r="E13"/>
  </rcc>
  <rcc rId="2762" sId="19">
    <oc r="H13" t="inlineStr">
      <is>
        <t>SALES ENT</t>
      </is>
    </oc>
    <nc r="H13"/>
  </rcc>
  <rcc rId="2763" sId="19">
    <oc r="I13" t="inlineStr">
      <is>
        <t>Susmita/Tarush</t>
      </is>
    </oc>
    <nc r="I13"/>
  </rcc>
  <rcc rId="2764" sId="19">
    <oc r="B14" t="inlineStr">
      <is>
        <t>Prebooking</t>
      </is>
    </oc>
    <nc r="B14"/>
  </rcc>
  <rcc rId="2765" sId="19">
    <oc r="C14" t="inlineStr">
      <is>
        <t>Anastasia Savina</t>
      </is>
    </oc>
    <nc r="C14"/>
  </rcc>
  <rcc rId="2766" sId="19" numFmtId="19">
    <oc r="D14">
      <v>46164</v>
    </oc>
    <nc r="D14"/>
  </rcc>
  <rcc rId="2767" sId="19">
    <oc r="E14">
      <v>1</v>
    </oc>
    <nc r="E14"/>
  </rcc>
  <rcc rId="2768" sId="19">
    <oc r="H14" t="inlineStr">
      <is>
        <t>SALES ENT</t>
      </is>
    </oc>
    <nc r="H14"/>
  </rcc>
  <rcc rId="2769" sId="19">
    <oc r="I14" t="inlineStr">
      <is>
        <t>Susmita/Tarush</t>
      </is>
    </oc>
    <nc r="I14"/>
  </rcc>
  <rcc rId="2770" sId="19">
    <oc r="B15" t="inlineStr">
      <is>
        <t>Prebooking</t>
      </is>
    </oc>
    <nc r="B15"/>
  </rcc>
  <rcc rId="2771" sId="19">
    <oc r="C15" t="inlineStr">
      <is>
        <t>Ekaterina Dobromyslova</t>
      </is>
    </oc>
    <nc r="C15"/>
  </rcc>
  <rcc rId="2772" sId="19" numFmtId="19">
    <oc r="D15">
      <v>46164</v>
    </oc>
    <nc r="D15"/>
  </rcc>
  <rcc rId="2773" sId="19">
    <oc r="E15">
      <v>1</v>
    </oc>
    <nc r="E15"/>
  </rcc>
  <rcc rId="2774" sId="19">
    <oc r="H15" t="inlineStr">
      <is>
        <t>SALES ENT</t>
      </is>
    </oc>
    <nc r="H15"/>
  </rcc>
  <rcc rId="2775" sId="19">
    <oc r="I15" t="inlineStr">
      <is>
        <t>Susmita/Tarush</t>
      </is>
    </oc>
    <nc r="I15"/>
  </rcc>
  <rcc rId="2776" sId="19">
    <oc r="B16" t="inlineStr">
      <is>
        <t>Prebooking</t>
      </is>
    </oc>
    <nc r="B16"/>
  </rcc>
  <rcc rId="2777" sId="19">
    <oc r="C16" t="inlineStr">
      <is>
        <t>Igor Boriskin</t>
      </is>
    </oc>
    <nc r="C16"/>
  </rcc>
  <rcc rId="2778" sId="19" numFmtId="19">
    <oc r="D16">
      <v>46164</v>
    </oc>
    <nc r="D16"/>
  </rcc>
  <rcc rId="2779" sId="19">
    <oc r="E16">
      <v>1</v>
    </oc>
    <nc r="E16"/>
  </rcc>
  <rcc rId="2780" sId="19">
    <oc r="H16" t="inlineStr">
      <is>
        <t>SALES ENT</t>
      </is>
    </oc>
    <nc r="H16"/>
  </rcc>
  <rcc rId="2781" sId="19">
    <oc r="I16" t="inlineStr">
      <is>
        <t>Susmita/Tarush</t>
      </is>
    </oc>
    <nc r="I16"/>
  </rcc>
  <rcc rId="2782" sId="19">
    <oc r="B17" t="inlineStr">
      <is>
        <t>Prebooking</t>
      </is>
    </oc>
    <nc r="B17"/>
  </rcc>
  <rcc rId="2783" sId="19">
    <oc r="C17" t="inlineStr">
      <is>
        <t>Kristina Zaitseva</t>
      </is>
    </oc>
    <nc r="C17"/>
  </rcc>
  <rcc rId="2784" sId="19" numFmtId="19">
    <oc r="D17">
      <v>46164</v>
    </oc>
    <nc r="D17"/>
  </rcc>
  <rcc rId="2785" sId="19">
    <oc r="E17">
      <v>1</v>
    </oc>
    <nc r="E17"/>
  </rcc>
  <rcc rId="2786" sId="19">
    <oc r="H17" t="inlineStr">
      <is>
        <t>SALES ENT</t>
      </is>
    </oc>
    <nc r="H17"/>
  </rcc>
  <rcc rId="2787" sId="19">
    <oc r="I17" t="inlineStr">
      <is>
        <t>Susmita/Tarush</t>
      </is>
    </oc>
    <nc r="I17"/>
  </rcc>
</revisions>
</file>

<file path=xl/revisions/revisionLog3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88" sId="12">
    <nc r="B26">
      <v>630</v>
    </nc>
  </rcc>
  <rcc rId="2789" sId="12">
    <nc r="E26">
      <v>2</v>
    </nc>
  </rcc>
  <rfmt sheetId="12" sqref="I26" start="0" length="0">
    <dxf>
      <alignment horizontal="center" readingOrder="0"/>
    </dxf>
  </rfmt>
  <rcc rId="2790" sId="12">
    <nc r="I26" t="inlineStr">
      <is>
        <t>Win/Faiha</t>
      </is>
    </nc>
  </rcc>
</revisions>
</file>

<file path=xl/revisions/revisionLog3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91" sId="12">
    <oc r="E27">
      <f>SUM(E17:E26)</f>
    </oc>
    <nc r="E27">
      <f>SUM(E7:E26)</f>
    </nc>
  </rcc>
  <rcc rId="2792" sId="12">
    <oc r="F27">
      <f>SUM(F17:F26)</f>
    </oc>
    <nc r="F27">
      <f>SUM(F7:F26)</f>
    </nc>
  </rcc>
  <rfmt sheetId="12" sqref="B25" start="0" length="0">
    <dxf>
      <alignment vertical="top" readingOrder="0"/>
      <border outline="0">
        <top/>
      </border>
    </dxf>
  </rfmt>
  <rcc rId="2793" sId="12" odxf="1" dxf="1">
    <nc r="C25" t="inlineStr">
      <is>
        <t>Eugene Au</t>
      </is>
    </nc>
    <odxf>
      <alignment vertical="center" readingOrder="0"/>
      <border outline="0">
        <top style="thin">
          <color indexed="64"/>
        </top>
      </border>
    </odxf>
    <ndxf>
      <alignment vertical="top" readingOrder="0"/>
      <border outline="0">
        <top/>
      </border>
    </ndxf>
  </rcc>
  <rcc rId="2794" sId="12" odxf="1" dxf="1" numFmtId="19">
    <nc r="D25">
      <v>46157</v>
    </nc>
    <odxf>
      <alignment vertical="center" readingOrder="0"/>
      <border outline="0">
        <top style="thin">
          <color indexed="64"/>
        </top>
      </border>
    </odxf>
    <ndxf>
      <alignment vertical="top" readingOrder="0"/>
      <border outline="0">
        <top/>
      </border>
    </ndxf>
  </rcc>
  <rfmt sheetId="12" sqref="E25" start="0" length="0">
    <dxf>
      <alignment vertical="top" readingOrder="0"/>
      <border outline="0">
        <top/>
      </border>
    </dxf>
  </rfmt>
  <rcc rId="2795" sId="12">
    <nc r="C26" t="inlineStr">
      <is>
        <t>Yinuo Shi</t>
      </is>
    </nc>
  </rcc>
  <rcc rId="2796" sId="12" numFmtId="19">
    <nc r="D26">
      <v>46154</v>
    </nc>
  </rcc>
</revisions>
</file>

<file path=xl/revisions/revisionLog3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97" sId="12">
    <oc r="C15" t="inlineStr">
      <is>
        <t>Hui Zhi</t>
      </is>
    </oc>
    <nc r="C15" t="inlineStr">
      <is>
        <t>Shuaicheng Niu</t>
      </is>
    </nc>
  </rcc>
  <rcc rId="2798" sId="12">
    <oc r="E15" t="inlineStr">
      <is>
        <t>pp2</t>
      </is>
    </oc>
    <nc r="E15">
      <v>2</v>
    </nc>
  </rcc>
  <rcc rId="2799" sId="12">
    <oc r="I15" t="inlineStr">
      <is>
        <t>Win/Faiha</t>
      </is>
    </oc>
    <nc r="I15" t="inlineStr">
      <is>
        <t>Win/Maaji</t>
      </is>
    </nc>
  </rcc>
  <rcc rId="2800" sId="12" odxf="1" dxf="1">
    <oc r="C16" t="inlineStr">
      <is>
        <t>Shuaicheng Niu</t>
      </is>
    </oc>
    <nc r="C16" t="inlineStr">
      <is>
        <t>Yinuo Shi</t>
      </is>
    </nc>
    <odxf>
      <alignment horizontal="center" readingOrder="0"/>
    </odxf>
    <ndxf>
      <alignment horizontal="left" readingOrder="0"/>
    </ndxf>
  </rcc>
  <rfmt sheetId="12" sqref="H16" start="0" length="0">
    <dxf>
      <alignment horizontal="left" readingOrder="0"/>
    </dxf>
  </rfmt>
  <rcc rId="2801" sId="12">
    <oc r="I16" t="inlineStr">
      <is>
        <t>Win/Maaji</t>
      </is>
    </oc>
    <nc r="I16" t="inlineStr">
      <is>
        <t>Win/Faiha</t>
      </is>
    </nc>
  </rcc>
  <rcc rId="2802" sId="12" odxf="1" dxf="1">
    <oc r="B26">
      <v>630</v>
    </oc>
    <nc r="B26">
      <v>648</v>
    </nc>
    <odxf>
      <alignment vertical="center" readingOrder="0"/>
    </odxf>
    <ndxf>
      <alignment vertical="top" readingOrder="0"/>
    </ndxf>
  </rcc>
  <rcc rId="2803" sId="12" odxf="1" dxf="1">
    <oc r="C26" t="inlineStr">
      <is>
        <t>Yinuo Shi</t>
      </is>
    </oc>
    <nc r="C26" t="inlineStr">
      <is>
        <t>ZHANG/YUANWEN MS</t>
      </is>
    </nc>
    <odxf>
      <alignment horizontal="left" vertical="center" readingOrder="0"/>
    </odxf>
    <ndxf>
      <alignment horizontal="center" vertical="top" readingOrder="0"/>
    </ndxf>
  </rcc>
  <rcc rId="2804" sId="12" odxf="1" dxf="1" numFmtId="19">
    <oc r="D26">
      <v>46154</v>
    </oc>
    <nc r="D26">
      <v>46157</v>
    </nc>
    <odxf>
      <alignment vertical="center" readingOrder="0"/>
    </odxf>
    <ndxf>
      <alignment vertical="top" readingOrder="0"/>
    </ndxf>
  </rcc>
  <rfmt sheetId="12" sqref="E26" start="0" length="0">
    <dxf>
      <alignment vertical="top" readingOrder="0"/>
    </dxf>
  </rfmt>
  <rfmt sheetId="12" sqref="F26" start="0" length="0">
    <dxf>
      <alignment vertical="top" readingOrder="0"/>
    </dxf>
  </rfmt>
  <rfmt sheetId="12" sqref="G26" start="0" length="0">
    <dxf>
      <alignment vertical="top" readingOrder="0"/>
    </dxf>
  </rfmt>
  <rcc rId="2805" sId="12" odxf="1" dxf="1">
    <nc r="H26" t="inlineStr">
      <is>
        <t>3085432, 3085433</t>
      </is>
    </nc>
    <odxf>
      <alignment horizontal="left" vertical="center" readingOrder="0"/>
    </odxf>
    <ndxf>
      <alignment horizontal="center" vertical="top" readingOrder="0"/>
    </ndxf>
  </rcc>
  <rcc rId="2806" sId="12" odxf="1" dxf="1">
    <oc r="I26" t="inlineStr">
      <is>
        <t>Win/Faiha</t>
      </is>
    </oc>
    <nc r="I26" t="inlineStr">
      <is>
        <t>Sharamth/Faiha</t>
      </is>
    </nc>
    <odxf>
      <alignment vertical="center" readingOrder="0"/>
    </odxf>
    <ndxf>
      <alignment vertical="top" readingOrder="0"/>
    </ndxf>
  </rcc>
  <rcc rId="2807" sId="12" odxf="1" dxf="1">
    <oc r="B10" t="inlineStr">
      <is>
        <t>Prebooking</t>
      </is>
    </oc>
    <nc r="B10">
      <v>649</v>
    </nc>
    <ndxf>
      <alignment vertical="center" readingOrder="0"/>
    </ndxf>
  </rcc>
  <rcc rId="2808" sId="12" odxf="1" dxf="1">
    <oc r="C10" t="inlineStr">
      <is>
        <t>ZHANG/YUANWEN MS</t>
      </is>
    </oc>
    <nc r="C10" t="inlineStr">
      <is>
        <t>Xiaoyu Xing</t>
      </is>
    </nc>
    <odxf>
      <alignment horizontal="center" vertical="top" readingOrder="0"/>
    </odxf>
    <ndxf>
      <alignment horizontal="left" vertical="center" readingOrder="0"/>
    </ndxf>
  </rcc>
  <rcc rId="2809" sId="12" odxf="1" dxf="1" numFmtId="19">
    <oc r="D10">
      <v>46157</v>
    </oc>
    <nc r="D10">
      <v>46155</v>
    </nc>
    <odxf>
      <alignment vertical="top" readingOrder="0"/>
    </odxf>
    <ndxf>
      <alignment vertical="center" readingOrder="0"/>
    </ndxf>
  </rcc>
  <rcc rId="2810" sId="12" odxf="1" dxf="1">
    <oc r="E10">
      <v>2</v>
    </oc>
    <nc r="E10">
      <v>3</v>
    </nc>
    <odxf>
      <alignment vertical="top" readingOrder="0"/>
    </odxf>
    <ndxf>
      <alignment vertical="center" readingOrder="0"/>
    </ndxf>
  </rcc>
  <rfmt sheetId="12" sqref="F10" start="0" length="0">
    <dxf>
      <alignment vertical="center" readingOrder="0"/>
    </dxf>
  </rfmt>
  <rfmt sheetId="12" sqref="G10" start="0" length="0">
    <dxf>
      <alignment vertical="center" readingOrder="0"/>
    </dxf>
  </rfmt>
  <rcc rId="2811" sId="12" odxf="1" dxf="1">
    <oc r="H10" t="inlineStr">
      <is>
        <t>3085432, 3085433</t>
      </is>
    </oc>
    <nc r="H10"/>
    <odxf>
      <alignment horizontal="center" vertical="top" readingOrder="0"/>
    </odxf>
    <ndxf>
      <alignment horizontal="left" vertical="center" readingOrder="0"/>
    </ndxf>
  </rcc>
  <rcc rId="2812" sId="12" odxf="1" dxf="1">
    <oc r="I10" t="inlineStr">
      <is>
        <t>Sharamth/Faiha</t>
      </is>
    </oc>
    <nc r="I10" t="inlineStr">
      <is>
        <t>Win/Faiha</t>
      </is>
    </nc>
    <odxf>
      <alignment vertical="top" readingOrder="0"/>
    </odxf>
    <ndxf>
      <alignment vertical="center" readingOrder="0"/>
    </ndxf>
  </rcc>
  <rcc rId="2813" sId="12" odxf="1" dxf="1">
    <oc r="B21">
      <v>649</v>
    </oc>
    <nc r="B21">
      <v>801</v>
    </nc>
    <odxf>
      <alignment vertical="center" readingOrder="0"/>
    </odxf>
    <ndxf>
      <alignment vertical="top" readingOrder="0"/>
    </ndxf>
  </rcc>
  <rcc rId="2814" sId="12" odxf="1" dxf="1">
    <oc r="C21" t="inlineStr">
      <is>
        <t>Xiaoyu Xing</t>
      </is>
    </oc>
    <nc r="C21" t="inlineStr">
      <is>
        <t xml:space="preserve">MS.XIE/YUJUAN </t>
      </is>
    </nc>
    <odxf>
      <font>
        <sz val="14"/>
      </font>
      <fill>
        <patternFill patternType="solid">
          <bgColor theme="0"/>
        </patternFill>
      </fill>
      <alignment horizontal="left" readingOrder="0"/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justify" readingOrder="0"/>
    </ndxf>
  </rcc>
  <rcc rId="2815" sId="12" odxf="1" dxf="1" numFmtId="19">
    <oc r="D21">
      <v>46155</v>
    </oc>
    <nc r="D21">
      <v>46156</v>
    </nc>
    <odxf>
      <alignment vertical="center" readingOrder="0"/>
    </odxf>
    <ndxf>
      <alignment vertical="top" readingOrder="0"/>
    </ndxf>
  </rcc>
  <rcc rId="2816" sId="12" odxf="1" dxf="1">
    <oc r="E21">
      <v>3</v>
    </oc>
    <nc r="E21">
      <v>2</v>
    </nc>
    <odxf>
      <alignment vertical="center" readingOrder="0"/>
    </odxf>
    <ndxf>
      <alignment vertical="top" readingOrder="0"/>
    </ndxf>
  </rcc>
  <rfmt sheetId="12" sqref="F21" start="0" length="0">
    <dxf>
      <alignment vertical="top" readingOrder="0"/>
    </dxf>
  </rfmt>
  <rfmt sheetId="12" sqref="G21" start="0" length="0">
    <dxf>
      <alignment vertical="top" readingOrder="0"/>
    </dxf>
  </rfmt>
  <rfmt sheetId="12" sqref="H21" start="0" length="0">
    <dxf>
      <font>
        <b/>
        <i/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general" vertical="bottom" readingOrder="0"/>
    </dxf>
  </rfmt>
  <rcc rId="2817" sId="12" odxf="1" dxf="1">
    <oc r="I21" t="inlineStr">
      <is>
        <t>Win/Faiha</t>
      </is>
    </oc>
    <nc r="I21" t="inlineStr">
      <is>
        <t>Shamrath/Tarush</t>
      </is>
    </nc>
    <odxf>
      <alignment vertical="center" readingOrder="0"/>
    </odxf>
    <ndxf>
      <alignment vertical="top" readingOrder="0"/>
    </ndxf>
  </rcc>
  <rfmt sheetId="12" sqref="B8" start="0" length="0">
    <dxf>
      <alignment vertical="center" readingOrder="0"/>
    </dxf>
  </rfmt>
  <rcc rId="2818" sId="12" odxf="1" dxf="1">
    <oc r="C8" t="inlineStr">
      <is>
        <t xml:space="preserve">MS.XIE/YUJUAN </t>
      </is>
    </oc>
    <nc r="C8" t="inlineStr">
      <is>
        <t>Yunqian Cheng</t>
      </is>
    </nc>
    <odxf>
      <font>
        <color rgb="FF4F3629"/>
        <name val="Arial"/>
        <scheme val="none"/>
      </font>
      <fill>
        <patternFill patternType="none">
          <bgColor indexed="65"/>
        </patternFill>
      </fill>
      <alignment horizontal="justify" readingOrder="0"/>
    </odxf>
    <ndxf>
      <font>
        <sz val="14"/>
        <color rgb="FF4F3629"/>
        <name val="Arial"/>
        <scheme val="minor"/>
      </font>
      <fill>
        <patternFill patternType="solid">
          <bgColor theme="0"/>
        </patternFill>
      </fill>
      <alignment horizontal="center" readingOrder="0"/>
    </ndxf>
  </rcc>
  <rcc rId="2819" sId="12" odxf="1" dxf="1" numFmtId="19">
    <oc r="D8">
      <v>46156</v>
    </oc>
    <nc r="D8">
      <v>46154</v>
    </nc>
    <odxf>
      <alignment vertical="top" readingOrder="0"/>
    </odxf>
    <ndxf>
      <alignment vertical="center" readingOrder="0"/>
    </ndxf>
  </rcc>
  <rfmt sheetId="12" sqref="E8" start="0" length="0">
    <dxf>
      <alignment vertical="center" readingOrder="0"/>
    </dxf>
  </rfmt>
  <rfmt sheetId="12" sqref="F8" start="0" length="0">
    <dxf>
      <alignment vertical="center" readingOrder="0"/>
    </dxf>
  </rfmt>
  <rfmt sheetId="12" sqref="G8" start="0" length="0">
    <dxf>
      <alignment vertical="center" readingOrder="0"/>
    </dxf>
  </rfmt>
  <rcc rId="2820" sId="12" odxf="1" dxf="1">
    <oc r="H8" t="inlineStr">
      <is>
        <t>3271930,3271931-TRMD</t>
      </is>
    </oc>
    <nc r="H8"/>
    <odxf>
      <font>
        <b/>
        <i/>
        <color rgb="FF4F3629"/>
        <name val="Arial"/>
        <scheme val="none"/>
      </font>
      <fill>
        <patternFill patternType="none">
          <bgColor indexed="65"/>
        </patternFill>
      </fill>
      <alignment horizontal="general" vertical="bottom" readingOrder="0"/>
    </odxf>
    <ndxf>
      <font>
        <b val="0"/>
        <i val="0"/>
        <sz val="14"/>
        <color rgb="FF4F3629"/>
        <name val="Arial"/>
        <scheme val="minor"/>
      </font>
      <fill>
        <patternFill patternType="solid">
          <bgColor theme="0"/>
        </patternFill>
      </fill>
      <alignment horizontal="center" vertical="center" readingOrder="0"/>
    </ndxf>
  </rcc>
  <rcc rId="2821" sId="12" odxf="1" dxf="1">
    <oc r="I8" t="inlineStr">
      <is>
        <t>Shamrath/Tarush</t>
      </is>
    </oc>
    <nc r="I8" t="inlineStr">
      <is>
        <t>Win/Faiha</t>
      </is>
    </nc>
    <odxf>
      <alignment vertical="top" readingOrder="0"/>
    </odxf>
    <ndxf>
      <alignment vertical="center" readingOrder="0"/>
    </ndxf>
  </rcc>
  <rcc rId="2822" sId="12" odxf="1" dxf="1">
    <oc r="B17">
      <v>802</v>
    </oc>
    <nc r="B17">
      <v>811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2823" sId="12">
    <oc r="C17" t="inlineStr">
      <is>
        <t>Yunqian Cheng</t>
      </is>
    </oc>
    <nc r="C17" t="inlineStr">
      <is>
        <t>Finian Odriscoll</t>
      </is>
    </nc>
  </rcc>
  <rcc rId="2824" sId="12" numFmtId="19">
    <oc r="D17">
      <v>46154</v>
    </oc>
    <nc r="D17">
      <v>46157</v>
    </nc>
  </rcc>
  <rcc rId="2825" sId="12" odxf="1" dxf="1">
    <nc r="H17" t="inlineStr">
      <is>
        <t>SAI</t>
      </is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2826" sId="12">
    <oc r="I17" t="inlineStr">
      <is>
        <t>Win/Faiha</t>
      </is>
    </oc>
    <nc r="I17" t="inlineStr">
      <is>
        <t>Faiha</t>
      </is>
    </nc>
  </rcc>
  <rcc rId="2827" sId="12" odxf="1" dxf="1">
    <oc r="B12">
      <v>811</v>
    </oc>
    <nc r="B12">
      <v>843</v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2828" sId="12">
    <oc r="C12" t="inlineStr">
      <is>
        <t>Finian Odriscoll</t>
      </is>
    </oc>
    <nc r="C12" t="inlineStr">
      <is>
        <t>Shang Lee</t>
      </is>
    </nc>
  </rcc>
  <rcc rId="2829" sId="12" numFmtId="19">
    <oc r="D12">
      <v>46157</v>
    </oc>
    <nc r="D12">
      <v>46155</v>
    </nc>
  </rcc>
  <rcc rId="2830" sId="12" odxf="1" dxf="1">
    <oc r="H12" t="inlineStr">
      <is>
        <t>SAI</t>
      </is>
    </oc>
    <nc r="H12"/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2831" sId="12">
    <oc r="I12" t="inlineStr">
      <is>
        <t>Faiha</t>
      </is>
    </oc>
    <nc r="I12" t="inlineStr">
      <is>
        <t>Tarush</t>
      </is>
    </nc>
  </rcc>
  <rcc rId="2832" sId="12" odxf="1" dxf="1">
    <oc r="B18">
      <v>843</v>
    </oc>
    <nc r="B18">
      <v>850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2833" sId="12">
    <oc r="C18" t="inlineStr">
      <is>
        <t>Shang Lee</t>
      </is>
    </oc>
    <nc r="C18" t="inlineStr">
      <is>
        <t>Hessko Khelo</t>
      </is>
    </nc>
  </rcc>
  <rcc rId="2834" sId="12" numFmtId="19">
    <oc r="D18">
      <v>46155</v>
    </oc>
    <nc r="D18">
      <v>46158</v>
    </nc>
  </rcc>
  <rcc rId="2835" sId="12" odxf="1" dxf="1">
    <nc r="H18" t="inlineStr">
      <is>
        <t>SAI</t>
      </is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2836" sId="12">
    <oc r="I18" t="inlineStr">
      <is>
        <t>Tarush</t>
      </is>
    </oc>
    <nc r="I18" t="inlineStr">
      <is>
        <t>Faiha</t>
      </is>
    </nc>
  </rcc>
  <rcc rId="2837" sId="12" odxf="1" dxf="1">
    <oc r="B23">
      <v>850</v>
    </oc>
    <nc r="B23">
      <v>863</v>
    </nc>
    <odxf>
      <fill>
        <patternFill>
          <bgColor rgb="FFFFFF00"/>
        </patternFill>
      </fill>
      <alignment vertical="center" readingOrder="0"/>
    </odxf>
    <ndxf>
      <fill>
        <patternFill>
          <bgColor theme="0"/>
        </patternFill>
      </fill>
      <alignment vertical="top" readingOrder="0"/>
    </ndxf>
  </rcc>
  <rcc rId="2838" sId="12" odxf="1" dxf="1">
    <oc r="C23" t="inlineStr">
      <is>
        <t>Hessko Khelo</t>
      </is>
    </oc>
    <nc r="C23" t="inlineStr">
      <is>
        <t>MS.YUAN/CHENGHUI</t>
      </is>
    </nc>
    <odxf>
      <alignment vertical="center" readingOrder="0"/>
    </odxf>
    <ndxf>
      <alignment vertical="top" readingOrder="0"/>
    </ndxf>
  </rcc>
  <rcc rId="2839" sId="12" odxf="1" dxf="1" numFmtId="19">
    <oc r="D23">
      <v>46158</v>
    </oc>
    <nc r="D23">
      <v>46154</v>
    </nc>
    <odxf>
      <alignment vertical="center" readingOrder="0"/>
    </odxf>
    <ndxf>
      <alignment vertical="top" readingOrder="0"/>
    </ndxf>
  </rcc>
  <rfmt sheetId="12" sqref="E23" start="0" length="0">
    <dxf>
      <alignment vertical="top" readingOrder="0"/>
    </dxf>
  </rfmt>
  <rfmt sheetId="12" sqref="F23" start="0" length="0">
    <dxf>
      <alignment vertical="top" readingOrder="0"/>
    </dxf>
  </rfmt>
  <rfmt sheetId="12" sqref="G23" start="0" length="0">
    <dxf>
      <alignment vertical="top" readingOrder="0"/>
    </dxf>
  </rfmt>
  <rcc rId="2840" sId="12" odxf="1" dxf="1">
    <oc r="H23" t="inlineStr">
      <is>
        <t>SAI</t>
      </is>
    </oc>
    <nc r="H23" t="inlineStr">
      <is>
        <t>3330927, 3330928</t>
      </is>
    </nc>
    <odxf>
      <fill>
        <patternFill>
          <bgColor rgb="FFFFFF00"/>
        </patternFill>
      </fill>
      <alignment vertical="center" readingOrder="0"/>
    </odxf>
    <ndxf>
      <fill>
        <patternFill>
          <bgColor theme="0"/>
        </patternFill>
      </fill>
      <alignment vertical="top" readingOrder="0"/>
    </ndxf>
  </rcc>
  <rcc rId="2841" sId="12" odxf="1" dxf="1">
    <oc r="I23" t="inlineStr">
      <is>
        <t>Faiha</t>
      </is>
    </oc>
    <nc r="I23" t="inlineStr">
      <is>
        <t>Sharamth/Faiha</t>
      </is>
    </nc>
    <odxf>
      <alignment vertical="center" readingOrder="0"/>
    </odxf>
    <ndxf>
      <alignment vertical="top" readingOrder="0"/>
    </ndxf>
  </rcc>
  <rcc rId="2842" sId="12" odxf="1" dxf="1">
    <oc r="B9" t="inlineStr">
      <is>
        <t>Prebooking</t>
      </is>
    </oc>
    <nc r="B9">
      <v>868</v>
    </nc>
    <ndxf>
      <fill>
        <patternFill>
          <bgColor rgb="FF92D050"/>
        </patternFill>
      </fill>
      <alignment vertical="center" readingOrder="0"/>
    </ndxf>
  </rcc>
  <rcc rId="2843" sId="12" odxf="1" dxf="1">
    <oc r="C9" t="inlineStr">
      <is>
        <t>MS.YUAN/CHENGHUI</t>
      </is>
    </oc>
    <nc r="C9" t="inlineStr">
      <is>
        <t>Natsuki Maki</t>
      </is>
    </nc>
    <odxf>
      <alignment vertical="top" readingOrder="0"/>
    </odxf>
    <ndxf>
      <alignment vertical="center" readingOrder="0"/>
    </ndxf>
  </rcc>
  <rfmt sheetId="12" sqref="D9" start="0" length="0">
    <dxf>
      <alignment vertical="center" readingOrder="0"/>
    </dxf>
  </rfmt>
  <rfmt sheetId="12" sqref="E9" start="0" length="0">
    <dxf>
      <alignment vertical="center" readingOrder="0"/>
    </dxf>
  </rfmt>
  <rfmt sheetId="12" sqref="F9" start="0" length="0">
    <dxf>
      <alignment vertical="center" readingOrder="0"/>
    </dxf>
  </rfmt>
  <rfmt sheetId="12" sqref="G9" start="0" length="0">
    <dxf>
      <alignment vertical="center" readingOrder="0"/>
    </dxf>
  </rfmt>
  <rcc rId="2844" sId="12" odxf="1" dxf="1">
    <oc r="H9" t="inlineStr">
      <is>
        <t>3330927, 3330928</t>
      </is>
    </oc>
    <nc r="H9" t="inlineStr">
      <is>
        <t>ALLOCATION</t>
      </is>
    </nc>
    <odxf>
      <fill>
        <patternFill>
          <bgColor theme="0"/>
        </patternFill>
      </fill>
      <alignment vertical="top" readingOrder="0"/>
    </odxf>
    <ndxf>
      <fill>
        <patternFill>
          <bgColor rgb="FF92D050"/>
        </patternFill>
      </fill>
      <alignment vertical="center" readingOrder="0"/>
    </ndxf>
  </rcc>
  <rcc rId="2845" sId="12" odxf="1" dxf="1">
    <oc r="I9" t="inlineStr">
      <is>
        <t>Sharamth/Faiha</t>
      </is>
    </oc>
    <nc r="I9" t="inlineStr">
      <is>
        <t>Leyla/Faiha</t>
      </is>
    </nc>
    <odxf>
      <alignment vertical="top" readingOrder="0"/>
    </odxf>
    <ndxf>
      <alignment vertical="center" readingOrder="0"/>
    </ndxf>
  </rcc>
  <rcc rId="2846" sId="12" odxf="1" dxf="1">
    <oc r="B20">
      <v>868</v>
    </oc>
    <nc r="B20">
      <v>869</v>
    </nc>
    <odxf>
      <fill>
        <patternFill>
          <bgColor rgb="FF92D050"/>
        </patternFill>
      </fill>
      <alignment vertical="center" readingOrder="0"/>
    </odxf>
    <ndxf>
      <fill>
        <patternFill>
          <bgColor theme="0"/>
        </patternFill>
      </fill>
      <alignment vertical="top" readingOrder="0"/>
    </ndxf>
  </rcc>
  <rcc rId="2847" sId="12" odxf="1" dxf="1">
    <oc r="C20" t="inlineStr">
      <is>
        <t>Natsuki Maki</t>
      </is>
    </oc>
    <nc r="C20" t="inlineStr">
      <is>
        <t>Eugene Au</t>
      </is>
    </nc>
    <odxf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 vertical="top" readingOrder="0"/>
      <border outline="0">
        <left/>
        <right/>
        <top/>
        <bottom/>
      </border>
    </ndxf>
  </rcc>
  <rcc rId="2848" sId="12" odxf="1" dxf="1" numFmtId="19">
    <oc r="D20">
      <v>46154</v>
    </oc>
    <nc r="D20">
      <v>46157</v>
    </nc>
    <odxf>
      <alignment vertical="center" readingOrder="0"/>
    </odxf>
    <ndxf>
      <alignment vertical="top" readingOrder="0"/>
    </ndxf>
  </rcc>
  <rfmt sheetId="12" sqref="E20" start="0" length="0">
    <dxf>
      <alignment vertical="top" readingOrder="0"/>
    </dxf>
  </rfmt>
  <rcc rId="2849" sId="12" odxf="1" dxf="1">
    <oc r="H20" t="inlineStr">
      <is>
        <t>ALLOCATION</t>
      </is>
    </oc>
    <nc r="H20"/>
    <odxf>
      <fill>
        <patternFill>
          <bgColor rgb="FF92D050"/>
        </patternFill>
      </fill>
      <alignment horizontal="center" readingOrder="0"/>
    </odxf>
    <ndxf>
      <fill>
        <patternFill>
          <bgColor theme="0"/>
        </patternFill>
      </fill>
      <alignment horizontal="left" readingOrder="0"/>
    </ndxf>
  </rcc>
  <rcc rId="2850" sId="12" odxf="1" dxf="1">
    <oc r="I20" t="inlineStr">
      <is>
        <t>Leyla/Faiha</t>
      </is>
    </oc>
    <nc r="I20" t="inlineStr">
      <is>
        <t>Faiha</t>
      </is>
    </nc>
    <odxf>
      <alignment horizontal="center" readingOrder="0"/>
    </odxf>
    <ndxf>
      <alignment horizontal="left" readingOrder="0"/>
    </ndxf>
  </rcc>
  <rcc rId="2851" sId="12" odxf="1" dxf="1">
    <oc r="B25">
      <v>869</v>
    </oc>
    <nc r="B25">
      <v>877</v>
    </nc>
    <odxf>
      <alignment vertical="top" readingOrder="0"/>
    </odxf>
    <ndxf>
      <alignment vertical="center" readingOrder="0"/>
    </ndxf>
  </rcc>
  <rcc rId="2852" sId="12" odxf="1" dxf="1">
    <oc r="C25" t="inlineStr">
      <is>
        <t>Eugene Au</t>
      </is>
    </oc>
    <nc r="C25" t="inlineStr">
      <is>
        <t>Alexandre Arnaud Banse</t>
      </is>
    </nc>
    <odxf>
      <alignment vertical="top" readingOrder="0"/>
      <border outline="0">
        <left/>
        <right/>
        <top/>
        <bottom/>
      </border>
    </odxf>
    <n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3" sId="12" odxf="1" dxf="1" numFmtId="19">
    <oc r="D25">
      <v>46157</v>
    </oc>
    <nc r="D25">
      <v>46156</v>
    </nc>
    <odxf>
      <alignment vertical="top" readingOrder="0"/>
    </odxf>
    <ndxf>
      <alignment vertical="center" readingOrder="0"/>
    </ndxf>
  </rcc>
  <rfmt sheetId="12" sqref="E25" start="0" length="0">
    <dxf>
      <alignment vertical="center" readingOrder="0"/>
    </dxf>
  </rfmt>
  <rcc rId="2854" sId="12" odxf="1" dxf="1">
    <oc r="B24">
      <v>877</v>
    </oc>
    <nc r="B24">
      <v>880</v>
    </nc>
    <odxf>
      <border outline="0">
        <top style="thin">
          <color indexed="64"/>
        </top>
      </border>
    </odxf>
    <ndxf>
      <border outline="0">
        <top/>
      </border>
    </ndxf>
  </rcc>
  <rcc rId="2855" sId="12" odxf="1" dxf="1">
    <oc r="C24" t="inlineStr">
      <is>
        <t>Alexandre Arnaud Banse</t>
      </is>
    </oc>
    <nc r="C24" t="inlineStr">
      <is>
        <t>Shunya Kajigaya</t>
      </is>
    </nc>
    <odxf>
      <alignment horizontal="left" readingOrder="0"/>
      <border outline="0">
        <top style="thin">
          <color indexed="64"/>
        </top>
      </border>
    </odxf>
    <ndxf>
      <alignment horizontal="center" readingOrder="0"/>
      <border outline="0">
        <top/>
      </border>
    </ndxf>
  </rcc>
  <rfmt sheetId="12" sqref="D24" start="0" length="0">
    <dxf>
      <border outline="0">
        <top/>
      </border>
    </dxf>
  </rfmt>
  <rfmt sheetId="12" sqref="E24" start="0" length="0">
    <dxf>
      <border outline="0">
        <top/>
      </border>
    </dxf>
  </rfmt>
  <rfmt sheetId="12" sqref="H24" start="0" length="0">
    <dxf>
      <alignment horizontal="center" readingOrder="0"/>
    </dxf>
  </rfmt>
  <rfmt sheetId="12" sqref="I24" start="0" length="0">
    <dxf>
      <alignment horizontal="center" readingOrder="0"/>
    </dxf>
  </rfmt>
  <rfmt sheetId="12" sqref="B19" start="0" length="0">
    <dxf>
      <alignment vertical="top" readingOrder="0"/>
      <border outline="0">
        <top style="thin">
          <color indexed="64"/>
        </top>
      </border>
    </dxf>
  </rfmt>
  <rcc rId="2856" sId="12" odxf="1" s="1" dxf="1">
    <oc r="C19" t="inlineStr">
      <is>
        <t>Shunya Kajigaya</t>
      </is>
    </oc>
    <nc r="C19" t="inlineStr">
      <is>
        <t xml:space="preserve">MS.GU/YUEYI 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odxf>
    <ndxf>
      <font>
        <u/>
        <sz val="11"/>
        <color theme="10"/>
        <name val="Calibri"/>
        <scheme val="minor"/>
      </font>
      <fill>
        <patternFill patternType="none">
          <bgColor indexed="65"/>
        </patternFill>
      </fill>
      <alignment horizontal="justify" readingOrder="0"/>
      <border outline="0">
        <top style="thin">
          <color indexed="64"/>
        </top>
      </border>
    </ndxf>
  </rcc>
  <rfmt sheetId="12" sqref="D19" start="0" length="0">
    <dxf>
      <alignment vertical="top" readingOrder="0"/>
      <border outline="0">
        <top style="thin">
          <color indexed="64"/>
        </top>
      </border>
    </dxf>
  </rfmt>
  <rcc rId="2857" sId="12" odxf="1" dxf="1">
    <oc r="E19">
      <v>2</v>
    </oc>
    <nc r="E19">
      <v>3</v>
    </nc>
    <odxf>
      <alignment vertical="center" readingOrder="0"/>
      <border outline="0">
        <top/>
      </border>
    </odxf>
    <ndxf>
      <alignment vertical="top" readingOrder="0"/>
      <border outline="0">
        <top style="thin">
          <color indexed="64"/>
        </top>
      </border>
    </ndxf>
  </rcc>
  <rfmt sheetId="12" sqref="F19" start="0" length="0">
    <dxf>
      <alignment vertical="top" readingOrder="0"/>
    </dxf>
  </rfmt>
  <rfmt sheetId="12" sqref="G19" start="0" length="0">
    <dxf>
      <alignment vertical="top" readingOrder="0"/>
    </dxf>
  </rfmt>
  <rfmt sheetId="12" sqref="H19" start="0" length="0">
    <dxf>
      <font>
        <b/>
        <i/>
        <sz val="14"/>
        <color rgb="FF4F3629"/>
        <name val="Arial"/>
        <scheme val="none"/>
      </font>
      <numFmt numFmtId="3" formatCode="#,##0"/>
      <fill>
        <patternFill patternType="none">
          <bgColor indexed="65"/>
        </patternFill>
      </fill>
    </dxf>
  </rfmt>
  <rcc rId="2858" sId="12" odxf="1" dxf="1">
    <oc r="I19" t="inlineStr">
      <is>
        <t>Faiha</t>
      </is>
    </oc>
    <nc r="I19" t="inlineStr">
      <is>
        <t>Shamrath/Tarush</t>
      </is>
    </nc>
    <odxf>
      <alignment vertical="center" readingOrder="0"/>
    </odxf>
    <ndxf>
      <alignment vertical="top" readingOrder="0"/>
    </ndxf>
  </rcc>
  <rcc rId="2859" sId="12">
    <oc r="B7" t="inlineStr">
      <is>
        <t>Prebooking</t>
      </is>
    </oc>
    <nc r="B7"/>
  </rcc>
  <rcc rId="2860" sId="12">
    <oc r="C7" t="inlineStr">
      <is>
        <t xml:space="preserve">MS.GU/YUEYI </t>
      </is>
    </oc>
    <nc r="C7"/>
  </rcc>
  <rcc rId="2861" sId="12" numFmtId="19">
    <oc r="D7">
      <v>46156</v>
    </oc>
    <nc r="D7"/>
  </rcc>
  <rcc rId="2862" sId="12">
    <oc r="E7">
      <v>3</v>
    </oc>
    <nc r="E7"/>
  </rcc>
  <rcc rId="2863" sId="12" numFmtId="4">
    <oc r="H7">
      <v>32719283271929</v>
    </oc>
    <nc r="H7"/>
  </rcc>
  <rcc rId="2864" sId="12">
    <oc r="I7" t="inlineStr">
      <is>
        <t>Shamrath/Tarush</t>
      </is>
    </oc>
    <nc r="I7"/>
  </rcc>
  <rcc rId="2865" sId="12">
    <oc r="B13">
      <v>619</v>
    </oc>
    <nc r="B13" t="inlineStr">
      <is>
        <t>619/862</t>
      </is>
    </nc>
  </rcc>
  <rcc rId="2866" sId="12">
    <oc r="B15">
      <v>619</v>
    </oc>
    <nc r="B15" t="inlineStr">
      <is>
        <t>624/860</t>
      </is>
    </nc>
  </rcc>
  <rcc rId="2867" sId="12">
    <oc r="B16">
      <v>624</v>
    </oc>
    <nc r="B16" t="inlineStr">
      <is>
        <t>630/864</t>
      </is>
    </nc>
  </rcc>
  <rcc rId="2868" sId="12">
    <oc r="B8" t="inlineStr">
      <is>
        <t>Prebooking</t>
      </is>
    </oc>
    <nc r="B8" t="inlineStr">
      <is>
        <t>802/665</t>
      </is>
    </nc>
  </rcc>
  <rcc rId="2869" sId="12">
    <oc r="B19">
      <v>880</v>
    </oc>
    <nc r="B19" t="inlineStr">
      <is>
        <t>664/810</t>
      </is>
    </nc>
  </rcc>
  <rfmt sheetId="12" sqref="B22:I22 B14:I14 B11:I11 B26:I26 B10:I10 B21:I21 B17:I17 B12:I12 B18:I18 B23:I23 B9:I9 B20:I20 B25:I25 B24:I24 B13:I13 B15:I15 B16:I16 B19:I19 B8:I8">
    <dxf>
      <alignment vertical="bottom" readingOrder="0"/>
    </dxf>
  </rfmt>
  <rfmt sheetId="12" sqref="B22:I22 B14:I14 B11:I11 B26:I26 B10:I10 B21:I21 B17:I17 B12:I12 B18:I18 B23:I23 B9:I9 B20:I20 B25:I25 B24:I24 B13:I13 B15:I15 B16:I16 B19:I19 B8:I8">
    <dxf>
      <alignment vertical="center" readingOrder="0"/>
    </dxf>
  </rfmt>
  <rfmt sheetId="12" sqref="B22:I22 B14:I14 B11:I11 B26:I26 B10:I10 B21:I21 B17:I17 B12:I12 B18:I18 B23:I23 B9:I9 B20:I20 B25:I25 B24:I24 B13:I13 B15:I15 B16:I16 B19:I19 B8:I8">
    <dxf>
      <alignment horizontal="general" readingOrder="0"/>
    </dxf>
  </rfmt>
  <rfmt sheetId="12" sqref="B22:I22 B14:I14 B11:I11 B26:I26 B10:I10 B21:I21 B17:I17 B12:I12 B18:I18 B23:I23 B9:I9 B20:I20 B25:I25 B24:I24 B13:I13 B15:I15 B16:I16 B19:I19 B8:I8">
    <dxf>
      <alignment horizontal="center" readingOrder="0"/>
    </dxf>
  </rfmt>
  <rfmt sheetId="12" sqref="B22:I22 B14:I14 B11:I11 B26:I26 B10:I10 B21:I21 B17:I17 B12:I12 B18:I18 B23:I23 B9:I9 B20:I20 B25:I25 B24:I24 B13:I13 B15:I15 B16:I16 B19:I19 B8:I8" start="0" length="2147483647">
    <dxf>
      <font>
        <b/>
      </font>
    </dxf>
  </rfmt>
  <rfmt sheetId="12" sqref="B22:I22 B14:I14 B11:I11 B26:I26 B10:I10 B21:I21 B17:I17 B12:I12 B18:I18 B23:I23 B9:I9 B20:I20 B25:I25 B24:I24 B13:I13 B15:I15 B16:I16 B19:I19 B8:I8" start="0" length="2147483647">
    <dxf>
      <font>
        <b val="0"/>
      </font>
    </dxf>
  </rfmt>
  <rfmt sheetId="12" sqref="B22:I22 B14:I14 B11:I11 B26:I26 B10:I10 B21:I21 B17:I17 B12:I12 B18:I18 B23:I23 B9:I9 B20:I20 B25:I25 B24:I24 B13:I13 B15:I15 B16:I16 B19:I19 B8:I8" start="0" length="2147483647">
    <dxf>
      <font>
        <u/>
      </font>
    </dxf>
  </rfmt>
  <rfmt sheetId="12" sqref="B22:I22 B14:I14 B11:I11 B26:I26 B10:I10 B21:I21 B17:I17 B12:I12 B18:I18 B23:I23 B9:I9 B20:I20 B25:I25 B24:I24 B13:I13 B15:I15 B16:I16 B19:I19 B8:I8" start="0" length="2147483647">
    <dxf>
      <font>
        <u val="none"/>
      </font>
    </dxf>
  </rfmt>
  <rfmt sheetId="12" sqref="B22:I22 B14:I14 B11:I11 B26:I26 B10:I10 B21:I21 B17:I17 B12:I12 B18:I18 B23:I23 B9:I9 B20:I20 B25:I25 B24:I24 B13:I13 B15:I15 B16:I16 B19:I19 B8:I8" start="0" length="2147483647">
    <dxf>
      <font>
        <color theme="1"/>
      </font>
    </dxf>
  </rfmt>
  <rfmt sheetId="12" sqref="B22:I22 B14:I14 B11:I11 B26:I26 B10:I10 B21:I21 B17:I17 B12:I12 B18:I18 B23:I23 B9:I9 B20:I20 B25:I25 B24:I24 B13:I13 B15:I15 B16:I16 B19:I19 B8:I8" start="0" length="2147483647">
    <dxf>
      <font>
        <name val="Calibri"/>
        <scheme val="minor"/>
      </font>
    </dxf>
  </rfmt>
  <rfmt sheetId="12" sqref="B22:I22 B14:I14 B11:I11 B26:I26 B10:I10 B21:I21 B17:I17 B12:I12 B18:I18 B23:I23 B9:I9 B20:I20 B25:I25 B24:I24 B13:I13 B15:I15 B16:I16 B19:I19 B8:I8" start="0" length="2147483647">
    <dxf>
      <font>
        <sz val="14"/>
      </font>
    </dxf>
  </rfmt>
  <rcc rId="2870" sId="12" odxf="1" dxf="1" numFmtId="4">
    <nc r="H21">
      <v>32719303271931</v>
    </nc>
    <ndxf>
      <numFmt numFmtId="3" formatCode="#,##0"/>
    </ndxf>
  </rcc>
  <rcc rId="2871" sId="12" numFmtId="4">
    <nc r="H19" t="inlineStr">
      <is>
        <t>3271928, 3271929</t>
      </is>
    </nc>
  </rcc>
  <rfmt sheetId="12" sqref="B7:I26" start="0" length="2147483647">
    <dxf>
      <font>
        <i/>
      </font>
    </dxf>
  </rfmt>
  <rfmt sheetId="12" sqref="B7:I26" start="0" length="2147483647">
    <dxf>
      <font>
        <i val="0"/>
      </font>
    </dxf>
  </rfmt>
</revisions>
</file>

<file path=xl/revisions/revisionLog3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2" sId="12" numFmtId="19">
    <oc r="D23">
      <v>46154</v>
    </oc>
    <nc r="D23">
      <v>46156</v>
    </nc>
  </rcc>
</revisions>
</file>

<file path=xl/revisions/revisionLog3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3" sId="12">
    <oc r="E14">
      <v>2</v>
    </oc>
    <nc r="E14" t="inlineStr">
      <is>
        <t>CXL2</t>
      </is>
    </nc>
  </rcc>
  <rcc rId="2874" sId="12">
    <oc r="F14">
      <v>1</v>
    </oc>
    <nc r="F14" t="inlineStr">
      <is>
        <t>CXL1</t>
      </is>
    </nc>
  </rcc>
  <rfmt sheetId="12" sqref="J22">
    <dxf>
      <fill>
        <patternFill patternType="solid">
          <bgColor rgb="FFFF0000"/>
        </patternFill>
      </fill>
    </dxf>
  </rfmt>
  <rfmt sheetId="12" sqref="J14" start="0" length="2147483647">
    <dxf>
      <font>
        <color theme="1"/>
      </font>
    </dxf>
  </rfmt>
  <rfmt sheetId="12" sqref="J14">
    <dxf>
      <fill>
        <patternFill patternType="solid">
          <bgColor rgb="FF00B050"/>
        </patternFill>
      </fill>
    </dxf>
  </rfmt>
  <rcc rId="2875" sId="12" odxf="1" dxf="1">
    <oc r="J11">
      <f>IF(OR(NOT(ISERROR(MATCH(RIGHT(B11,3)+0,#REF!,0))),NOT(ISERROR(MATCH(LEFT(B11,3)+0,#REF!,0)))),"No Post","")</f>
    </oc>
    <nc r="J11">
      <f>IF(OR(NOT(ISERROR(MATCH(RIGHT(#REF!,3)+0,#REF!,0))),NOT(ISERROR(MATCH(LEFT(#REF!,3)+0,#REF!,0)))),"No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876" sId="12" odxf="1" dxf="1">
    <oc r="J26">
      <f>IF(OR(NOT(ISERROR(MATCH(RIGHT(B26,3)+0,#REF!,0))),NOT(ISERROR(MATCH(LEFT(B26,3)+0,#REF!,0)))),"No Post","")</f>
    </oc>
    <nc r="J26">
      <f>IF(OR(NOT(ISERROR(MATCH(RIGHT(#REF!,3)+0,#REF!,0))),NOT(ISERROR(MATCH(LEFT(#REF!,3)+0,#REF!,0)))),"No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877" sId="12" odxf="1" dxf="1">
    <oc r="J10">
      <f>IF(OR(NOT(ISERROR(MATCH(RIGHT(B10,3)+0,#REF!,0))),NOT(ISERROR(MATCH(LEFT(B10,3)+0,#REF!,0)))),"No Post","")</f>
    </oc>
    <nc r="J10">
      <f>IF(OR(NOT(ISERROR(MATCH(RIGHT(#REF!,3)+0,#REF!,0))),NOT(ISERROR(MATCH(LEFT(#REF!,3)+0,#REF!,0)))),"No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878" sId="12" odxf="1" dxf="1">
    <oc r="J21">
      <f>IF(OR(NOT(ISERROR(MATCH(RIGHT(B21,3)+0,#REF!,0))),NOT(ISERROR(MATCH(LEFT(B21,3)+0,#REF!,0)))),"No Post","")</f>
    </oc>
    <nc r="J21">
      <f>IF(OR(NOT(ISERROR(MATCH(RIGHT(#REF!,3)+0,#REF!,0))),NOT(ISERROR(MATCH(LEFT(#REF!,3)+0,#REF!,0)))),"No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879" sId="12" odxf="1" dxf="1">
    <oc r="J17">
      <f>IF(OR(NOT(ISERROR(MATCH(RIGHT(B17,3)+0,#REF!,0))),NOT(ISERROR(MATCH(LEFT(B17,3)+0,#REF!,0)))),"No Post","")</f>
    </oc>
    <nc r="J17">
      <f>IF(OR(NOT(ISERROR(MATCH(RIGHT(B17,3)+0,#REF!,0))),NOT(ISERROR(MATCH(LEFT(B17,3)+0,#REF!,0)))),"No Post","")</f>
    </nc>
    <odxf>
      <font>
        <sz val="12"/>
        <color auto="1"/>
      </font>
      <fill>
        <patternFill patternType="none">
          <bgColor indexed="65"/>
        </patternFill>
      </fill>
    </odxf>
    <ndxf>
      <font>
        <sz val="12"/>
        <color auto="1"/>
      </font>
      <fill>
        <patternFill patternType="solid">
          <bgColor rgb="FF00B050"/>
        </patternFill>
      </fill>
    </ndxf>
  </rcc>
  <rcc rId="2880" sId="12">
    <oc r="E17">
      <v>2</v>
    </oc>
    <nc r="E17" t="inlineStr">
      <is>
        <t>PP2</t>
      </is>
    </nc>
  </rcc>
  <rcc rId="2881" sId="13" odxf="1" dxf="1">
    <nc r="B10">
      <v>811</v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2882" sId="13" odxf="1" dxf="1">
    <nc r="C10" t="inlineStr">
      <is>
        <t>Finian Odriscoll</t>
      </is>
    </nc>
    <odxf>
      <alignment vertical="top" readingOrder="0"/>
    </odxf>
    <ndxf>
      <alignment vertical="center" readingOrder="0"/>
    </ndxf>
  </rcc>
  <rcc rId="2883" sId="13" odxf="1" dxf="1" numFmtId="19">
    <nc r="D10">
      <v>46157</v>
    </nc>
    <odxf>
      <alignment vertical="top" readingOrder="0"/>
    </odxf>
    <ndxf>
      <alignment vertical="center" readingOrder="0"/>
    </ndxf>
  </rcc>
  <rfmt sheetId="13" sqref="E10" start="0" length="0">
    <dxf>
      <alignment vertical="center" readingOrder="0"/>
    </dxf>
  </rfmt>
  <rfmt sheetId="13" sqref="F10" start="0" length="0">
    <dxf>
      <alignment vertical="center" readingOrder="0"/>
    </dxf>
  </rfmt>
  <rfmt sheetId="13" sqref="G10" start="0" length="0">
    <dxf>
      <alignment vertical="center" readingOrder="0"/>
    </dxf>
  </rfmt>
  <rcc rId="2884" sId="13" odxf="1" dxf="1">
    <nc r="H10" t="inlineStr">
      <is>
        <t>SAI</t>
      </is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2885" sId="13" odxf="1" dxf="1">
    <nc r="I10" t="inlineStr">
      <is>
        <t>Faiha</t>
      </is>
    </nc>
    <odxf>
      <alignment vertical="top" readingOrder="0"/>
    </odxf>
    <ndxf>
      <alignment vertical="center" readingOrder="0"/>
    </ndxf>
  </rcc>
  <rcc rId="2886" sId="13">
    <nc r="E10">
      <v>2</v>
    </nc>
  </rcc>
</revisions>
</file>

<file path=xl/revisions/revisionLog3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87" sId="12" odxf="1" dxf="1">
    <oc r="J12">
      <f>IF(OR(NOT(ISERROR(MATCH(RIGHT(B12,3)+0,#REF!,0))),NOT(ISERROR(MATCH(LEFT(B12,3)+0,#REF!,0)))),"No Post","")</f>
    </oc>
    <nc r="J12">
      <f>IF(OR(NOT(ISERROR(MATCH(RIGHT(#REF!,3)+0,#REF!,0))),NOT(ISERROR(MATCH(LEFT(#REF!,3)+0,#REF!,0)))),"No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888" sId="12" odxf="1" dxf="1">
    <oc r="J18">
      <f>IF(OR(NOT(ISERROR(MATCH(RIGHT(B18,3)+0,#REF!,0))),NOT(ISERROR(MATCH(LEFT(B18,3)+0,#REF!,0)))),"No Post","")</f>
    </oc>
    <nc r="J18">
      <f>IF(OR(NOT(ISERROR(MATCH(RIGHT(#REF!,3)+0,#REF!,0))),NOT(ISERROR(MATCH(LEFT(#REF!,3)+0,#REF!,0)))),"No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889" sId="12" odxf="1" dxf="1">
    <oc r="J23">
      <f>IF(OR(NOT(ISERROR(MATCH(RIGHT(B23,3)+0,#REF!,0))),NOT(ISERROR(MATCH(LEFT(B23,3)+0,#REF!,0)))),"No Post","")</f>
    </oc>
    <nc r="J23">
      <f>IF(OR(NOT(ISERROR(MATCH(RIGHT(#REF!,3)+0,#REF!,0))),NOT(ISERROR(MATCH(LEFT(#REF!,3)+0,#REF!,0)))),"No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890" sId="12" odxf="1" dxf="1">
    <oc r="J9">
      <f>IF(OR(NOT(ISERROR(MATCH(RIGHT(B9,3)+0,#REF!,0))),NOT(ISERROR(MATCH(LEFT(B9,3)+0,#REF!,0)))),"No Post","")</f>
    </oc>
    <nc r="J9">
      <f>IF(OR(NOT(ISERROR(MATCH(RIGHT(#REF!,3)+0,#REF!,0))),NOT(ISERROR(MATCH(LEFT(#REF!,3)+0,#REF!,0)))),"No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891" sId="12" odxf="1" dxf="1">
    <oc r="J20">
      <f>IF(OR(NOT(ISERROR(MATCH(RIGHT(B20,3)+0,#REF!,0))),NOT(ISERROR(MATCH(LEFT(B20,3)+0,#REF!,0)))),"No Post","")</f>
    </oc>
    <nc r="J20">
      <f>IF(OR(NOT(ISERROR(MATCH(RIGHT(#REF!,3)+0,#REF!,0))),NOT(ISERROR(MATCH(LEFT(#REF!,3)+0,#REF!,0)))),"No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892" sId="13" odxf="1" dxf="1">
    <nc r="B11">
      <v>877</v>
    </nc>
    <odxf>
      <alignment vertical="top" readingOrder="0"/>
    </odxf>
    <ndxf>
      <alignment vertical="center" readingOrder="0"/>
    </ndxf>
  </rcc>
  <rcc rId="2893" sId="13" odxf="1" dxf="1">
    <nc r="C11" t="inlineStr">
      <is>
        <t>Alexandre Arnaud Banse</t>
      </is>
    </nc>
    <odxf>
      <alignment vertical="top" readingOrder="0"/>
    </odxf>
    <ndxf>
      <alignment vertical="center" readingOrder="0"/>
    </ndxf>
  </rcc>
  <rcc rId="2894" sId="13" odxf="1" dxf="1" numFmtId="19">
    <nc r="D11">
      <v>46156</v>
    </nc>
    <odxf>
      <alignment vertical="top" readingOrder="0"/>
    </odxf>
    <ndxf>
      <alignment vertical="center" readingOrder="0"/>
    </ndxf>
  </rcc>
  <rcc rId="2895" sId="13" odxf="1" dxf="1">
    <nc r="E11">
      <v>2</v>
    </nc>
    <odxf>
      <alignment vertical="top" readingOrder="0"/>
    </odxf>
    <ndxf>
      <alignment vertical="center" readingOrder="0"/>
    </ndxf>
  </rcc>
  <rfmt sheetId="13" sqref="F11" start="0" length="0">
    <dxf>
      <alignment vertical="center" readingOrder="0"/>
    </dxf>
  </rfmt>
  <rfmt sheetId="13" sqref="G11" start="0" length="0">
    <dxf>
      <alignment vertical="center" readingOrder="0"/>
    </dxf>
  </rfmt>
  <rfmt sheetId="13" sqref="H11" start="0" length="0">
    <dxf>
      <alignment vertical="center" readingOrder="0"/>
    </dxf>
  </rfmt>
  <rcc rId="2896" sId="13" odxf="1" dxf="1">
    <nc r="I11" t="inlineStr">
      <is>
        <t>Faiha</t>
      </is>
    </nc>
    <odxf>
      <alignment vertical="top" readingOrder="0"/>
    </odxf>
    <ndxf>
      <alignment vertical="center" readingOrder="0"/>
    </ndxf>
  </rcc>
  <rcc rId="2897" sId="12">
    <oc r="E25">
      <v>2</v>
    </oc>
    <nc r="E25" t="inlineStr">
      <is>
        <t>PP2</t>
      </is>
    </nc>
  </rcc>
  <rcc rId="2898" sId="12" odxf="1" dxf="1">
    <oc r="J25">
      <f>IF(OR(NOT(ISERROR(MATCH(RIGHT(B25,3)+0,#REF!,0))),NOT(ISERROR(MATCH(LEFT(B25,3)+0,#REF!,0)))),"No Post","")</f>
    </oc>
    <nc r="J25">
      <f>IF(OR(NOT(ISERROR(MATCH(RIGHT(B25,3)+0,#REF!,0))),NOT(ISERROR(MATCH(LEFT(B25,3)+0,#REF!,0)))),"No Post","")</f>
    </nc>
    <odxf>
      <font>
        <sz val="12"/>
        <color auto="1"/>
      </font>
      <fill>
        <patternFill patternType="none">
          <bgColor indexed="65"/>
        </patternFill>
      </fill>
    </odxf>
    <ndxf>
      <font>
        <sz val="12"/>
        <color auto="1"/>
      </font>
      <fill>
        <patternFill patternType="solid">
          <bgColor rgb="FF00B050"/>
        </patternFill>
      </fill>
    </ndxf>
  </rcc>
  <rcc rId="2899" sId="12" odxf="1" dxf="1">
    <oc r="J24">
      <f>IF(OR(NOT(ISERROR(MATCH(RIGHT(B24,3)+0,#REF!,0))),NOT(ISERROR(MATCH(LEFT(B24,3)+0,#REF!,0)))),"No Post","")</f>
    </oc>
    <nc r="J24">
      <f>IF(OR(NOT(ISERROR(MATCH(RIGHT(#REF!,3)+0,#REF!,0))),NOT(ISERROR(MATCH(LEFT(#REF!,3)+0,#REF!,0)))),"No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900" sId="12" odxf="1" dxf="1">
    <oc r="J13">
      <f>IF(OR(NOT(ISERROR(MATCH(RIGHT(B13,3)+0,#REF!,0))),NOT(ISERROR(MATCH(LEFT(B13,3)+0,#REF!,0)))),"No Post","")</f>
    </oc>
    <nc r="J13">
      <f>IF(OR(NOT(ISERROR(MATCH(RIGHT(#REF!,3)+0,#REF!,0))),NOT(ISERROR(MATCH(LEFT(#REF!,3)+0,#REF!,0)))),"No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901" sId="12" odxf="1" dxf="1">
    <oc r="J15">
      <f>IF(OR(NOT(ISERROR(MATCH(RIGHT(B15,3)+0,#REF!,0))),NOT(ISERROR(MATCH(LEFT(B15,3)+0,#REF!,0)))),"No Post","")</f>
    </oc>
    <nc r="J15">
      <f>IF(OR(NOT(ISERROR(MATCH(RIGHT(#REF!,3)+0,#REF!,0))),NOT(ISERROR(MATCH(LEFT(#REF!,3)+0,#REF!,0)))),"No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902" sId="12" odxf="1" dxf="1">
    <oc r="J16">
      <f>IF(OR(NOT(ISERROR(MATCH(RIGHT(B16,3)+0,#REF!,0))),NOT(ISERROR(MATCH(LEFT(B16,3)+0,#REF!,0)))),"No Post","")</f>
    </oc>
    <nc r="J16">
      <f>IF(OR(NOT(ISERROR(MATCH(RIGHT(#REF!,3)+0,#REF!,0))),NOT(ISERROR(MATCH(LEFT(#REF!,3)+0,#REF!,0)))),"No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903" sId="12" odxf="1" dxf="1">
    <oc r="J19">
      <f>IF(OR(NOT(ISERROR(MATCH(RIGHT(B19,3)+0,#REF!,0))),NOT(ISERROR(MATCH(LEFT(B19,3)+0,#REF!,0)))),"No Post","")</f>
    </oc>
    <nc r="J19">
      <f>IF(OR(NOT(ISERROR(MATCH(RIGHT(#REF!,3)+0,#REF!,0))),NOT(ISERROR(MATCH(LEFT(#REF!,3)+0,#REF!,0)))),"No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904" sId="12" odxf="1" dxf="1">
    <oc r="J8">
      <f>IF(OR(NOT(ISERROR(MATCH(RIGHT(B8,3)+0,#REF!,0))),NOT(ISERROR(MATCH(LEFT(B8,3)+0,#REF!,0)))),"No Post","")</f>
    </oc>
    <nc r="J8">
      <f>IF(OR(NOT(ISERROR(MATCH(RIGHT(#REF!,3)+0,#REF!,0))),NOT(ISERROR(MATCH(LEFT(#REF!,3)+0,#REF!,0)))),"No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</revisions>
</file>

<file path=xl/revisions/revisionLog3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05" sId="12">
    <oc r="B8" t="inlineStr">
      <is>
        <t>802/665</t>
      </is>
    </oc>
    <nc r="B8" t="inlineStr">
      <is>
        <t>801/665</t>
      </is>
    </nc>
  </rcc>
  <rcc rId="2906" sId="13" odxf="1" dxf="1">
    <nc r="B12" t="inlineStr">
      <is>
        <t>664/810</t>
      </is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cc rId="2907" sId="13" odxf="1" s="1" dxf="1">
    <nc r="C12" t="inlineStr">
      <is>
        <t xml:space="preserve">MS.GU/YUEYI 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none">
          <bgColor indexed="65"/>
        </patternFill>
      </fill>
      <alignment vertical="center" readingOrder="0"/>
      <border outline="0">
        <top/>
      </border>
    </ndxf>
  </rcc>
  <rcc rId="2908" sId="13" odxf="1" dxf="1" numFmtId="19">
    <nc r="D12">
      <v>46156</v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cc rId="2909" sId="13" odxf="1" dxf="1">
    <nc r="E12">
      <v>3</v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fmt sheetId="13" sqref="F12" start="0" length="0">
    <dxf>
      <alignment vertical="center" readingOrder="0"/>
    </dxf>
  </rfmt>
  <rfmt sheetId="13" sqref="G12" start="0" length="0">
    <dxf>
      <alignment vertical="center" readingOrder="0"/>
    </dxf>
  </rfmt>
  <rcc rId="2910" sId="13" odxf="1" dxf="1">
    <nc r="H12" t="inlineStr">
      <is>
        <t>3271928, 3271929</t>
      </is>
    </nc>
    <odxf>
      <numFmt numFmtId="0" formatCode="General"/>
      <fill>
        <patternFill patternType="solid">
          <bgColor theme="0"/>
        </patternFill>
      </fill>
      <alignment vertical="top" readingOrder="0"/>
    </odxf>
    <ndxf>
      <numFmt numFmtId="3" formatCode="#,##0"/>
      <fill>
        <patternFill patternType="none">
          <bgColor indexed="65"/>
        </patternFill>
      </fill>
      <alignment vertical="center" readingOrder="0"/>
    </ndxf>
  </rcc>
  <rcc rId="2911" sId="13" odxf="1" dxf="1">
    <nc r="I12" t="inlineStr">
      <is>
        <t>Shamrath/Tarush</t>
      </is>
    </nc>
    <odxf>
      <alignment vertical="top" readingOrder="0"/>
    </odxf>
    <ndxf>
      <alignment vertical="center" readingOrder="0"/>
    </ndxf>
  </rcc>
  <rcc rId="2912" sId="13" odxf="1" dxf="1">
    <nc r="B13" t="inlineStr">
      <is>
        <t>801/665</t>
      </is>
    </nc>
    <odxf>
      <alignment vertical="top" readingOrder="0"/>
    </odxf>
    <ndxf>
      <alignment vertical="center" readingOrder="0"/>
    </ndxf>
  </rcc>
  <rcc rId="2913" sId="13" odxf="1" dxf="1">
    <nc r="C13" t="inlineStr">
      <is>
        <t>Yunqian Cheng</t>
      </is>
    </nc>
    <odxf>
      <alignment vertical="top" readingOrder="0"/>
    </odxf>
    <ndxf>
      <alignment vertical="center" readingOrder="0"/>
    </ndxf>
  </rcc>
  <rcc rId="2914" sId="13" odxf="1" dxf="1" numFmtId="19">
    <nc r="D13">
      <v>46154</v>
    </nc>
    <odxf>
      <alignment vertical="top" readingOrder="0"/>
    </odxf>
    <ndxf>
      <alignment vertical="center" readingOrder="0"/>
    </ndxf>
  </rcc>
  <rcc rId="2915" sId="13" odxf="1" dxf="1">
    <nc r="E13">
      <v>2</v>
    </nc>
    <odxf>
      <alignment vertical="top" readingOrder="0"/>
    </odxf>
    <ndxf>
      <alignment vertical="center" readingOrder="0"/>
    </ndxf>
  </rcc>
  <rfmt sheetId="13" sqref="F13" start="0" length="0">
    <dxf>
      <alignment vertical="center" readingOrder="0"/>
    </dxf>
  </rfmt>
  <rfmt sheetId="13" sqref="G13" start="0" length="0">
    <dxf>
      <alignment vertical="center" readingOrder="0"/>
    </dxf>
  </rfmt>
  <rfmt sheetId="13" sqref="H13" start="0" length="0">
    <dxf>
      <alignment vertical="center" readingOrder="0"/>
    </dxf>
  </rfmt>
  <rcc rId="2916" sId="13" odxf="1" dxf="1">
    <nc r="I13" t="inlineStr">
      <is>
        <t>Win/Faiha</t>
      </is>
    </nc>
    <odxf>
      <alignment vertical="top" readingOrder="0"/>
    </odxf>
    <ndxf>
      <alignment vertical="center" readingOrder="0"/>
    </ndxf>
  </rcc>
</revisions>
</file>

<file path=xl/revisions/revisionLog3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17" sId="12">
    <oc r="E19">
      <v>3</v>
    </oc>
    <nc r="E19" t="inlineStr">
      <is>
        <t>PP3</t>
      </is>
    </nc>
  </rcc>
  <rcc rId="2918" sId="12">
    <oc r="E8">
      <v>2</v>
    </oc>
    <nc r="E8" t="inlineStr">
      <is>
        <t>PP2</t>
      </is>
    </nc>
  </rcc>
  <rcc rId="2919" sId="12" odxf="1" dxf="1">
    <oc r="J19">
      <f>IF(OR(NOT(ISERROR(MATCH(RIGHT(#REF!,3)+0,#REF!,0))),NOT(ISERROR(MATCH(LEFT(#REF!,3)+0,#REF!,0)))),"No Post","")</f>
    </oc>
    <nc r="J19">
      <f>IF(OR(NOT(ISERROR(MATCH(RIGHT(B19,3)+0,#REF!,0))),NOT(ISERROR(MATCH(LEFT(B19,3)+0,#REF!,0)))),"No Post","")</f>
    </nc>
    <odxf>
      <font>
        <sz val="12"/>
        <color auto="1"/>
      </font>
      <fill>
        <patternFill>
          <bgColor rgb="FFFF0000"/>
        </patternFill>
      </fill>
    </odxf>
    <ndxf>
      <font>
        <sz val="12"/>
        <color auto="1"/>
      </font>
      <fill>
        <patternFill>
          <bgColor rgb="FF00B050"/>
        </patternFill>
      </fill>
    </ndxf>
  </rcc>
  <rcc rId="2920" sId="12" odxf="1" dxf="1">
    <oc r="J8">
      <f>IF(OR(NOT(ISERROR(MATCH(RIGHT(#REF!,3)+0,#REF!,0))),NOT(ISERROR(MATCH(LEFT(#REF!,3)+0,#REF!,0)))),"No Post","")</f>
    </oc>
    <nc r="J8">
      <f>IF(OR(NOT(ISERROR(MATCH(RIGHT(B8,3)+0,#REF!,0))),NOT(ISERROR(MATCH(LEFT(B8,3)+0,#REF!,0)))),"No Post","")</f>
    </nc>
    <odxf>
      <font>
        <sz val="12"/>
        <color auto="1"/>
      </font>
      <fill>
        <patternFill>
          <bgColor rgb="FFFF0000"/>
        </patternFill>
      </fill>
    </odxf>
    <ndxf>
      <font>
        <sz val="12"/>
        <color auto="1"/>
      </font>
      <fill>
        <patternFill>
          <bgColor rgb="FF00B050"/>
        </patternFill>
      </fill>
    </ndxf>
  </rcc>
</revisions>
</file>

<file path=xl/revisions/revisionLog3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B7" start="0" length="0">
    <dxf>
      <alignment vertical="center" readingOrder="0"/>
    </dxf>
  </rfmt>
  <rfmt sheetId="12" s="1" sqref="C7" start="0" length="0">
    <dxf>
      <font>
        <u val="none"/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readingOrder="0"/>
    </dxf>
  </rfmt>
  <rfmt sheetId="12" sqref="D7" start="0" length="0">
    <dxf>
      <alignment vertical="center" readingOrder="0"/>
    </dxf>
  </rfmt>
  <rfmt sheetId="12" sqref="E7" start="0" length="0">
    <dxf>
      <alignment vertical="center" readingOrder="0"/>
    </dxf>
  </rfmt>
  <rfmt sheetId="12" sqref="F7" start="0" length="0">
    <dxf>
      <alignment vertical="center" readingOrder="0"/>
    </dxf>
  </rfmt>
  <rfmt sheetId="12" sqref="G7" start="0" length="0">
    <dxf>
      <alignment vertical="center" readingOrder="0"/>
    </dxf>
  </rfmt>
  <rfmt sheetId="12" sqref="H7" start="0" length="0">
    <dxf>
      <font>
        <b val="0"/>
        <sz val="14"/>
        <color rgb="FF4F3629"/>
        <name val="Arial"/>
        <scheme val="minor"/>
      </font>
      <numFmt numFmtId="0" formatCode="General"/>
      <fill>
        <patternFill patternType="solid">
          <bgColor theme="0"/>
        </patternFill>
      </fill>
    </dxf>
  </rfmt>
  <rfmt sheetId="12" sqref="I7" start="0" length="0">
    <dxf>
      <alignment vertical="center" readingOrder="0"/>
    </dxf>
  </rfmt>
  <rfmt sheetId="12" sqref="J7" start="0" length="0">
    <dxf>
      <font>
        <sz val="12"/>
        <color auto="1"/>
      </font>
      <fill>
        <patternFill patternType="solid">
          <bgColor rgb="FF00B050"/>
        </patternFill>
      </fill>
    </dxf>
  </rfmt>
  <rfmt sheetId="12" sqref="J25" start="0" length="0">
    <dxf>
      <font>
        <sz val="12"/>
        <color auto="1"/>
      </font>
      <fill>
        <patternFill>
          <bgColor rgb="FFFF0000"/>
        </patternFill>
      </fill>
    </dxf>
  </rfmt>
  <rfmt sheetId="12" sqref="C24" start="0" length="0">
    <dxf>
      <border outline="0">
        <left/>
        <right/>
        <top/>
        <bottom/>
      </border>
    </dxf>
  </rfmt>
  <rfmt sheetId="12" sqref="B15" start="0" length="0">
    <dxf>
      <border outline="0">
        <top/>
      </border>
    </dxf>
  </rfmt>
  <rfmt sheetId="12" s="1" sqref="C15" start="0" length="0">
    <dxf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12" sqref="D15" start="0" length="0">
    <dxf>
      <border outline="0">
        <top/>
      </border>
    </dxf>
  </rfmt>
  <rfmt sheetId="12" sqref="E15" start="0" length="0">
    <dxf>
      <border outline="0">
        <top/>
      </border>
    </dxf>
  </rfmt>
  <rfmt sheetId="12" sqref="H15" start="0" length="0">
    <dxf>
      <numFmt numFmtId="3" formatCode="#,##0"/>
      <fill>
        <patternFill patternType="none">
          <bgColor indexed="65"/>
        </patternFill>
      </fill>
    </dxf>
  </rfmt>
  <rfmt sheetId="12" sqref="J15" start="0" length="0">
    <dxf>
      <font>
        <sz val="12"/>
        <color auto="1"/>
      </font>
      <fill>
        <patternFill>
          <bgColor rgb="FF00B050"/>
        </patternFill>
      </fill>
    </dxf>
  </rfmt>
  <rfmt sheetId="12" sqref="J16" start="0" length="0">
    <dxf>
      <font>
        <sz val="12"/>
        <color auto="1"/>
      </font>
      <fill>
        <patternFill>
          <bgColor rgb="FF00B050"/>
        </patternFill>
      </fill>
    </dxf>
  </rfmt>
  <rfmt sheetId="12" sqref="B19" start="0" length="0">
    <dxf>
      <border outline="0">
        <top style="thin">
          <color indexed="64"/>
        </top>
      </border>
    </dxf>
  </rfmt>
  <rfmt sheetId="12" s="1" sqref="C19" start="0" length="0">
    <dxf>
      <fill>
        <patternFill patternType="solid">
          <bgColor theme="0"/>
        </patternFill>
      </fill>
      <border outline="0">
        <top style="thin">
          <color indexed="64"/>
        </top>
      </border>
    </dxf>
  </rfmt>
  <rfmt sheetId="12" sqref="D19" start="0" length="0">
    <dxf>
      <border outline="0">
        <top style="thin">
          <color indexed="64"/>
        </top>
      </border>
    </dxf>
  </rfmt>
  <rfmt sheetId="12" sqref="E19" start="0" length="0">
    <dxf>
      <border outline="0">
        <top style="thin">
          <color indexed="64"/>
        </top>
      </border>
    </dxf>
  </rfmt>
  <rfmt sheetId="12" sqref="H19" start="0" length="0">
    <dxf>
      <numFmt numFmtId="0" formatCode="General"/>
      <fill>
        <patternFill patternType="solid">
          <bgColor theme="0"/>
        </patternFill>
      </fill>
    </dxf>
  </rfmt>
  <rcc rId="2921" sId="12">
    <oc r="J7">
      <f>IF(OR(NOT(ISERROR(MATCH(RIGHT(B7,3)+0,#REF!,0))),NOT(ISERROR(MATCH(LEFT(B7,3)+0,#REF!,0)))),"No Post","")</f>
    </oc>
    <nc r="J7"/>
  </rcc>
  <rfmt sheetId="12" sqref="B7:J7">
    <dxf>
      <fill>
        <patternFill patternType="none">
          <bgColor auto="1"/>
        </patternFill>
      </fill>
    </dxf>
  </rfmt>
  <rfmt sheetId="12" sqref="B7" start="0" length="0">
    <dxf>
      <fill>
        <patternFill patternType="solid">
          <bgColor rgb="FFFFFF00"/>
        </patternFill>
      </fill>
    </dxf>
  </rfmt>
  <rfmt sheetId="12" sqref="C7" start="0" length="0">
    <dxf>
      <fill>
        <patternFill patternType="solid">
          <bgColor theme="0"/>
        </patternFill>
      </fill>
    </dxf>
  </rfmt>
  <rfmt sheetId="12" sqref="D7" start="0" length="0">
    <dxf>
      <fill>
        <patternFill patternType="solid">
          <bgColor theme="0"/>
        </patternFill>
      </fill>
    </dxf>
  </rfmt>
  <rfmt sheetId="12" sqref="E7" start="0" length="0">
    <dxf>
      <fill>
        <patternFill patternType="solid">
          <bgColor theme="0"/>
        </patternFill>
      </fill>
    </dxf>
  </rfmt>
  <rfmt sheetId="12" sqref="F7" start="0" length="0">
    <dxf>
      <fill>
        <patternFill patternType="solid">
          <bgColor theme="0"/>
        </patternFill>
      </fill>
    </dxf>
  </rfmt>
  <rfmt sheetId="12" sqref="G7" start="0" length="0">
    <dxf>
      <fill>
        <patternFill patternType="solid">
          <bgColor theme="0"/>
        </patternFill>
      </fill>
    </dxf>
  </rfmt>
  <rfmt sheetId="12" sqref="H7" start="0" length="0">
    <dxf>
      <fill>
        <patternFill patternType="solid">
          <bgColor rgb="FFFFFF00"/>
        </patternFill>
      </fill>
    </dxf>
  </rfmt>
  <rfmt sheetId="12" sqref="I7" start="0" length="0">
    <dxf>
      <fill>
        <patternFill patternType="solid">
          <bgColor theme="0"/>
        </patternFill>
      </fill>
    </dxf>
  </rfmt>
  <rcc rId="2922" sId="12" odxf="1" dxf="1">
    <oc r="B17">
      <v>811</v>
    </oc>
    <nc r="B17">
      <v>843</v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2923" sId="12">
    <oc r="C17" t="inlineStr">
      <is>
        <t>Finian Odriscoll</t>
      </is>
    </oc>
    <nc r="C17" t="inlineStr">
      <is>
        <t>Shang Lee</t>
      </is>
    </nc>
  </rcc>
  <rcc rId="2924" sId="12" numFmtId="19">
    <oc r="D17">
      <v>46157</v>
    </oc>
    <nc r="D17">
      <v>46155</v>
    </nc>
  </rcc>
  <rcc rId="2925" sId="12">
    <oc r="E17" t="inlineStr">
      <is>
        <t>PP2</t>
      </is>
    </oc>
    <nc r="E17">
      <v>2</v>
    </nc>
  </rcc>
  <rcc rId="2926" sId="12" odxf="1" dxf="1">
    <oc r="H17" t="inlineStr">
      <is>
        <t>SAI</t>
      </is>
    </oc>
    <nc r="H17"/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2927" sId="12">
    <oc r="I17" t="inlineStr">
      <is>
        <t>Faiha</t>
      </is>
    </oc>
    <nc r="I17" t="inlineStr">
      <is>
        <t>Tarush</t>
      </is>
    </nc>
  </rcc>
  <rcc rId="2928" sId="12" odxf="1" dxf="1">
    <oc r="J17">
      <f>IF(OR(NOT(ISERROR(MATCH(RIGHT(B17,3)+0,#REF!,0))),NOT(ISERROR(MATCH(LEFT(B17,3)+0,#REF!,0)))),"No Post","")</f>
    </oc>
    <nc r="J17">
      <f>IF(OR(NOT(ISERROR(MATCH(RIGHT(#REF!,3)+0,#REF!,0))),NOT(ISERROR(MATCH(LEFT(#REF!,3)+0,#REF!,0)))),"No Post","")</f>
    </nc>
    <odxf>
      <font>
        <sz val="12"/>
      </font>
      <fill>
        <patternFill>
          <bgColor rgb="FF00B050"/>
        </patternFill>
      </fill>
    </odxf>
    <ndxf>
      <font>
        <sz val="12"/>
        <color auto="1"/>
      </font>
      <fill>
        <patternFill>
          <bgColor rgb="FFFF0000"/>
        </patternFill>
      </fill>
    </ndxf>
  </rcc>
  <rcc rId="2929" sId="12" odxf="1" dxf="1">
    <oc r="B12">
      <v>843</v>
    </oc>
    <nc r="B12">
      <v>850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2930" sId="12">
    <oc r="C12" t="inlineStr">
      <is>
        <t>Shang Lee</t>
      </is>
    </oc>
    <nc r="C12" t="inlineStr">
      <is>
        <t>Hessko Khelo</t>
      </is>
    </nc>
  </rcc>
  <rcc rId="2931" sId="12" numFmtId="19">
    <oc r="D12">
      <v>46155</v>
    </oc>
    <nc r="D12">
      <v>46158</v>
    </nc>
  </rcc>
  <rcc rId="2932" sId="12" odxf="1" dxf="1">
    <nc r="H12" t="inlineStr">
      <is>
        <t>SAI</t>
      </is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2933" sId="12">
    <oc r="I12" t="inlineStr">
      <is>
        <t>Tarush</t>
      </is>
    </oc>
    <nc r="I12" t="inlineStr">
      <is>
        <t>Faiha</t>
      </is>
    </nc>
  </rcc>
  <rcc rId="2934" sId="12">
    <oc r="J12">
      <f>IF(OR(NOT(ISERROR(MATCH(RIGHT(#REF!,3)+0,#REF!,0))),NOT(ISERROR(MATCH(LEFT(#REF!,3)+0,#REF!,0)))),"No Post","")</f>
    </oc>
    <nc r="J12">
      <f>IF(OR(NOT(ISERROR(MATCH(RIGHT(#REF!,3)+0,#REF!,0))),NOT(ISERROR(MATCH(LEFT(#REF!,3)+0,#REF!,0)))),"No Post","")</f>
    </nc>
  </rcc>
  <rcc rId="2935" sId="12" odxf="1" dxf="1">
    <oc r="B18">
      <v>850</v>
    </oc>
    <nc r="B18">
      <v>863</v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2936" sId="12">
    <oc r="C18" t="inlineStr">
      <is>
        <t>Hessko Khelo</t>
      </is>
    </oc>
    <nc r="C18" t="inlineStr">
      <is>
        <t>MS.YUAN/CHENGHUI</t>
      </is>
    </nc>
  </rcc>
  <rcc rId="2937" sId="12" numFmtId="19">
    <oc r="D18">
      <v>46158</v>
    </oc>
    <nc r="D18">
      <v>46156</v>
    </nc>
  </rcc>
  <rcc rId="2938" sId="12" odxf="1" dxf="1">
    <oc r="H18" t="inlineStr">
      <is>
        <t>SAI</t>
      </is>
    </oc>
    <nc r="H18" t="inlineStr">
      <is>
        <t>3330927, 3330928</t>
      </is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2939" sId="12">
    <oc r="I18" t="inlineStr">
      <is>
        <t>Faiha</t>
      </is>
    </oc>
    <nc r="I18" t="inlineStr">
      <is>
        <t>Sharamth/Faiha</t>
      </is>
    </nc>
  </rcc>
  <rcc rId="2940" sId="12">
    <oc r="J18">
      <f>IF(OR(NOT(ISERROR(MATCH(RIGHT(#REF!,3)+0,#REF!,0))),NOT(ISERROR(MATCH(LEFT(#REF!,3)+0,#REF!,0)))),"No Post","")</f>
    </oc>
    <nc r="J18">
      <f>IF(OR(NOT(ISERROR(MATCH(RIGHT(#REF!,3)+0,#REF!,0))),NOT(ISERROR(MATCH(LEFT(#REF!,3)+0,#REF!,0)))),"No Post","")</f>
    </nc>
  </rcc>
  <rcc rId="2941" sId="12" odxf="1" dxf="1">
    <oc r="B23">
      <v>863</v>
    </oc>
    <nc r="B23">
      <v>868</v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2942" sId="12">
    <oc r="C23" t="inlineStr">
      <is>
        <t>MS.YUAN/CHENGHUI</t>
      </is>
    </oc>
    <nc r="C23" t="inlineStr">
      <is>
        <t>Natsuki Maki</t>
      </is>
    </nc>
  </rcc>
  <rcc rId="2943" sId="12" numFmtId="19">
    <oc r="D23">
      <v>46156</v>
    </oc>
    <nc r="D23">
      <v>46154</v>
    </nc>
  </rcc>
  <rcc rId="2944" sId="12" odxf="1" dxf="1">
    <oc r="H23" t="inlineStr">
      <is>
        <t>3330927, 3330928</t>
      </is>
    </oc>
    <nc r="H23" t="inlineStr">
      <is>
        <t>ALLOCATION</t>
      </is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2945" sId="12">
    <oc r="I23" t="inlineStr">
      <is>
        <t>Sharamth/Faiha</t>
      </is>
    </oc>
    <nc r="I23" t="inlineStr">
      <is>
        <t>Leyla/Faiha</t>
      </is>
    </nc>
  </rcc>
  <rcc rId="2946" sId="12">
    <oc r="J23">
      <f>IF(OR(NOT(ISERROR(MATCH(RIGHT(#REF!,3)+0,#REF!,0))),NOT(ISERROR(MATCH(LEFT(#REF!,3)+0,#REF!,0)))),"No Post","")</f>
    </oc>
    <nc r="J23">
      <f>IF(OR(NOT(ISERROR(MATCH(RIGHT(#REF!,3)+0,#REF!,0))),NOT(ISERROR(MATCH(LEFT(#REF!,3)+0,#REF!,0)))),"No Post","")</f>
    </nc>
  </rcc>
  <rcc rId="2947" sId="12" odxf="1" dxf="1">
    <oc r="B9">
      <v>868</v>
    </oc>
    <nc r="B9">
      <v>869</v>
    </nc>
    <odxf>
      <fill>
        <patternFill>
          <bgColor rgb="FF92D050"/>
        </patternFill>
      </fill>
    </odxf>
    <ndxf>
      <fill>
        <patternFill>
          <bgColor theme="0"/>
        </patternFill>
      </fill>
    </ndxf>
  </rcc>
  <rcc rId="2948" sId="12">
    <oc r="C9" t="inlineStr">
      <is>
        <t>Natsuki Maki</t>
      </is>
    </oc>
    <nc r="C9" t="inlineStr">
      <is>
        <t>Eugene Au</t>
      </is>
    </nc>
  </rcc>
  <rcc rId="2949" sId="12" numFmtId="19">
    <oc r="D9">
      <v>46154</v>
    </oc>
    <nc r="D9">
      <v>46157</v>
    </nc>
  </rcc>
  <rcc rId="2950" sId="12" odxf="1" dxf="1">
    <oc r="H9" t="inlineStr">
      <is>
        <t>ALLOCATION</t>
      </is>
    </oc>
    <nc r="H9"/>
    <odxf>
      <fill>
        <patternFill>
          <bgColor rgb="FF92D050"/>
        </patternFill>
      </fill>
    </odxf>
    <ndxf>
      <fill>
        <patternFill>
          <bgColor theme="0"/>
        </patternFill>
      </fill>
    </ndxf>
  </rcc>
  <rcc rId="2951" sId="12">
    <oc r="I9" t="inlineStr">
      <is>
        <t>Leyla/Faiha</t>
      </is>
    </oc>
    <nc r="I9" t="inlineStr">
      <is>
        <t>Faiha</t>
      </is>
    </nc>
  </rcc>
  <rcc rId="2952" sId="12">
    <oc r="J9">
      <f>IF(OR(NOT(ISERROR(MATCH(RIGHT(#REF!,3)+0,#REF!,0))),NOT(ISERROR(MATCH(LEFT(#REF!,3)+0,#REF!,0)))),"No Post","")</f>
    </oc>
    <nc r="J9">
      <f>IF(OR(NOT(ISERROR(MATCH(RIGHT(#REF!,3)+0,#REF!,0))),NOT(ISERROR(MATCH(LEFT(#REF!,3)+0,#REF!,0)))),"No Post","")</f>
    </nc>
  </rcc>
  <rcc rId="2953" sId="12">
    <oc r="B20">
      <v>869</v>
    </oc>
    <nc r="B20" t="inlineStr">
      <is>
        <t>619/862</t>
      </is>
    </nc>
  </rcc>
  <rcc rId="2954" sId="12">
    <oc r="C20" t="inlineStr">
      <is>
        <t>Eugene Au</t>
      </is>
    </oc>
    <nc r="C20" t="inlineStr">
      <is>
        <t>Hui Zhi</t>
      </is>
    </nc>
  </rcc>
  <rcc rId="2955" sId="12" numFmtId="19">
    <oc r="D20">
      <v>46157</v>
    </oc>
    <nc r="D20">
      <v>46154</v>
    </nc>
  </rcc>
  <rcc rId="2956" sId="12">
    <oc r="I20" t="inlineStr">
      <is>
        <t>Faiha</t>
      </is>
    </oc>
    <nc r="I20" t="inlineStr">
      <is>
        <t>c</t>
      </is>
    </nc>
  </rcc>
  <rcc rId="2957" sId="12">
    <oc r="J20">
      <f>IF(OR(NOT(ISERROR(MATCH(RIGHT(#REF!,3)+0,#REF!,0))),NOT(ISERROR(MATCH(LEFT(#REF!,3)+0,#REF!,0)))),"No Post","")</f>
    </oc>
    <nc r="J20">
      <f>IF(OR(NOT(ISERROR(MATCH(RIGHT(#REF!,3)+0,#REF!,0))),NOT(ISERROR(MATCH(LEFT(#REF!,3)+0,#REF!,0)))),"No Post","")</f>
    </nc>
  </rcc>
  <rcc rId="2958" sId="12">
    <oc r="B25">
      <v>877</v>
    </oc>
    <nc r="B25" t="inlineStr">
      <is>
        <t>624/860</t>
      </is>
    </nc>
  </rcc>
  <rcc rId="2959" sId="12" odxf="1" dxf="1">
    <oc r="C25" t="inlineStr">
      <is>
        <t>Alexandre Arnaud Banse</t>
      </is>
    </oc>
    <nc r="C25" t="inlineStr">
      <is>
        <t>Shuaicheng Niu</t>
      </is>
    </nc>
    <ndxf>
      <border outline="0">
        <left/>
        <right/>
        <top/>
        <bottom/>
      </border>
    </ndxf>
  </rcc>
  <rcc rId="2960" sId="12" numFmtId="19">
    <oc r="D25">
      <v>46156</v>
    </oc>
    <nc r="D25">
      <v>46154</v>
    </nc>
  </rcc>
  <rcc rId="2961" sId="12">
    <oc r="E25" t="inlineStr">
      <is>
        <t>PP2</t>
      </is>
    </oc>
    <nc r="E25">
      <v>2</v>
    </nc>
  </rcc>
  <rcc rId="2962" sId="12">
    <oc r="I25" t="inlineStr">
      <is>
        <t>Faiha</t>
      </is>
    </oc>
    <nc r="I25" t="inlineStr">
      <is>
        <t>Win/Maaji</t>
      </is>
    </nc>
  </rcc>
  <rcc rId="2963" sId="12">
    <oc r="J25">
      <f>IF(OR(NOT(ISERROR(MATCH(RIGHT(B25,3)+0,#REF!,0))),NOT(ISERROR(MATCH(LEFT(B25,3)+0,#REF!,0)))),"No Post","")</f>
    </oc>
    <nc r="J25">
      <f>IF(OR(NOT(ISERROR(MATCH(RIGHT(#REF!,3)+0,#REF!,0))),NOT(ISERROR(MATCH(LEFT(#REF!,3)+0,#REF!,0)))),"No Post","")</f>
    </nc>
  </rcc>
  <rcc rId="2964" sId="12">
    <oc r="B24">
      <v>880</v>
    </oc>
    <nc r="B24" t="inlineStr">
      <is>
        <t>630/864</t>
      </is>
    </nc>
  </rcc>
  <rcc rId="2965" sId="12" odxf="1" dxf="1">
    <oc r="C24" t="inlineStr">
      <is>
        <t>Shunya Kajigaya</t>
      </is>
    </oc>
    <nc r="C24" t="inlineStr">
      <is>
        <t>Yinuo Shi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6" sId="12" numFmtId="19">
    <oc r="D24">
      <v>46156</v>
    </oc>
    <nc r="D24">
      <v>46154</v>
    </nc>
  </rcc>
  <rcc rId="2967" sId="12">
    <oc r="I24" t="inlineStr">
      <is>
        <t>Faiha</t>
      </is>
    </oc>
    <nc r="I24" t="inlineStr">
      <is>
        <t>Win/Faiha</t>
      </is>
    </nc>
  </rcc>
  <rcc rId="2968" sId="12">
    <oc r="J24">
      <f>IF(OR(NOT(ISERROR(MATCH(RIGHT(#REF!,3)+0,#REF!,0))),NOT(ISERROR(MATCH(LEFT(#REF!,3)+0,#REF!,0)))),"No Post","")</f>
    </oc>
    <nc r="J24">
      <f>IF(OR(NOT(ISERROR(MATCH(RIGHT(#REF!,3)+0,#REF!,0))),NOT(ISERROR(MATCH(LEFT(#REF!,3)+0,#REF!,0)))),"No Post","")</f>
    </nc>
  </rcc>
  <rcc rId="2969" sId="12" odxf="1" dxf="1">
    <oc r="B13" t="inlineStr">
      <is>
        <t>619/862</t>
      </is>
    </oc>
    <nc r="B13" t="inlineStr">
      <is>
        <t>664/810</t>
      </is>
    </nc>
    <ndxf>
      <border outline="0">
        <top/>
      </border>
    </ndxf>
  </rcc>
  <rcc rId="2970" sId="12" odxf="1" s="1" dxf="1">
    <oc r="C13" t="inlineStr">
      <is>
        <t>Hui Zhi</t>
      </is>
    </oc>
    <nc r="C13" t="inlineStr">
      <is>
        <t xml:space="preserve">MS.GU/YUEYI </t>
      </is>
    </nc>
    <ndxf>
      <fill>
        <patternFill patternType="none">
          <bgColor indexed="65"/>
        </patternFill>
      </fill>
      <border outline="0">
        <top/>
      </border>
    </ndxf>
  </rcc>
  <rcc rId="2971" sId="12" odxf="1" dxf="1" numFmtId="19">
    <oc r="D13">
      <v>46154</v>
    </oc>
    <nc r="D13">
      <v>46156</v>
    </nc>
    <ndxf>
      <border outline="0">
        <top/>
      </border>
    </ndxf>
  </rcc>
  <rcc rId="2972" sId="12" odxf="1" dxf="1">
    <oc r="E13">
      <v>2</v>
    </oc>
    <nc r="E13" t="inlineStr">
      <is>
        <t>PP3</t>
      </is>
    </nc>
    <ndxf>
      <border outline="0">
        <top/>
      </border>
    </ndxf>
  </rcc>
  <rcc rId="2973" sId="12" odxf="1" dxf="1">
    <nc r="H13" t="inlineStr">
      <is>
        <t>3271928, 3271929</t>
      </is>
    </nc>
    <ndxf>
      <numFmt numFmtId="3" formatCode="#,##0"/>
      <fill>
        <patternFill patternType="none">
          <bgColor indexed="65"/>
        </patternFill>
      </fill>
    </ndxf>
  </rcc>
  <rcc rId="2974" sId="12">
    <oc r="I13" t="inlineStr">
      <is>
        <t>c</t>
      </is>
    </oc>
    <nc r="I13" t="inlineStr">
      <is>
        <t>Shamrath/Tarush</t>
      </is>
    </nc>
  </rcc>
  <rcc rId="2975" sId="12" odxf="1" dxf="1">
    <oc r="J13">
      <f>IF(OR(NOT(ISERROR(MATCH(RIGHT(#REF!,3)+0,#REF!,0))),NOT(ISERROR(MATCH(LEFT(#REF!,3)+0,#REF!,0)))),"No Post","")</f>
    </oc>
    <nc r="J13">
      <f>IF(OR(NOT(ISERROR(MATCH(RIGHT(B13,3)+0,#REF!,0))),NOT(ISERROR(MATCH(LEFT(B13,3)+0,#REF!,0)))),"No Post","")</f>
    </nc>
    <ndxf>
      <font>
        <sz val="12"/>
        <color auto="1"/>
      </font>
      <fill>
        <patternFill>
          <bgColor rgb="FF00B050"/>
        </patternFill>
      </fill>
    </ndxf>
  </rcc>
  <rcc rId="2976" sId="12" odxf="1" dxf="1">
    <oc r="B15" t="inlineStr">
      <is>
        <t>624/860</t>
      </is>
    </oc>
    <nc r="B15" t="inlineStr">
      <is>
        <t>801/665</t>
      </is>
    </nc>
    <ndxf>
      <border outline="0">
        <top style="thin">
          <color indexed="64"/>
        </top>
      </border>
    </ndxf>
  </rcc>
  <rcc rId="2977" sId="12" odxf="1" s="1" dxf="1">
    <oc r="C15" t="inlineStr">
      <is>
        <t>Shuaicheng Niu</t>
      </is>
    </oc>
    <nc r="C15" t="inlineStr">
      <is>
        <t>Yunqian Cheng</t>
      </is>
    </nc>
    <ndxf>
      <fill>
        <patternFill patternType="solid">
          <bgColor theme="0"/>
        </patternFill>
      </fill>
      <border outline="0">
        <top style="thin">
          <color indexed="64"/>
        </top>
      </border>
    </ndxf>
  </rcc>
  <rfmt sheetId="12" sqref="D15" start="0" length="0">
    <dxf>
      <border outline="0">
        <top style="thin">
          <color indexed="64"/>
        </top>
      </border>
    </dxf>
  </rfmt>
  <rcc rId="2978" sId="12" odxf="1" dxf="1">
    <oc r="E15">
      <v>2</v>
    </oc>
    <nc r="E15" t="inlineStr">
      <is>
        <t>PP2</t>
      </is>
    </nc>
    <ndxf>
      <border outline="0">
        <top style="thin">
          <color indexed="64"/>
        </top>
      </border>
    </ndxf>
  </rcc>
  <rfmt sheetId="12" sqref="H15" start="0" length="0">
    <dxf>
      <numFmt numFmtId="0" formatCode="General"/>
      <fill>
        <patternFill patternType="solid">
          <bgColor theme="0"/>
        </patternFill>
      </fill>
    </dxf>
  </rfmt>
  <rcc rId="2979" sId="12">
    <oc r="I15" t="inlineStr">
      <is>
        <t>Win/Maaji</t>
      </is>
    </oc>
    <nc r="I15" t="inlineStr">
      <is>
        <t>Win/Faiha</t>
      </is>
    </nc>
  </rcc>
  <rcc rId="2980" sId="12">
    <oc r="J15">
      <f>IF(OR(NOT(ISERROR(MATCH(RIGHT(#REF!,3)+0,#REF!,0))),NOT(ISERROR(MATCH(LEFT(#REF!,3)+0,#REF!,0)))),"No Post","")</f>
    </oc>
    <nc r="J15">
      <f>IF(OR(NOT(ISERROR(MATCH(RIGHT(B15,3)+0,#REF!,0))),NOT(ISERROR(MATCH(LEFT(B15,3)+0,#REF!,0)))),"No Post","")</f>
    </nc>
  </rcc>
  <rcc rId="2981" sId="12">
    <oc r="B16" t="inlineStr">
      <is>
        <t>630/864</t>
      </is>
    </oc>
    <nc r="B16">
      <v>877</v>
    </nc>
  </rcc>
  <rcc rId="2982" sId="12">
    <oc r="C16" t="inlineStr">
      <is>
        <t>Yinuo Shi</t>
      </is>
    </oc>
    <nc r="C16" t="inlineStr">
      <is>
        <t>Alexandre Arnaud Banse</t>
      </is>
    </nc>
  </rcc>
  <rcc rId="2983" sId="12" numFmtId="19">
    <oc r="D16">
      <v>46154</v>
    </oc>
    <nc r="D16">
      <v>46156</v>
    </nc>
  </rcc>
  <rcc rId="2984" sId="12">
    <oc r="E16">
      <v>2</v>
    </oc>
    <nc r="E16" t="inlineStr">
      <is>
        <t>PP2</t>
      </is>
    </nc>
  </rcc>
  <rcc rId="2985" sId="12">
    <oc r="I16" t="inlineStr">
      <is>
        <t>Win/Faiha</t>
      </is>
    </oc>
    <nc r="I16" t="inlineStr">
      <is>
        <t>Faiha</t>
      </is>
    </nc>
  </rcc>
  <rcc rId="2986" sId="12">
    <oc r="J16">
      <f>IF(OR(NOT(ISERROR(MATCH(RIGHT(#REF!,3)+0,#REF!,0))),NOT(ISERROR(MATCH(LEFT(#REF!,3)+0,#REF!,0)))),"No Post","")</f>
    </oc>
    <nc r="J16">
      <f>IF(OR(NOT(ISERROR(MATCH(RIGHT(B16,3)+0,#REF!,0))),NOT(ISERROR(MATCH(LEFT(B16,3)+0,#REF!,0)))),"No Post","")</f>
    </nc>
  </rcc>
  <rcc rId="2987" sId="12">
    <oc r="B19" t="inlineStr">
      <is>
        <t>664/810</t>
      </is>
    </oc>
    <nc r="B19" t="inlineStr">
      <is>
        <t>801/665</t>
      </is>
    </nc>
  </rcc>
  <rcc rId="2988" sId="12">
    <oc r="C19" t="inlineStr">
      <is>
        <t xml:space="preserve">MS.GU/YUEYI </t>
      </is>
    </oc>
    <nc r="C19" t="inlineStr">
      <is>
        <t>Yunqian Cheng</t>
      </is>
    </nc>
  </rcc>
  <rcc rId="2989" sId="12" numFmtId="19">
    <oc r="D19">
      <v>46156</v>
    </oc>
    <nc r="D19">
      <v>46154</v>
    </nc>
  </rcc>
  <rcc rId="2990" sId="12">
    <oc r="E19" t="inlineStr">
      <is>
        <t>PP3</t>
      </is>
    </oc>
    <nc r="E19" t="inlineStr">
      <is>
        <t>PP2</t>
      </is>
    </nc>
  </rcc>
  <rcc rId="2991" sId="12">
    <oc r="H19" t="inlineStr">
      <is>
        <t>3271928, 3271929</t>
      </is>
    </oc>
    <nc r="H19"/>
  </rcc>
  <rcc rId="2992" sId="12">
    <oc r="I19" t="inlineStr">
      <is>
        <t>Shamrath/Tarush</t>
      </is>
    </oc>
    <nc r="I19" t="inlineStr">
      <is>
        <t>Win/Faiha</t>
      </is>
    </nc>
  </rcc>
  <rcc rId="2993" sId="12">
    <oc r="J19">
      <f>IF(OR(NOT(ISERROR(MATCH(RIGHT(B19,3)+0,#REF!,0))),NOT(ISERROR(MATCH(LEFT(B19,3)+0,#REF!,0)))),"No Post","")</f>
    </oc>
    <nc r="J19">
      <f>IF(OR(NOT(ISERROR(MATCH(RIGHT(B19,3)+0,#REF!,0))),NOT(ISERROR(MATCH(LEFT(B19,3)+0,#REF!,0)))),"No Post","")</f>
    </nc>
  </rcc>
  <rcc rId="2994" sId="12" odxf="1" dxf="1">
    <oc r="B8" t="inlineStr">
      <is>
        <t>801/665</t>
      </is>
    </oc>
    <nc r="B8">
      <v>811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2995" sId="12">
    <oc r="C8" t="inlineStr">
      <is>
        <t>Yunqian Cheng</t>
      </is>
    </oc>
    <nc r="C8" t="inlineStr">
      <is>
        <t>Finian Odriscoll</t>
      </is>
    </nc>
  </rcc>
  <rcc rId="2996" sId="12" numFmtId="19">
    <oc r="D8">
      <v>46154</v>
    </oc>
    <nc r="D8">
      <v>46157</v>
    </nc>
  </rcc>
  <rcc rId="2997" sId="12" odxf="1" dxf="1">
    <nc r="H8" t="inlineStr">
      <is>
        <t>SAI</t>
      </is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2998" sId="12">
    <oc r="I8" t="inlineStr">
      <is>
        <t>Win/Faiha</t>
      </is>
    </oc>
    <nc r="I8" t="inlineStr">
      <is>
        <t>Faiha</t>
      </is>
    </nc>
  </rcc>
  <rfmt sheetId="12" sqref="J8" start="0" length="0">
    <dxf>
      <fill>
        <patternFill patternType="none">
          <bgColor indexed="65"/>
        </patternFill>
      </fill>
    </dxf>
  </rfmt>
  <rcc rId="2999" sId="12" odxf="1" dxf="1">
    <oc r="J8">
      <f>IF(OR(NOT(ISERROR(MATCH(RIGHT(B25,3)+0,#REF!,0))),NOT(ISERROR(MATCH(LEFT(B25,3)+0,#REF!,0)))),"No Post","")</f>
    </oc>
    <nc r="J8">
      <f>IF(OR(NOT(ISERROR(MATCH(RIGHT(B8,3)+0,#REF!,0))),NOT(ISERROR(MATCH(LEFT(B8,3)+0,#REF!,0)))),"No Post","")</f>
    </nc>
    <ndxf>
      <fill>
        <patternFill patternType="solid">
          <bgColor rgb="FF00B050"/>
        </patternFill>
      </fill>
    </ndxf>
  </rcc>
  <rfmt sheetId="12" sqref="B7:I7">
    <dxf>
      <fill>
        <patternFill patternType="none">
          <bgColor auto="1"/>
        </patternFill>
      </fill>
    </dxf>
  </rfmt>
</revisions>
</file>

<file path=xl/revisions/revisionLog3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B7" start="0" length="0">
    <dxf/>
  </rfmt>
  <rfmt sheetId="12" sqref="C7" start="0" length="0">
    <dxf>
      <border outline="0">
        <left/>
        <right/>
        <top/>
        <bottom/>
      </border>
    </dxf>
  </rfmt>
  <rfmt sheetId="12" sqref="D7" start="0" length="0">
    <dxf/>
  </rfmt>
  <rfmt sheetId="12" sqref="E7" start="0" length="0">
    <dxf/>
  </rfmt>
  <rfmt sheetId="12" sqref="F7" start="0" length="0">
    <dxf/>
  </rfmt>
  <rfmt sheetId="12" sqref="G7" start="0" length="0">
    <dxf/>
  </rfmt>
  <rfmt sheetId="12" sqref="H7" start="0" length="0">
    <dxf>
      <border outline="0">
        <left/>
        <right/>
        <top/>
        <bottom/>
      </border>
    </dxf>
  </rfmt>
  <rfmt sheetId="12" sqref="I7" start="0" length="0">
    <dxf/>
  </rfmt>
  <rfmt sheetId="12" sqref="J7" start="0" length="0">
    <dxf>
      <fill>
        <patternFill patternType="solid">
          <bgColor rgb="FF00B050"/>
        </patternFill>
      </fill>
    </dxf>
  </rfmt>
  <rcc rId="3000" sId="12" odxf="1" dxf="1">
    <oc r="B14">
      <v>343</v>
    </oc>
    <nc r="B14">
      <v>602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001" sId="12" odxf="1" dxf="1">
    <oc r="C14" t="inlineStr">
      <is>
        <t>Kwende Monlois</t>
      </is>
    </oc>
    <nc r="C14" t="inlineStr">
      <is>
        <t>Matthew Green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02" sId="12" odxf="1" dxf="1" numFmtId="19">
    <oc r="D14">
      <v>46155</v>
    </oc>
    <nc r="D14">
      <v>46162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003" sId="12" odxf="1" dxf="1">
    <oc r="E14" t="inlineStr">
      <is>
        <t>CXL2</t>
      </is>
    </oc>
    <nc r="E14">
      <v>2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004" sId="12" odxf="1" dxf="1">
    <oc r="F14" t="inlineStr">
      <is>
        <t>CXL1</t>
      </is>
    </oc>
    <nc r="F14"/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fmt sheetId="12" sqref="G14" start="0" length="0">
    <dxf>
      <fill>
        <patternFill patternType="solid">
          <bgColor theme="0"/>
        </patternFill>
      </fill>
    </dxf>
  </rfmt>
  <rfmt sheetId="12" sqref="H14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05" sId="12" odxf="1" dxf="1">
    <oc r="I14" t="inlineStr">
      <is>
        <t>UV/Faiha</t>
      </is>
    </oc>
    <nc r="I14" t="inlineStr">
      <is>
        <t>Astrid/Faiha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006" sId="12" odxf="1" dxf="1">
    <oc r="J14">
      <f>IF(OR(NOT(ISERROR(MATCH(RIGHT(B14,3)+0,#REF!,0))),NOT(ISERROR(MATCH(LEFT(B14,3)+0,#REF!,0)))),"No Post","")</f>
    </oc>
    <nc r="J14">
      <f>IF(OR(NOT(ISERROR(MATCH(RIGHT(#REF!,3)+0,#REF!,0))),NOT(ISERROR(MATCH(LEFT(#REF!,3)+0,#REF!,0)))),"No Post","")</f>
    </nc>
    <odxf>
      <font>
        <sz val="12"/>
      </font>
      <fill>
        <patternFill>
          <bgColor rgb="FF00B050"/>
        </patternFill>
      </fill>
    </odxf>
    <ndxf>
      <font>
        <sz val="12"/>
        <color auto="1"/>
      </font>
      <fill>
        <patternFill>
          <bgColor rgb="FFFF0000"/>
        </patternFill>
      </fill>
    </ndxf>
  </rcc>
  <rcc rId="3007" sId="12">
    <oc r="B11">
      <v>602</v>
    </oc>
    <nc r="B11">
      <v>648</v>
    </nc>
  </rcc>
  <rcc rId="3008" sId="12">
    <oc r="C11" t="inlineStr">
      <is>
        <t>Matthew Green</t>
      </is>
    </oc>
    <nc r="C11" t="inlineStr">
      <is>
        <t>ZHANG/YUANWEN MS</t>
      </is>
    </nc>
  </rcc>
  <rcc rId="3009" sId="12" numFmtId="19">
    <oc r="D11">
      <v>46162</v>
    </oc>
    <nc r="D11">
      <v>46157</v>
    </nc>
  </rcc>
  <rcc rId="3010" sId="12">
    <nc r="H11" t="inlineStr">
      <is>
        <t>3085432, 3085433</t>
      </is>
    </nc>
  </rcc>
  <rcc rId="3011" sId="12">
    <oc r="I11" t="inlineStr">
      <is>
        <t>Astrid/Faiha</t>
      </is>
    </oc>
    <nc r="I11" t="inlineStr">
      <is>
        <t>Sharamth/Faiha</t>
      </is>
    </nc>
  </rcc>
  <rcc rId="3012" sId="12">
    <oc r="J11">
      <f>IF(OR(NOT(ISERROR(MATCH(RIGHT(#REF!,3)+0,#REF!,0))),NOT(ISERROR(MATCH(LEFT(#REF!,3)+0,#REF!,0)))),"No Post","")</f>
    </oc>
    <nc r="J11">
      <f>IF(OR(NOT(ISERROR(MATCH(RIGHT(#REF!,3)+0,#REF!,0))),NOT(ISERROR(MATCH(LEFT(#REF!,3)+0,#REF!,0)))),"No Post","")</f>
    </nc>
  </rcc>
  <rcc rId="3013" sId="12">
    <oc r="B26">
      <v>648</v>
    </oc>
    <nc r="B26">
      <v>649</v>
    </nc>
  </rcc>
  <rcc rId="3014" sId="12">
    <oc r="C26" t="inlineStr">
      <is>
        <t>ZHANG/YUANWEN MS</t>
      </is>
    </oc>
    <nc r="C26" t="inlineStr">
      <is>
        <t>Xiaoyu Xing</t>
      </is>
    </nc>
  </rcc>
  <rcc rId="3015" sId="12" numFmtId="19">
    <oc r="D26">
      <v>46157</v>
    </oc>
    <nc r="D26">
      <v>46155</v>
    </nc>
  </rcc>
  <rcc rId="3016" sId="12">
    <oc r="E26">
      <v>2</v>
    </oc>
    <nc r="E26">
      <v>3</v>
    </nc>
  </rcc>
  <rcc rId="3017" sId="12">
    <oc r="H26" t="inlineStr">
      <is>
        <t>3085432, 3085433</t>
      </is>
    </oc>
    <nc r="H26"/>
  </rcc>
  <rcc rId="3018" sId="12">
    <oc r="I26" t="inlineStr">
      <is>
        <t>Sharamth/Faiha</t>
      </is>
    </oc>
    <nc r="I26" t="inlineStr">
      <is>
        <t>Win/Faiha</t>
      </is>
    </nc>
  </rcc>
  <rcc rId="3019" sId="12">
    <oc r="J26">
      <f>IF(OR(NOT(ISERROR(MATCH(RIGHT(#REF!,3)+0,#REF!,0))),NOT(ISERROR(MATCH(LEFT(#REF!,3)+0,#REF!,0)))),"No Post","")</f>
    </oc>
    <nc r="J26">
      <f>IF(OR(NOT(ISERROR(MATCH(RIGHT(#REF!,3)+0,#REF!,0))),NOT(ISERROR(MATCH(LEFT(#REF!,3)+0,#REF!,0)))),"No Post","")</f>
    </nc>
  </rcc>
  <rcc rId="3020" sId="12">
    <oc r="B10">
      <v>649</v>
    </oc>
    <nc r="B10">
      <v>801</v>
    </nc>
  </rcc>
  <rcc rId="3021" sId="12" odxf="1" dxf="1">
    <oc r="C10" t="inlineStr">
      <is>
        <t>Xiaoyu Xing</t>
      </is>
    </oc>
    <nc r="C10" t="inlineStr">
      <is>
        <t xml:space="preserve">MS.XIE/YUJUAN 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022" sId="12" numFmtId="19">
    <oc r="D10">
      <v>46155</v>
    </oc>
    <nc r="D10">
      <v>46156</v>
    </nc>
  </rcc>
  <rcc rId="3023" sId="12">
    <oc r="E10">
      <v>3</v>
    </oc>
    <nc r="E10">
      <v>2</v>
    </nc>
  </rcc>
  <rcc rId="3024" sId="12" odxf="1" dxf="1" numFmtId="4">
    <nc r="H10">
      <v>32719303271931</v>
    </nc>
    <odxf>
      <numFmt numFmtId="0" formatCode="General"/>
      <fill>
        <patternFill patternType="solid">
          <bgColor theme="0"/>
        </patternFill>
      </fill>
    </odxf>
    <ndxf>
      <numFmt numFmtId="3" formatCode="#,##0"/>
      <fill>
        <patternFill patternType="none">
          <bgColor indexed="65"/>
        </patternFill>
      </fill>
    </ndxf>
  </rcc>
  <rcc rId="3025" sId="12">
    <oc r="I10" t="inlineStr">
      <is>
        <t>Win/Faiha</t>
      </is>
    </oc>
    <nc r="I10" t="inlineStr">
      <is>
        <t>Shamrath/Tarush</t>
      </is>
    </nc>
  </rcc>
  <rcc rId="3026" sId="12">
    <oc r="J10">
      <f>IF(OR(NOT(ISERROR(MATCH(RIGHT(#REF!,3)+0,#REF!,0))),NOT(ISERROR(MATCH(LEFT(#REF!,3)+0,#REF!,0)))),"No Post","")</f>
    </oc>
    <nc r="J10">
      <f>IF(OR(NOT(ISERROR(MATCH(RIGHT(#REF!,3)+0,#REF!,0))),NOT(ISERROR(MATCH(LEFT(#REF!,3)+0,#REF!,0)))),"No Post","")</f>
    </nc>
  </rcc>
  <rcc rId="3027" sId="12">
    <oc r="B21">
      <v>801</v>
    </oc>
    <nc r="B21">
      <v>843</v>
    </nc>
  </rcc>
  <rcc rId="3028" sId="12" odxf="1" dxf="1">
    <oc r="C21" t="inlineStr">
      <is>
        <t xml:space="preserve">MS.XIE/YUJUAN </t>
      </is>
    </oc>
    <nc r="C21" t="inlineStr">
      <is>
        <t>Shang Lee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029" sId="12" numFmtId="19">
    <oc r="D21">
      <v>46156</v>
    </oc>
    <nc r="D21">
      <v>46155</v>
    </nc>
  </rcc>
  <rcc rId="3030" sId="12" odxf="1" dxf="1">
    <oc r="H21">
      <v>32719303271931</v>
    </oc>
    <nc r="H21"/>
    <odxf>
      <numFmt numFmtId="3" formatCode="#,##0"/>
      <fill>
        <patternFill patternType="none">
          <bgColor indexed="65"/>
        </patternFill>
      </fill>
    </odxf>
    <ndxf>
      <numFmt numFmtId="0" formatCode="General"/>
      <fill>
        <patternFill patternType="solid">
          <bgColor theme="0"/>
        </patternFill>
      </fill>
    </ndxf>
  </rcc>
  <rcc rId="3031" sId="12">
    <oc r="I21" t="inlineStr">
      <is>
        <t>Shamrath/Tarush</t>
      </is>
    </oc>
    <nc r="I21" t="inlineStr">
      <is>
        <t>Tarush</t>
      </is>
    </nc>
  </rcc>
  <rcc rId="3032" sId="12">
    <oc r="J21">
      <f>IF(OR(NOT(ISERROR(MATCH(RIGHT(#REF!,3)+0,#REF!,0))),NOT(ISERROR(MATCH(LEFT(#REF!,3)+0,#REF!,0)))),"No Post","")</f>
    </oc>
    <nc r="J21">
      <f>IF(OR(NOT(ISERROR(MATCH(RIGHT(#REF!,3)+0,#REF!,0))),NOT(ISERROR(MATCH(LEFT(#REF!,3)+0,#REF!,0)))),"No Post","")</f>
    </nc>
  </rcc>
  <rcc rId="3033" sId="12" odxf="1" dxf="1">
    <oc r="B17">
      <v>843</v>
    </oc>
    <nc r="B17">
      <v>850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3034" sId="12">
    <oc r="C17" t="inlineStr">
      <is>
        <t>Shang Lee</t>
      </is>
    </oc>
    <nc r="C17" t="inlineStr">
      <is>
        <t>Hessko Khelo</t>
      </is>
    </nc>
  </rcc>
  <rcc rId="3035" sId="12" numFmtId="19">
    <oc r="D17">
      <v>46155</v>
    </oc>
    <nc r="D17">
      <v>46158</v>
    </nc>
  </rcc>
  <rcc rId="3036" sId="12" odxf="1" dxf="1">
    <nc r="H17" t="inlineStr">
      <is>
        <t>SAI</t>
      </is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3037" sId="12">
    <oc r="I17" t="inlineStr">
      <is>
        <t>Tarush</t>
      </is>
    </oc>
    <nc r="I17" t="inlineStr">
      <is>
        <t>Faiha</t>
      </is>
    </nc>
  </rcc>
  <rcc rId="3038" sId="12">
    <oc r="J17">
      <f>IF(OR(NOT(ISERROR(MATCH(RIGHT(#REF!,3)+0,#REF!,0))),NOT(ISERROR(MATCH(LEFT(#REF!,3)+0,#REF!,0)))),"No Post","")</f>
    </oc>
    <nc r="J17">
      <f>IF(OR(NOT(ISERROR(MATCH(RIGHT(#REF!,3)+0,#REF!,0))),NOT(ISERROR(MATCH(LEFT(#REF!,3)+0,#REF!,0)))),"No Post","")</f>
    </nc>
  </rcc>
  <rcc rId="3039" sId="12" odxf="1" dxf="1">
    <oc r="B12">
      <v>850</v>
    </oc>
    <nc r="B12">
      <v>863</v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3040" sId="12">
    <oc r="C12" t="inlineStr">
      <is>
        <t>Hessko Khelo</t>
      </is>
    </oc>
    <nc r="C12" t="inlineStr">
      <is>
        <t>MS.YUAN/CHENGHUI</t>
      </is>
    </nc>
  </rcc>
  <rcc rId="3041" sId="12" numFmtId="19">
    <oc r="D12">
      <v>46158</v>
    </oc>
    <nc r="D12">
      <v>46156</v>
    </nc>
  </rcc>
  <rcc rId="3042" sId="12" odxf="1" dxf="1">
    <oc r="H12" t="inlineStr">
      <is>
        <t>SAI</t>
      </is>
    </oc>
    <nc r="H12" t="inlineStr">
      <is>
        <t>3330927, 3330928</t>
      </is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3043" sId="12">
    <oc r="I12" t="inlineStr">
      <is>
        <t>Faiha</t>
      </is>
    </oc>
    <nc r="I12" t="inlineStr">
      <is>
        <t>Sharamth/Faiha</t>
      </is>
    </nc>
  </rcc>
  <rcc rId="3044" sId="12">
    <oc r="J12">
      <f>IF(OR(NOT(ISERROR(MATCH(RIGHT(#REF!,3)+0,#REF!,0))),NOT(ISERROR(MATCH(LEFT(#REF!,3)+0,#REF!,0)))),"No Post","")</f>
    </oc>
    <nc r="J12">
      <f>IF(OR(NOT(ISERROR(MATCH(RIGHT(#REF!,3)+0,#REF!,0))),NOT(ISERROR(MATCH(LEFT(#REF!,3)+0,#REF!,0)))),"No Post","")</f>
    </nc>
  </rcc>
  <rcc rId="3045" sId="12" odxf="1" dxf="1">
    <oc r="B18">
      <v>863</v>
    </oc>
    <nc r="B18">
      <v>868</v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3046" sId="12">
    <oc r="C18" t="inlineStr">
      <is>
        <t>MS.YUAN/CHENGHUI</t>
      </is>
    </oc>
    <nc r="C18" t="inlineStr">
      <is>
        <t>Natsuki Maki</t>
      </is>
    </nc>
  </rcc>
  <rcc rId="3047" sId="12" numFmtId="19">
    <oc r="D18">
      <v>46156</v>
    </oc>
    <nc r="D18">
      <v>46154</v>
    </nc>
  </rcc>
  <rcc rId="3048" sId="12" odxf="1" dxf="1">
    <oc r="H18" t="inlineStr">
      <is>
        <t>3330927, 3330928</t>
      </is>
    </oc>
    <nc r="H18" t="inlineStr">
      <is>
        <t>ALLOCATION</t>
      </is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3049" sId="12">
    <oc r="I18" t="inlineStr">
      <is>
        <t>Sharamth/Faiha</t>
      </is>
    </oc>
    <nc r="I18" t="inlineStr">
      <is>
        <t>Leyla/Faiha</t>
      </is>
    </nc>
  </rcc>
  <rcc rId="3050" sId="12">
    <oc r="J18">
      <f>IF(OR(NOT(ISERROR(MATCH(RIGHT(#REF!,3)+0,#REF!,0))),NOT(ISERROR(MATCH(LEFT(#REF!,3)+0,#REF!,0)))),"No Post","")</f>
    </oc>
    <nc r="J18">
      <f>IF(OR(NOT(ISERROR(MATCH(RIGHT(#REF!,3)+0,#REF!,0))),NOT(ISERROR(MATCH(LEFT(#REF!,3)+0,#REF!,0)))),"No Post","")</f>
    </nc>
  </rcc>
  <rcc rId="3051" sId="12" odxf="1" dxf="1">
    <oc r="B23">
      <v>868</v>
    </oc>
    <nc r="B23">
      <v>869</v>
    </nc>
    <odxf>
      <fill>
        <patternFill>
          <bgColor rgb="FF92D050"/>
        </patternFill>
      </fill>
    </odxf>
    <ndxf>
      <fill>
        <patternFill>
          <bgColor theme="0"/>
        </patternFill>
      </fill>
    </ndxf>
  </rcc>
  <rcc rId="3052" sId="12">
    <oc r="C23" t="inlineStr">
      <is>
        <t>Natsuki Maki</t>
      </is>
    </oc>
    <nc r="C23" t="inlineStr">
      <is>
        <t>Eugene Au</t>
      </is>
    </nc>
  </rcc>
  <rcc rId="3053" sId="12" numFmtId="19">
    <oc r="D23">
      <v>46154</v>
    </oc>
    <nc r="D23">
      <v>46157</v>
    </nc>
  </rcc>
  <rcc rId="3054" sId="12" odxf="1" dxf="1">
    <oc r="H23" t="inlineStr">
      <is>
        <t>ALLOCATION</t>
      </is>
    </oc>
    <nc r="H23"/>
    <odxf>
      <fill>
        <patternFill>
          <bgColor rgb="FF92D050"/>
        </patternFill>
      </fill>
    </odxf>
    <ndxf>
      <fill>
        <patternFill>
          <bgColor theme="0"/>
        </patternFill>
      </fill>
    </ndxf>
  </rcc>
  <rcc rId="3055" sId="12">
    <oc r="I23" t="inlineStr">
      <is>
        <t>Leyla/Faiha</t>
      </is>
    </oc>
    <nc r="I23" t="inlineStr">
      <is>
        <t>Faiha</t>
      </is>
    </nc>
  </rcc>
  <rcc rId="3056" sId="12">
    <oc r="J23">
      <f>IF(OR(NOT(ISERROR(MATCH(RIGHT(#REF!,3)+0,#REF!,0))),NOT(ISERROR(MATCH(LEFT(#REF!,3)+0,#REF!,0)))),"No Post","")</f>
    </oc>
    <nc r="J23">
      <f>IF(OR(NOT(ISERROR(MATCH(RIGHT(#REF!,3)+0,#REF!,0))),NOT(ISERROR(MATCH(LEFT(#REF!,3)+0,#REF!,0)))),"No Post","")</f>
    </nc>
  </rcc>
  <rcc rId="3057" sId="12">
    <oc r="B9">
      <v>869</v>
    </oc>
    <nc r="B9" t="inlineStr">
      <is>
        <t>619/862</t>
      </is>
    </nc>
  </rcc>
  <rcc rId="3058" sId="12">
    <oc r="C9" t="inlineStr">
      <is>
        <t>Eugene Au</t>
      </is>
    </oc>
    <nc r="C9" t="inlineStr">
      <is>
        <t>Hui Zhi</t>
      </is>
    </nc>
  </rcc>
  <rcc rId="3059" sId="12" numFmtId="19">
    <oc r="D9">
      <v>46157</v>
    </oc>
    <nc r="D9">
      <v>46154</v>
    </nc>
  </rcc>
  <rcc rId="3060" sId="12">
    <oc r="I9" t="inlineStr">
      <is>
        <t>Faiha</t>
      </is>
    </oc>
    <nc r="I9" t="inlineStr">
      <is>
        <t>c</t>
      </is>
    </nc>
  </rcc>
  <rcc rId="3061" sId="12">
    <oc r="J9">
      <f>IF(OR(NOT(ISERROR(MATCH(RIGHT(#REF!,3)+0,#REF!,0))),NOT(ISERROR(MATCH(LEFT(#REF!,3)+0,#REF!,0)))),"No Post","")</f>
    </oc>
    <nc r="J9">
      <f>IF(OR(NOT(ISERROR(MATCH(RIGHT(#REF!,3)+0,#REF!,0))),NOT(ISERROR(MATCH(LEFT(#REF!,3)+0,#REF!,0)))),"No Post","")</f>
    </nc>
  </rcc>
  <rcc rId="3062" sId="12">
    <oc r="B20" t="inlineStr">
      <is>
        <t>619/862</t>
      </is>
    </oc>
    <nc r="B20" t="inlineStr">
      <is>
        <t>624/860</t>
      </is>
    </nc>
  </rcc>
  <rcc rId="3063" sId="12" odxf="1" dxf="1">
    <oc r="C20" t="inlineStr">
      <is>
        <t>Hui Zhi</t>
      </is>
    </oc>
    <nc r="C20" t="inlineStr">
      <is>
        <t>Shuaicheng Niu</t>
      </is>
    </nc>
    <o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border outline="0">
        <left/>
        <right/>
        <top/>
        <bottom/>
      </border>
    </ndxf>
  </rcc>
  <rcc rId="3064" sId="12">
    <oc r="I20" t="inlineStr">
      <is>
        <t>c</t>
      </is>
    </oc>
    <nc r="I20" t="inlineStr">
      <is>
        <t>Win/Maaji</t>
      </is>
    </nc>
  </rcc>
  <rcc rId="3065" sId="12">
    <oc r="J20">
      <f>IF(OR(NOT(ISERROR(MATCH(RIGHT(#REF!,3)+0,#REF!,0))),NOT(ISERROR(MATCH(LEFT(#REF!,3)+0,#REF!,0)))),"No Post","")</f>
    </oc>
    <nc r="J20">
      <f>IF(OR(NOT(ISERROR(MATCH(RIGHT(#REF!,3)+0,#REF!,0))),NOT(ISERROR(MATCH(LEFT(#REF!,3)+0,#REF!,0)))),"No Post","")</f>
    </nc>
  </rcc>
  <rcc rId="3066" sId="12">
    <oc r="B25" t="inlineStr">
      <is>
        <t>624/860</t>
      </is>
    </oc>
    <nc r="B25" t="inlineStr">
      <is>
        <t>630/864</t>
      </is>
    </nc>
  </rcc>
  <rcc rId="3067" sId="12" odxf="1" dxf="1">
    <oc r="C25" t="inlineStr">
      <is>
        <t>Shuaicheng Niu</t>
      </is>
    </oc>
    <nc r="C25" t="inlineStr">
      <is>
        <t>Yinuo Shi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68" sId="12">
    <oc r="I25" t="inlineStr">
      <is>
        <t>Win/Maaji</t>
      </is>
    </oc>
    <nc r="I25" t="inlineStr">
      <is>
        <t>Win/Faiha</t>
      </is>
    </nc>
  </rcc>
  <rcc rId="3069" sId="12">
    <oc r="J25">
      <f>IF(OR(NOT(ISERROR(MATCH(RIGHT(#REF!,3)+0,#REF!,0))),NOT(ISERROR(MATCH(LEFT(#REF!,3)+0,#REF!,0)))),"No Post","")</f>
    </oc>
    <nc r="J25">
      <f>IF(OR(NOT(ISERROR(MATCH(RIGHT(#REF!,3)+0,#REF!,0))),NOT(ISERROR(MATCH(LEFT(#REF!,3)+0,#REF!,0)))),"No Post","")</f>
    </nc>
  </rcc>
  <rcc rId="3070" sId="12" odxf="1" dxf="1">
    <oc r="B24" t="inlineStr">
      <is>
        <t>630/864</t>
      </is>
    </oc>
    <nc r="B24" t="inlineStr">
      <is>
        <t>664/810</t>
      </is>
    </nc>
    <odxf>
      <border outline="0">
        <top style="thin">
          <color indexed="64"/>
        </top>
      </border>
    </odxf>
    <ndxf>
      <border outline="0">
        <top/>
      </border>
    </ndxf>
  </rcc>
  <rcc rId="3071" sId="12" odxf="1" s="1" dxf="1">
    <oc r="C24" t="inlineStr">
      <is>
        <t>Yinuo Shi</t>
      </is>
    </oc>
    <nc r="C24" t="inlineStr">
      <is>
        <t xml:space="preserve">MS.GU/YUEYI 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none">
          <bgColor indexed="65"/>
        </patternFill>
      </fill>
      <border outline="0">
        <top/>
      </border>
    </ndxf>
  </rcc>
  <rcc rId="3072" sId="12" odxf="1" dxf="1" numFmtId="19">
    <oc r="D24">
      <v>46154</v>
    </oc>
    <nc r="D24">
      <v>46156</v>
    </nc>
    <odxf>
      <border outline="0">
        <top style="thin">
          <color indexed="64"/>
        </top>
      </border>
    </odxf>
    <ndxf>
      <border outline="0">
        <top/>
      </border>
    </ndxf>
  </rcc>
  <rcc rId="3073" sId="12" odxf="1" dxf="1">
    <oc r="E24">
      <v>2</v>
    </oc>
    <nc r="E24" t="inlineStr">
      <is>
        <t>PP3</t>
      </is>
    </nc>
    <odxf>
      <border outline="0">
        <top style="thin">
          <color indexed="64"/>
        </top>
      </border>
    </odxf>
    <ndxf>
      <border outline="0">
        <top/>
      </border>
    </ndxf>
  </rcc>
  <rcc rId="3074" sId="12" odxf="1" dxf="1">
    <nc r="H24" t="inlineStr">
      <is>
        <t>3271928, 3271929</t>
      </is>
    </nc>
    <odxf>
      <numFmt numFmtId="0" formatCode="General"/>
      <fill>
        <patternFill patternType="solid">
          <bgColor theme="0"/>
        </patternFill>
      </fill>
    </odxf>
    <ndxf>
      <numFmt numFmtId="3" formatCode="#,##0"/>
      <fill>
        <patternFill patternType="none">
          <bgColor indexed="65"/>
        </patternFill>
      </fill>
    </ndxf>
  </rcc>
  <rcc rId="3075" sId="12">
    <oc r="I24" t="inlineStr">
      <is>
        <t>Win/Faiha</t>
      </is>
    </oc>
    <nc r="I24" t="inlineStr">
      <is>
        <t>Shamrath/Tarush</t>
      </is>
    </nc>
  </rcc>
  <rcc rId="3076" sId="12" odxf="1" dxf="1">
    <oc r="J24">
      <f>IF(OR(NOT(ISERROR(MATCH(RIGHT(#REF!,3)+0,#REF!,0))),NOT(ISERROR(MATCH(LEFT(#REF!,3)+0,#REF!,0)))),"No Post","")</f>
    </oc>
    <nc r="J24">
      <f>IF(OR(NOT(ISERROR(MATCH(RIGHT(B24,3)+0,#REF!,0))),NOT(ISERROR(MATCH(LEFT(B24,3)+0,#REF!,0)))),"No Post","")</f>
    </nc>
    <odxf>
      <font>
        <sz val="12"/>
        <color auto="1"/>
      </font>
      <fill>
        <patternFill>
          <bgColor rgb="FFFF0000"/>
        </patternFill>
      </fill>
    </odxf>
    <ndxf>
      <font>
        <sz val="12"/>
        <color auto="1"/>
      </font>
      <fill>
        <patternFill>
          <bgColor rgb="FF00B050"/>
        </patternFill>
      </fill>
    </ndxf>
  </rcc>
  <rcc rId="3077" sId="12" odxf="1" dxf="1">
    <oc r="B13" t="inlineStr">
      <is>
        <t>664/810</t>
      </is>
    </oc>
    <nc r="B13" t="inlineStr">
      <is>
        <t>801/665</t>
      </is>
    </nc>
    <odxf>
      <border outline="0">
        <top/>
      </border>
    </odxf>
    <ndxf>
      <border outline="0">
        <top style="thin">
          <color indexed="64"/>
        </top>
      </border>
    </ndxf>
  </rcc>
  <rcc rId="3078" sId="12" odxf="1" s="1" dxf="1">
    <oc r="C13" t="inlineStr">
      <is>
        <t xml:space="preserve">MS.GU/YUEYI </t>
      </is>
    </oc>
    <nc r="C13" t="inlineStr">
      <is>
        <t>Yunqian Cheng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odxf>
    <ndxf>
      <fill>
        <patternFill patternType="solid">
          <bgColor theme="0"/>
        </patternFill>
      </fill>
      <border outline="0">
        <top style="thin">
          <color indexed="64"/>
        </top>
      </border>
    </ndxf>
  </rcc>
  <rcc rId="3079" sId="12" odxf="1" dxf="1" numFmtId="19">
    <oc r="D13">
      <v>46156</v>
    </oc>
    <nc r="D13">
      <v>46154</v>
    </nc>
    <odxf>
      <border outline="0">
        <top/>
      </border>
    </odxf>
    <ndxf>
      <border outline="0">
        <top style="thin">
          <color indexed="64"/>
        </top>
      </border>
    </ndxf>
  </rcc>
  <rcc rId="3080" sId="12" odxf="1" dxf="1">
    <oc r="E13" t="inlineStr">
      <is>
        <t>PP3</t>
      </is>
    </oc>
    <nc r="E13" t="inlineStr">
      <is>
        <t>PP2</t>
      </is>
    </nc>
    <odxf>
      <border outline="0">
        <top/>
      </border>
    </odxf>
    <ndxf>
      <border outline="0">
        <top style="thin">
          <color indexed="64"/>
        </top>
      </border>
    </ndxf>
  </rcc>
  <rcc rId="3081" sId="12" odxf="1" dxf="1">
    <oc r="H13" t="inlineStr">
      <is>
        <t>3271928, 3271929</t>
      </is>
    </oc>
    <nc r="H13"/>
    <odxf>
      <numFmt numFmtId="3" formatCode="#,##0"/>
      <fill>
        <patternFill patternType="none">
          <bgColor indexed="65"/>
        </patternFill>
      </fill>
    </odxf>
    <ndxf>
      <numFmt numFmtId="0" formatCode="General"/>
      <fill>
        <patternFill patternType="solid">
          <bgColor theme="0"/>
        </patternFill>
      </fill>
    </ndxf>
  </rcc>
  <rcc rId="3082" sId="12">
    <oc r="I13" t="inlineStr">
      <is>
        <t>Shamrath/Tarush</t>
      </is>
    </oc>
    <nc r="I13" t="inlineStr">
      <is>
        <t>Win/Faiha</t>
      </is>
    </nc>
  </rcc>
  <rcc rId="3083" sId="12">
    <oc r="J13">
      <f>IF(OR(NOT(ISERROR(MATCH(RIGHT(B13,3)+0,#REF!,0))),NOT(ISERROR(MATCH(LEFT(B13,3)+0,#REF!,0)))),"No Post","")</f>
    </oc>
    <nc r="J13">
      <f>IF(OR(NOT(ISERROR(MATCH(RIGHT(B13,3)+0,#REF!,0))),NOT(ISERROR(MATCH(LEFT(B13,3)+0,#REF!,0)))),"No Post","")</f>
    </nc>
  </rcc>
  <rcc rId="3084" sId="12">
    <oc r="B15" t="inlineStr">
      <is>
        <t>801/665</t>
      </is>
    </oc>
    <nc r="B15">
      <v>877</v>
    </nc>
  </rcc>
  <rcc rId="3085" sId="12">
    <oc r="C15" t="inlineStr">
      <is>
        <t>Yunqian Cheng</t>
      </is>
    </oc>
    <nc r="C15" t="inlineStr">
      <is>
        <t>Alexandre Arnaud Banse</t>
      </is>
    </nc>
  </rcc>
  <rcc rId="3086" sId="12" numFmtId="19">
    <oc r="D15">
      <v>46154</v>
    </oc>
    <nc r="D15">
      <v>46156</v>
    </nc>
  </rcc>
  <rcc rId="3087" sId="12">
    <oc r="I15" t="inlineStr">
      <is>
        <t>Win/Faiha</t>
      </is>
    </oc>
    <nc r="I15" t="inlineStr">
      <is>
        <t>Faiha</t>
      </is>
    </nc>
  </rcc>
  <rcc rId="3088" sId="12">
    <oc r="J15">
      <f>IF(OR(NOT(ISERROR(MATCH(RIGHT(B15,3)+0,#REF!,0))),NOT(ISERROR(MATCH(LEFT(B15,3)+0,#REF!,0)))),"No Post","")</f>
    </oc>
    <nc r="J15">
      <f>IF(OR(NOT(ISERROR(MATCH(RIGHT(B15,3)+0,#REF!,0))),NOT(ISERROR(MATCH(LEFT(B15,3)+0,#REF!,0)))),"No Post","")</f>
    </nc>
  </rcc>
  <rcc rId="3089" sId="12">
    <oc r="B16">
      <v>877</v>
    </oc>
    <nc r="B16" t="inlineStr">
      <is>
        <t>801/665</t>
      </is>
    </nc>
  </rcc>
  <rcc rId="3090" sId="12">
    <oc r="C16" t="inlineStr">
      <is>
        <t>Alexandre Arnaud Banse</t>
      </is>
    </oc>
    <nc r="C16" t="inlineStr">
      <is>
        <t>Yunqian Cheng</t>
      </is>
    </nc>
  </rcc>
  <rcc rId="3091" sId="12" numFmtId="19">
    <oc r="D16">
      <v>46156</v>
    </oc>
    <nc r="D16">
      <v>46154</v>
    </nc>
  </rcc>
  <rcc rId="3092" sId="12">
    <oc r="I16" t="inlineStr">
      <is>
        <t>Faiha</t>
      </is>
    </oc>
    <nc r="I16" t="inlineStr">
      <is>
        <t>Win/Faiha</t>
      </is>
    </nc>
  </rcc>
  <rcc rId="3093" sId="12">
    <oc r="J16">
      <f>IF(OR(NOT(ISERROR(MATCH(RIGHT(B16,3)+0,#REF!,0))),NOT(ISERROR(MATCH(LEFT(B16,3)+0,#REF!,0)))),"No Post","")</f>
    </oc>
    <nc r="J16">
      <f>IF(OR(NOT(ISERROR(MATCH(RIGHT(B16,3)+0,#REF!,0))),NOT(ISERROR(MATCH(LEFT(B16,3)+0,#REF!,0)))),"No Post","")</f>
    </nc>
  </rcc>
  <rcc rId="3094" sId="12" odxf="1" dxf="1">
    <oc r="B19" t="inlineStr">
      <is>
        <t>801/665</t>
      </is>
    </oc>
    <nc r="B19">
      <v>811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3095" sId="12">
    <oc r="C19" t="inlineStr">
      <is>
        <t>Yunqian Cheng</t>
      </is>
    </oc>
    <nc r="C19" t="inlineStr">
      <is>
        <t>Finian Odriscoll</t>
      </is>
    </nc>
  </rcc>
  <rcc rId="3096" sId="12" numFmtId="19">
    <oc r="D19">
      <v>46154</v>
    </oc>
    <nc r="D19">
      <v>46157</v>
    </nc>
  </rcc>
  <rcc rId="3097" sId="12" odxf="1" dxf="1">
    <nc r="H19" t="inlineStr">
      <is>
        <t>SAI</t>
      </is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3098" sId="12">
    <oc r="I19" t="inlineStr">
      <is>
        <t>Win/Faiha</t>
      </is>
    </oc>
    <nc r="I19" t="inlineStr">
      <is>
        <t>Faiha</t>
      </is>
    </nc>
  </rcc>
  <rcc rId="3099" sId="12">
    <oc r="J19">
      <f>IF(OR(NOT(ISERROR(MATCH(RIGHT(B19,3)+0,#REF!,0))),NOT(ISERROR(MATCH(LEFT(B19,3)+0,#REF!,0)))),"No Post","")</f>
    </oc>
    <nc r="J19">
      <f>IF(OR(NOT(ISERROR(MATCH(RIGHT(B19,3)+0,#REF!,0))),NOT(ISERROR(MATCH(LEFT(B19,3)+0,#REF!,0)))),"No Post","")</f>
    </nc>
  </rcc>
  <rcc rId="3100" sId="12" odxf="1" dxf="1">
    <oc r="B8">
      <v>811</v>
    </oc>
    <nc r="B8">
      <v>343</v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3101" sId="12" odxf="1" dxf="1">
    <oc r="C8" t="inlineStr">
      <is>
        <t>Finian Odriscoll</t>
      </is>
    </oc>
    <nc r="C8" t="inlineStr">
      <is>
        <t>Kwende Monlois</t>
      </is>
    </nc>
    <o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none">
          <bgColor indexed="65"/>
        </patternFill>
      </fill>
      <border outline="0">
        <left/>
        <right/>
        <top/>
        <bottom/>
      </border>
    </ndxf>
  </rcc>
  <rcc rId="3102" sId="12" odxf="1" dxf="1" numFmtId="19">
    <oc r="D8">
      <v>46157</v>
    </oc>
    <nc r="D8">
      <v>46155</v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103" sId="12" odxf="1" dxf="1">
    <oc r="E8" t="inlineStr">
      <is>
        <t>PP2</t>
      </is>
    </oc>
    <nc r="E8" t="inlineStr">
      <is>
        <t>CXL2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104" sId="12" odxf="1" dxf="1">
    <nc r="F8" t="inlineStr">
      <is>
        <t>CXL1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fmt sheetId="12" sqref="G8" start="0" length="0">
    <dxf>
      <fill>
        <patternFill patternType="none">
          <bgColor indexed="65"/>
        </patternFill>
      </fill>
    </dxf>
  </rfmt>
  <rcc rId="3105" sId="12" odxf="1" dxf="1">
    <oc r="H8" t="inlineStr">
      <is>
        <t>SAI</t>
      </is>
    </oc>
    <nc r="H8"/>
    <odxf>
      <fill>
        <patternFill patternType="solid">
          <bgColor rgb="FFFFFF0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none">
          <bgColor indexed="65"/>
        </patternFill>
      </fill>
      <border outline="0">
        <left/>
        <right/>
        <top/>
        <bottom/>
      </border>
    </ndxf>
  </rcc>
  <rcc rId="3106" sId="12" odxf="1" dxf="1">
    <oc r="I8" t="inlineStr">
      <is>
        <t>Faiha</t>
      </is>
    </oc>
    <nc r="I8" t="inlineStr">
      <is>
        <t>UV/Faiha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107" sId="12">
    <oc r="J8">
      <f>IF(OR(NOT(ISERROR(MATCH(RIGHT(B8,3)+0,#REF!,0))),NOT(ISERROR(MATCH(LEFT(B8,3)+0,#REF!,0)))),"No Post","")</f>
    </oc>
    <nc r="J8">
      <f>IF(OR(NOT(ISERROR(MATCH(RIGHT(B8,3)+0,#REF!,0))),NOT(ISERROR(MATCH(LEFT(B8,3)+0,#REF!,0)))),"No Post","")</f>
    </nc>
  </rcc>
  <rfmt sheetId="12" sqref="B7:J7">
    <dxf>
      <fill>
        <patternFill patternType="none">
          <bgColor auto="1"/>
        </patternFill>
      </fill>
    </dxf>
  </rfmt>
  <rfmt sheetId="12" sqref="B7:I7" start="0" length="0">
    <dxf>
      <border>
        <bottom style="thin">
          <color indexed="64"/>
        </bottom>
      </border>
    </dxf>
  </rfmt>
  <rfmt sheetId="12" sqref="H8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3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C1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3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8" sId="13" odxf="1" dxf="1">
    <nc r="B14">
      <v>648</v>
    </nc>
    <odxf>
      <alignment vertical="top" readingOrder="0"/>
    </odxf>
    <ndxf>
      <alignment vertical="center" readingOrder="0"/>
    </ndxf>
  </rcc>
  <rcc rId="3109" sId="13" odxf="1" dxf="1">
    <nc r="C14" t="inlineStr">
      <is>
        <t>ZHANG/YUANWEN MS</t>
      </is>
    </nc>
    <odxf>
      <alignment vertical="top" readingOrder="0"/>
    </odxf>
    <ndxf>
      <alignment vertical="center" readingOrder="0"/>
    </ndxf>
  </rcc>
  <rcc rId="3110" sId="13" odxf="1" dxf="1" numFmtId="19">
    <nc r="D14">
      <v>46157</v>
    </nc>
    <odxf>
      <alignment vertical="top" readingOrder="0"/>
    </odxf>
    <ndxf>
      <alignment vertical="center" readingOrder="0"/>
    </ndxf>
  </rcc>
  <rcc rId="3111" sId="13" odxf="1" dxf="1">
    <nc r="E14">
      <v>2</v>
    </nc>
    <odxf>
      <alignment vertical="top" readingOrder="0"/>
    </odxf>
    <ndxf>
      <alignment vertical="center" readingOrder="0"/>
    </ndxf>
  </rcc>
  <rfmt sheetId="13" sqref="F14" start="0" length="0">
    <dxf>
      <alignment vertical="center" readingOrder="0"/>
    </dxf>
  </rfmt>
  <rfmt sheetId="13" sqref="G14" start="0" length="0">
    <dxf>
      <alignment vertical="center" readingOrder="0"/>
    </dxf>
  </rfmt>
  <rcc rId="3112" sId="13" odxf="1" dxf="1">
    <nc r="H14" t="inlineStr">
      <is>
        <t>3085432, 3085433</t>
      </is>
    </nc>
    <odxf>
      <alignment vertical="top" readingOrder="0"/>
    </odxf>
    <ndxf>
      <alignment vertical="center" readingOrder="0"/>
    </ndxf>
  </rcc>
  <rcc rId="3113" sId="13" odxf="1" dxf="1">
    <nc r="I14" t="inlineStr">
      <is>
        <t>Sharamth/Faiha</t>
      </is>
    </nc>
    <odxf>
      <alignment vertical="top" readingOrder="0"/>
    </odxf>
    <ndxf>
      <alignment vertical="center" readingOrder="0"/>
    </ndxf>
  </rcc>
  <rcc rId="3114" sId="12" odxf="1" dxf="1">
    <oc r="E11">
      <v>2</v>
    </oc>
    <nc r="E11" t="inlineStr">
      <is>
        <t>PP2</t>
      </is>
    </nc>
    <odxf>
      <border outline="0">
        <top style="thin">
          <color indexed="64"/>
        </top>
      </border>
    </odxf>
    <ndxf>
      <border outline="0">
        <top/>
      </border>
    </ndxf>
  </rcc>
  <rfmt sheetId="12" sqref="J11">
    <dxf>
      <fill>
        <patternFill>
          <bgColor rgb="FF00B050"/>
        </patternFill>
      </fill>
    </dxf>
  </rfmt>
</revisions>
</file>

<file path=xl/revisions/revisionLog3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J17">
    <dxf>
      <fill>
        <patternFill>
          <bgColor rgb="FF00B050"/>
        </patternFill>
      </fill>
    </dxf>
  </rfmt>
  <rcc rId="3115" sId="12">
    <nc r="K17" t="inlineStr">
      <is>
        <t>whatsapp</t>
      </is>
    </nc>
  </rcc>
</revisions>
</file>

<file path=xl/revisions/revisionLog3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'6'!$A$1:$L$49</formula>
    <oldFormula>'6'!$A$1:$L$49</oldFormula>
  </rdn>
  <rdn rId="0" localSheetId="6" customView="1" name="Z_6222734F_EF03_4A42_A0AF_7421F8747AA6_.wvu.FilterData" hidden="1" oldHidden="1">
    <formula>'6'!$D$6:$K$36</formula>
    <oldFormula>'6'!$D$6:$K$36</oldFormula>
  </rdn>
  <rdn rId="0" localSheetId="7" customView="1" name="Z_6222734F_EF03_4A42_A0AF_7421F8747AA6_.wvu.PrintArea" hidden="1" oldHidden="1">
    <formula>'7'!$A$1:$L$37</formula>
    <oldFormula>'7'!$A$1:$L$37</oldFormula>
  </rdn>
  <rdn rId="0" localSheetId="8" customView="1" name="Z_6222734F_EF03_4A42_A0AF_7421F8747AA6_.wvu.PrintArea" hidden="1" oldHidden="1">
    <formula>'8'!$A$1:$J$33</formula>
    <oldFormula>'8'!$A$1:$J$33</oldFormula>
  </rdn>
  <rdn rId="0" localSheetId="9" customView="1" name="Z_6222734F_EF03_4A42_A0AF_7421F8747AA6_.wvu.PrintArea" hidden="1" oldHidden="1">
    <formula>'9'!$A$1:$J$39</formula>
    <oldFormula>'9'!$A$1:$J$39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3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3148" sheetId="12" source="B11:J11" destination="B7:J7" sourceSheetId="12">
    <undo index="0" exp="area" dr="E7:E26" r="E27" sId="12"/>
    <undo index="0" exp="area" dr="F7:F26" r="F27" sId="12"/>
    <rfmt sheetId="12" sqref="B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C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bottom style="thin">
            <color indexed="64"/>
          </bottom>
        </border>
      </dxf>
    </rfmt>
    <rfmt sheetId="12" sqref="D7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E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F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G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H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bottom style="thin">
            <color indexed="64"/>
          </bottom>
        </border>
      </dxf>
    </rfmt>
    <rfmt sheetId="12" sqref="I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J7" start="0" length="0">
      <dxf>
        <font>
          <b/>
          <sz val="12"/>
          <color theme="1"/>
          <name val="Calibri"/>
          <scheme val="none"/>
        </font>
      </dxf>
    </rfmt>
  </rm>
  <rm rId="3149" sheetId="12" source="B26:K26" destination="B11:K11" sourceSheetId="12">
    <rfmt sheetId="12" sqref="B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C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D11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2" sqref="E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F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G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H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I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J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K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150" sheetId="12" source="B10:K10" destination="B26:K26" sourceSheetId="12"/>
  <rm rId="3151" sheetId="12" source="B21:K21" destination="B10:K10" sourceSheetId="12"/>
  <rm rId="3152" sheetId="12" source="B17:K17" destination="B21:K21" sourceSheetId="12"/>
  <rm rId="3153" sheetId="12" source="B12:K12" destination="B17:K17" sourceSheetId="12"/>
  <rm rId="3154" sheetId="12" source="B18:K18" destination="B12:K12" sourceSheetId="12"/>
  <rm rId="3155" sheetId="12" source="B23:K23" destination="B18:K18" sourceSheetId="12"/>
  <rm rId="3156" sheetId="12" source="B9:K9" destination="B23:K23" sourceSheetId="12"/>
  <rm rId="3157" sheetId="12" source="B20:K20" destination="B9:K9" sourceSheetId="12"/>
  <rm rId="3158" sheetId="12" source="B25:K25" destination="B20:K20" sourceSheetId="12"/>
  <rm rId="3159" sheetId="12" source="B15:K15" destination="B25:K25" sourceSheetId="12"/>
  <rm rId="3160" sheetId="12" source="B19:K19" destination="B15:K15" sourceSheetId="12"/>
  <rm rId="3161" sheetId="12" source="B24:K24" destination="B19:K19" sourceSheetId="12"/>
  <rm rId="3162" sheetId="12" source="B8:K8" destination="B24:K24" sourceSheetId="12"/>
  <rm rId="3163" sheetId="12" source="B13:K13" destination="B8:K8" sourceSheetId="12"/>
  <rm rId="3164" sheetId="12" source="B16:K16" destination="B13:K13" sourceSheetId="12"/>
  <rm rId="3165" sheetId="12" source="B7:K7" destination="B16:K16" sourceSheetId="12">
    <undo index="0" exp="area" dr="E7:E26" r="E27" sId="12"/>
    <undo index="0" exp="area" dr="F7:F26" r="F27" sId="12"/>
  </rm>
  <rm rId="3166" sheetId="12" source="B21:K21" destination="B7:K7" sourceSheetId="12">
    <rfmt sheetId="12" sqref="B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C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D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E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F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G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H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I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J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K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</rm>
  <rcc rId="3167" sId="12" odxf="1" dxf="1">
    <nc r="B21">
      <v>863</v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68" sId="12" odxf="1" dxf="1">
    <nc r="C21" t="inlineStr">
      <is>
        <t>MS.YUAN/CHENGHUI</t>
      </is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69" sId="12" odxf="1" dxf="1" numFmtId="19">
    <nc r="D21">
      <v>46156</v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70" sId="12" odxf="1" dxf="1">
    <nc r="E21">
      <v>2</v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F21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1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71" sId="12" odxf="1" dxf="1">
    <nc r="H21" t="inlineStr">
      <is>
        <t>3330927, 3330928</t>
      </is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72" sId="12" odxf="1" dxf="1">
    <nc r="I21" t="inlineStr">
      <is>
        <t>Sharamth/Faiha</t>
      </is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73" sId="12" odxf="1" dxf="1">
    <nc r="J21">
      <f>IF(OR(NOT(ISERROR(MATCH(RIGHT(#REF!,3)+0,#REF!,0))),NOT(ISERROR(MATCH(LEFT(#REF!,3)+0,#REF!,0)))),"No Post","")</f>
    </nc>
    <odxf>
      <font>
        <b val="0"/>
        <sz val="14"/>
      </font>
      <fill>
        <patternFill patternType="none">
          <bgColor indexed="65"/>
        </patternFill>
      </fill>
      <alignment horizontal="center" vertical="top" readingOrder="0"/>
    </odxf>
    <ndxf>
      <font>
        <b/>
        <sz val="12"/>
        <color auto="1"/>
      </font>
      <fill>
        <patternFill patternType="solid">
          <bgColor rgb="FFFF0000"/>
        </patternFill>
      </fill>
      <alignment horizontal="general" vertical="bottom" readingOrder="0"/>
    </ndxf>
  </rcc>
  <rcc rId="3174" sId="12" odxf="1" dxf="1">
    <oc r="B17">
      <v>863</v>
    </oc>
    <nc r="B17">
      <v>868</v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3175" sId="12">
    <oc r="C17" t="inlineStr">
      <is>
        <t>MS.YUAN/CHENGHUI</t>
      </is>
    </oc>
    <nc r="C17" t="inlineStr">
      <is>
        <t>Natsuki Maki</t>
      </is>
    </nc>
  </rcc>
  <rcc rId="3176" sId="12" numFmtId="19">
    <oc r="D17">
      <v>46156</v>
    </oc>
    <nc r="D17">
      <v>46154</v>
    </nc>
  </rcc>
  <rcc rId="3177" sId="12" odxf="1" dxf="1">
    <oc r="H17" t="inlineStr">
      <is>
        <t>3330927, 3330928</t>
      </is>
    </oc>
    <nc r="H17" t="inlineStr">
      <is>
        <t>ALLOCATION</t>
      </is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3178" sId="12">
    <oc r="I17" t="inlineStr">
      <is>
        <t>Sharamth/Faiha</t>
      </is>
    </oc>
    <nc r="I17" t="inlineStr">
      <is>
        <t>Leyla/Faiha</t>
      </is>
    </nc>
  </rcc>
  <rcc rId="3179" sId="12">
    <oc r="J17">
      <f>IF(OR(NOT(ISERROR(MATCH(RIGHT(#REF!,3)+0,#REF!,0))),NOT(ISERROR(MATCH(LEFT(#REF!,3)+0,#REF!,0)))),"No Post","")</f>
    </oc>
    <nc r="J17">
      <f>IF(OR(NOT(ISERROR(MATCH(RIGHT(#REF!,3)+0,#REF!,0))),NOT(ISERROR(MATCH(LEFT(#REF!,3)+0,#REF!,0)))),"No Post","")</f>
    </nc>
  </rcc>
  <rcc rId="3180" sId="12" odxf="1" dxf="1">
    <oc r="B12">
      <v>868</v>
    </oc>
    <nc r="B12">
      <v>869</v>
    </nc>
    <odxf>
      <fill>
        <patternFill>
          <bgColor rgb="FF92D050"/>
        </patternFill>
      </fill>
    </odxf>
    <ndxf>
      <fill>
        <patternFill>
          <bgColor theme="0"/>
        </patternFill>
      </fill>
    </ndxf>
  </rcc>
  <rcc rId="3181" sId="12">
    <oc r="C12" t="inlineStr">
      <is>
        <t>Natsuki Maki</t>
      </is>
    </oc>
    <nc r="C12" t="inlineStr">
      <is>
        <t>Eugene Au</t>
      </is>
    </nc>
  </rcc>
  <rcc rId="3182" sId="12" numFmtId="19">
    <oc r="D12">
      <v>46154</v>
    </oc>
    <nc r="D12">
      <v>46157</v>
    </nc>
  </rcc>
  <rcc rId="3183" sId="12" odxf="1" dxf="1">
    <oc r="H12" t="inlineStr">
      <is>
        <t>ALLOCATION</t>
      </is>
    </oc>
    <nc r="H12"/>
    <odxf>
      <fill>
        <patternFill>
          <bgColor rgb="FF92D050"/>
        </patternFill>
      </fill>
    </odxf>
    <ndxf>
      <fill>
        <patternFill>
          <bgColor theme="0"/>
        </patternFill>
      </fill>
    </ndxf>
  </rcc>
  <rcc rId="3184" sId="12">
    <oc r="I12" t="inlineStr">
      <is>
        <t>Leyla/Faiha</t>
      </is>
    </oc>
    <nc r="I12" t="inlineStr">
      <is>
        <t>Faiha</t>
      </is>
    </nc>
  </rcc>
  <rcc rId="3185" sId="12">
    <oc r="J12">
      <f>IF(OR(NOT(ISERROR(MATCH(RIGHT(#REF!,3)+0,#REF!,0))),NOT(ISERROR(MATCH(LEFT(#REF!,3)+0,#REF!,0)))),"No Post","")</f>
    </oc>
    <nc r="J12">
      <f>IF(OR(NOT(ISERROR(MATCH(RIGHT(#REF!,3)+0,#REF!,0))),NOT(ISERROR(MATCH(LEFT(#REF!,3)+0,#REF!,0)))),"No Post","")</f>
    </nc>
  </rcc>
  <rcc rId="3186" sId="12">
    <oc r="B18">
      <v>869</v>
    </oc>
    <nc r="B18" t="inlineStr">
      <is>
        <t>619/862</t>
      </is>
    </nc>
  </rcc>
  <rcc rId="3187" sId="12">
    <oc r="C18" t="inlineStr">
      <is>
        <t>Eugene Au</t>
      </is>
    </oc>
    <nc r="C18" t="inlineStr">
      <is>
        <t>Hui Zhi</t>
      </is>
    </nc>
  </rcc>
  <rcc rId="3188" sId="12" numFmtId="19">
    <oc r="D18">
      <v>46157</v>
    </oc>
    <nc r="D18">
      <v>46154</v>
    </nc>
  </rcc>
  <rcc rId="3189" sId="12">
    <oc r="I18" t="inlineStr">
      <is>
        <t>Faiha</t>
      </is>
    </oc>
    <nc r="I18" t="inlineStr">
      <is>
        <t>c</t>
      </is>
    </nc>
  </rcc>
  <rcc rId="3190" sId="12">
    <oc r="J18">
      <f>IF(OR(NOT(ISERROR(MATCH(RIGHT(#REF!,3)+0,#REF!,0))),NOT(ISERROR(MATCH(LEFT(#REF!,3)+0,#REF!,0)))),"No Post","")</f>
    </oc>
    <nc r="J18">
      <f>IF(OR(NOT(ISERROR(MATCH(RIGHT(#REF!,3)+0,#REF!,0))),NOT(ISERROR(MATCH(LEFT(#REF!,3)+0,#REF!,0)))),"No Post","")</f>
    </nc>
  </rcc>
  <rcc rId="3191" sId="12">
    <oc r="B23" t="inlineStr">
      <is>
        <t>619/862</t>
      </is>
    </oc>
    <nc r="B23" t="inlineStr">
      <is>
        <t>624/860</t>
      </is>
    </nc>
  </rcc>
  <rcc rId="3192" sId="12" odxf="1" dxf="1">
    <oc r="C23" t="inlineStr">
      <is>
        <t>Hui Zhi</t>
      </is>
    </oc>
    <nc r="C23" t="inlineStr">
      <is>
        <t>Shuaicheng Niu</t>
      </is>
    </nc>
    <o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border outline="0">
        <left/>
        <right/>
        <top/>
        <bottom/>
      </border>
    </ndxf>
  </rcc>
  <rcc rId="3193" sId="12">
    <oc r="I23" t="inlineStr">
      <is>
        <t>c</t>
      </is>
    </oc>
    <nc r="I23" t="inlineStr">
      <is>
        <t>Win/Maaji</t>
      </is>
    </nc>
  </rcc>
  <rcc rId="3194" sId="12">
    <oc r="J23">
      <f>IF(OR(NOT(ISERROR(MATCH(RIGHT(#REF!,3)+0,#REF!,0))),NOT(ISERROR(MATCH(LEFT(#REF!,3)+0,#REF!,0)))),"No Post","")</f>
    </oc>
    <nc r="J23">
      <f>IF(OR(NOT(ISERROR(MATCH(RIGHT(#REF!,3)+0,#REF!,0))),NOT(ISERROR(MATCH(LEFT(#REF!,3)+0,#REF!,0)))),"No Post","")</f>
    </nc>
  </rcc>
  <rcc rId="3195" sId="12">
    <oc r="B9" t="inlineStr">
      <is>
        <t>624/860</t>
      </is>
    </oc>
    <nc r="B9" t="inlineStr">
      <is>
        <t>630/864</t>
      </is>
    </nc>
  </rcc>
  <rcc rId="3196" sId="12" odxf="1" dxf="1">
    <oc r="C9" t="inlineStr">
      <is>
        <t>Shuaicheng Niu</t>
      </is>
    </oc>
    <nc r="C9" t="inlineStr">
      <is>
        <t>Yinuo Shi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97" sId="12">
    <oc r="I9" t="inlineStr">
      <is>
        <t>Win/Maaji</t>
      </is>
    </oc>
    <nc r="I9" t="inlineStr">
      <is>
        <t>Win/Faiha</t>
      </is>
    </nc>
  </rcc>
  <rcc rId="3198" sId="12">
    <oc r="J9">
      <f>IF(OR(NOT(ISERROR(MATCH(RIGHT(#REF!,3)+0,#REF!,0))),NOT(ISERROR(MATCH(LEFT(#REF!,3)+0,#REF!,0)))),"No Post","")</f>
    </oc>
    <nc r="J9">
      <f>IF(OR(NOT(ISERROR(MATCH(RIGHT(#REF!,3)+0,#REF!,0))),NOT(ISERROR(MATCH(LEFT(#REF!,3)+0,#REF!,0)))),"No Post","")</f>
    </nc>
  </rcc>
  <rcc rId="3199" sId="12" odxf="1" dxf="1">
    <oc r="B20" t="inlineStr">
      <is>
        <t>630/864</t>
      </is>
    </oc>
    <nc r="B20">
      <v>877</v>
    </nc>
    <odxf>
      <border outline="0">
        <top style="thin">
          <color indexed="64"/>
        </top>
      </border>
    </odxf>
    <ndxf>
      <border outline="0">
        <top/>
      </border>
    </ndxf>
  </rcc>
  <rcc rId="3200" sId="12" odxf="1" dxf="1">
    <oc r="C20" t="inlineStr">
      <is>
        <t>Yinuo Shi</t>
      </is>
    </oc>
    <nc r="C20" t="inlineStr">
      <is>
        <t>Alexandre Arnaud Banse</t>
      </is>
    </nc>
    <odxf>
      <border outline="0">
        <top style="thin">
          <color indexed="64"/>
        </top>
      </border>
    </odxf>
    <ndxf>
      <border outline="0">
        <top/>
      </border>
    </ndxf>
  </rcc>
  <rcc rId="3201" sId="12" odxf="1" dxf="1" numFmtId="19">
    <oc r="D20">
      <v>46154</v>
    </oc>
    <nc r="D20">
      <v>46156</v>
    </nc>
    <odxf>
      <border outline="0">
        <top style="thin">
          <color indexed="64"/>
        </top>
      </border>
    </odxf>
    <ndxf>
      <border outline="0">
        <top/>
      </border>
    </ndxf>
  </rcc>
  <rcc rId="3202" sId="12" odxf="1" dxf="1">
    <oc r="E20">
      <v>2</v>
    </oc>
    <nc r="E20" t="inlineStr">
      <is>
        <t>PP2</t>
      </is>
    </nc>
    <odxf>
      <border outline="0">
        <top style="thin">
          <color indexed="64"/>
        </top>
      </border>
    </odxf>
    <ndxf>
      <border outline="0">
        <top/>
      </border>
    </ndxf>
  </rcc>
  <rcc rId="3203" sId="12">
    <oc r="I20" t="inlineStr">
      <is>
        <t>Win/Faiha</t>
      </is>
    </oc>
    <nc r="I20" t="inlineStr">
      <is>
        <t>Faiha</t>
      </is>
    </nc>
  </rcc>
  <rcc rId="3204" sId="12" odxf="1" dxf="1">
    <oc r="J20">
      <f>IF(OR(NOT(ISERROR(MATCH(RIGHT(#REF!,3)+0,#REF!,0))),NOT(ISERROR(MATCH(LEFT(#REF!,3)+0,#REF!,0)))),"No Post","")</f>
    </oc>
    <nc r="J20">
      <f>IF(OR(NOT(ISERROR(MATCH(RIGHT(B20,3)+0,#REF!,0))),NOT(ISERROR(MATCH(LEFT(B20,3)+0,#REF!,0)))),"No Post","")</f>
    </nc>
    <odxf>
      <font>
        <sz val="12"/>
        <color auto="1"/>
      </font>
      <fill>
        <patternFill>
          <bgColor rgb="FFFF0000"/>
        </patternFill>
      </fill>
    </odxf>
    <ndxf>
      <font>
        <sz val="12"/>
        <color auto="1"/>
      </font>
      <fill>
        <patternFill>
          <bgColor rgb="FF00B050"/>
        </patternFill>
      </fill>
    </ndxf>
  </rcc>
  <rcc rId="3205" sId="12" odxf="1" dxf="1">
    <oc r="B25">
      <v>877</v>
    </oc>
    <nc r="B25">
      <v>811</v>
    </nc>
    <odxf>
      <fill>
        <patternFill>
          <bgColor theme="0"/>
        </patternFill>
      </fill>
      <border outline="0">
        <top/>
      </border>
    </odxf>
    <ndxf>
      <fill>
        <patternFill>
          <bgColor rgb="FFFFFF00"/>
        </patternFill>
      </fill>
      <border outline="0">
        <top style="thin">
          <color indexed="64"/>
        </top>
      </border>
    </ndxf>
  </rcc>
  <rcc rId="3206" sId="12" odxf="1" dxf="1">
    <oc r="C25" t="inlineStr">
      <is>
        <t>Alexandre Arnaud Banse</t>
      </is>
    </oc>
    <nc r="C25" t="inlineStr">
      <is>
        <t>Finian Odriscoll</t>
      </is>
    </nc>
    <odxf>
      <border outline="0">
        <top/>
      </border>
    </odxf>
    <ndxf>
      <border outline="0">
        <top style="thin">
          <color indexed="64"/>
        </top>
      </border>
    </ndxf>
  </rcc>
  <rcc rId="3207" sId="12" odxf="1" dxf="1" numFmtId="19">
    <oc r="D25">
      <v>46156</v>
    </oc>
    <nc r="D25">
      <v>46157</v>
    </nc>
    <odxf>
      <border outline="0">
        <top/>
      </border>
    </odxf>
    <ndxf>
      <border outline="0">
        <top style="thin">
          <color indexed="64"/>
        </top>
      </border>
    </ndxf>
  </rcc>
  <rfmt sheetId="12" sqref="E25" start="0" length="0">
    <dxf>
      <border outline="0">
        <top style="thin">
          <color indexed="64"/>
        </top>
      </border>
    </dxf>
  </rfmt>
  <rcc rId="3208" sId="12" odxf="1" dxf="1">
    <nc r="H25" t="inlineStr">
      <is>
        <t>SAI</t>
      </is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3209" sId="12">
    <oc r="J25">
      <f>IF(OR(NOT(ISERROR(MATCH(RIGHT(B25,3)+0,#REF!,0))),NOT(ISERROR(MATCH(LEFT(B25,3)+0,#REF!,0)))),"No Post","")</f>
    </oc>
    <nc r="J25">
      <f>IF(OR(NOT(ISERROR(MATCH(RIGHT(B25,3)+0,#REF!,0))),NOT(ISERROR(MATCH(LEFT(B25,3)+0,#REF!,0)))),"No Post","")</f>
    </nc>
  </rcc>
  <rcc rId="3210" sId="12" odxf="1" dxf="1">
    <oc r="B15">
      <v>811</v>
    </oc>
    <nc r="B15" t="inlineStr">
      <is>
        <t>664/810</t>
      </is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3211" sId="12" odxf="1" s="1" dxf="1">
    <oc r="C15" t="inlineStr">
      <is>
        <t>Finian Odriscoll</t>
      </is>
    </oc>
    <nc r="C15" t="inlineStr">
      <is>
        <t xml:space="preserve">MS.GU/YUEYI 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none">
          <bgColor indexed="65"/>
        </patternFill>
      </fill>
    </ndxf>
  </rcc>
  <rcc rId="3212" sId="12" numFmtId="19">
    <oc r="D15">
      <v>46157</v>
    </oc>
    <nc r="D15">
      <v>46156</v>
    </nc>
  </rcc>
  <rcc rId="3213" sId="12">
    <oc r="E15" t="inlineStr">
      <is>
        <t>PP2</t>
      </is>
    </oc>
    <nc r="E15" t="inlineStr">
      <is>
        <t>PP3</t>
      </is>
    </nc>
  </rcc>
  <rcc rId="3214" sId="12" odxf="1" dxf="1">
    <oc r="H15" t="inlineStr">
      <is>
        <t>SAI</t>
      </is>
    </oc>
    <nc r="H15" t="inlineStr">
      <is>
        <t>3271928, 3271929</t>
      </is>
    </nc>
    <odxf>
      <numFmt numFmtId="0" formatCode="General"/>
      <fill>
        <patternFill patternType="solid">
          <bgColor rgb="FFFFFF00"/>
        </patternFill>
      </fill>
    </odxf>
    <ndxf>
      <numFmt numFmtId="3" formatCode="#,##0"/>
      <fill>
        <patternFill patternType="none">
          <bgColor indexed="65"/>
        </patternFill>
      </fill>
    </ndxf>
  </rcc>
  <rcc rId="3215" sId="12">
    <oc r="I15" t="inlineStr">
      <is>
        <t>Faiha</t>
      </is>
    </oc>
    <nc r="I15" t="inlineStr">
      <is>
        <t>Shamrath/Tarush</t>
      </is>
    </nc>
  </rcc>
  <rcc rId="3216" sId="12">
    <oc r="J15">
      <f>IF(OR(NOT(ISERROR(MATCH(RIGHT(B15,3)+0,#REF!,0))),NOT(ISERROR(MATCH(LEFT(B15,3)+0,#REF!,0)))),"No Post","")</f>
    </oc>
    <nc r="J15">
      <f>IF(OR(NOT(ISERROR(MATCH(RIGHT(B15,3)+0,#REF!,0))),NOT(ISERROR(MATCH(LEFT(B15,3)+0,#REF!,0)))),"No Post","")</f>
    </nc>
  </rcc>
  <rcc rId="3217" sId="12" odxf="1" dxf="1">
    <oc r="B19" t="inlineStr">
      <is>
        <t>664/810</t>
      </is>
    </oc>
    <nc r="B19">
      <v>343</v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218" sId="12" odxf="1" s="1" dxf="1">
    <oc r="C19" t="inlineStr">
      <is>
        <t xml:space="preserve">MS.GU/YUEYI </t>
      </is>
    </oc>
    <nc r="C19" t="inlineStr">
      <is>
        <t>Kwende Monlois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219" sId="12" odxf="1" dxf="1" numFmtId="19">
    <oc r="D19">
      <v>46156</v>
    </oc>
    <nc r="D19">
      <v>46155</v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220" sId="12" odxf="1" dxf="1">
    <oc r="E19" t="inlineStr">
      <is>
        <t>PP3</t>
      </is>
    </oc>
    <nc r="E19" t="inlineStr">
      <is>
        <t>CXL2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221" sId="12" odxf="1" dxf="1">
    <nc r="F19" t="inlineStr">
      <is>
        <t>CXL1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fmt sheetId="12" sqref="G19" start="0" length="0">
    <dxf>
      <fill>
        <patternFill patternType="none">
          <bgColor indexed="65"/>
        </patternFill>
      </fill>
    </dxf>
  </rfmt>
  <rcc rId="3222" sId="12" odxf="1" dxf="1">
    <oc r="H19" t="inlineStr">
      <is>
        <t>3271928, 3271929</t>
      </is>
    </oc>
    <nc r="H19"/>
    <odxf>
      <numFmt numFmtId="3" formatCode="#,##0"/>
    </odxf>
    <ndxf>
      <numFmt numFmtId="0" formatCode="General"/>
    </ndxf>
  </rcc>
  <rcc rId="3223" sId="12" odxf="1" dxf="1">
    <oc r="I19" t="inlineStr">
      <is>
        <t>Shamrath/Tarush</t>
      </is>
    </oc>
    <nc r="I19" t="inlineStr">
      <is>
        <t>UV/Faiha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224" sId="12">
    <oc r="J19">
      <f>IF(OR(NOT(ISERROR(MATCH(RIGHT(B19,3)+0,#REF!,0))),NOT(ISERROR(MATCH(LEFT(B19,3)+0,#REF!,0)))),"No Post","")</f>
    </oc>
    <nc r="J19">
      <f>IF(OR(NOT(ISERROR(MATCH(RIGHT(B19,3)+0,#REF!,0))),NOT(ISERROR(MATCH(LEFT(B19,3)+0,#REF!,0)))),"No Post","")</f>
    </nc>
  </rcc>
  <rcc rId="3225" sId="12" odxf="1" dxf="1">
    <oc r="B24">
      <v>343</v>
    </oc>
    <nc r="B24" t="inlineStr">
      <is>
        <t>801/665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226" sId="12" odxf="1" dxf="1">
    <oc r="C24" t="inlineStr">
      <is>
        <t>Kwende Monlois</t>
      </is>
    </oc>
    <nc r="C24" t="inlineStr">
      <is>
        <t>Yunqian Cheng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227" sId="12" odxf="1" dxf="1" numFmtId="19">
    <oc r="D24">
      <v>46155</v>
    </oc>
    <nc r="D24">
      <v>46154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228" sId="12" odxf="1" dxf="1">
    <oc r="E24" t="inlineStr">
      <is>
        <t>CXL2</t>
      </is>
    </oc>
    <nc r="E24" t="inlineStr">
      <is>
        <t>PP2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229" sId="12" odxf="1" dxf="1">
    <oc r="F24" t="inlineStr">
      <is>
        <t>CXL1</t>
      </is>
    </oc>
    <nc r="F24"/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fmt sheetId="12" sqref="G24" start="0" length="0">
    <dxf>
      <fill>
        <patternFill patternType="solid">
          <bgColor theme="0"/>
        </patternFill>
      </fill>
    </dxf>
  </rfmt>
  <rfmt sheetId="12" sqref="H24" start="0" length="0">
    <dxf>
      <fill>
        <patternFill patternType="solid">
          <bgColor theme="0"/>
        </patternFill>
      </fill>
    </dxf>
  </rfmt>
  <rcc rId="3230" sId="12" odxf="1" dxf="1">
    <oc r="I24" t="inlineStr">
      <is>
        <t>UV/Faiha</t>
      </is>
    </oc>
    <nc r="I24" t="inlineStr">
      <is>
        <t>Win/Faiha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231" sId="12">
    <oc r="J24">
      <f>IF(OR(NOT(ISERROR(MATCH(RIGHT(B24,3)+0,#REF!,0))),NOT(ISERROR(MATCH(LEFT(B24,3)+0,#REF!,0)))),"No Post","")</f>
    </oc>
    <nc r="J24">
      <f>IF(OR(NOT(ISERROR(MATCH(RIGHT(B24,3)+0,#REF!,0))),NOT(ISERROR(MATCH(LEFT(B24,3)+0,#REF!,0)))),"No Post","")</f>
    </nc>
  </rcc>
  <rcc rId="3232" sId="12">
    <oc r="J8">
      <f>IF(OR(NOT(ISERROR(MATCH(RIGHT(B8,3)+0,#REF!,0))),NOT(ISERROR(MATCH(LEFT(B8,3)+0,#REF!,0)))),"No Post","")</f>
    </oc>
    <nc r="J8">
      <f>IF(OR(NOT(ISERROR(MATCH(RIGHT(B8,3)+0,#REF!,0))),NOT(ISERROR(MATCH(LEFT(B8,3)+0,#REF!,0)))),"No Post","")</f>
    </nc>
  </rcc>
  <rcc rId="3233" sId="12">
    <oc r="B13" t="inlineStr">
      <is>
        <t>801/665</t>
      </is>
    </oc>
    <nc r="B13">
      <v>648</v>
    </nc>
  </rcc>
  <rcc rId="3234" sId="12">
    <oc r="C13" t="inlineStr">
      <is>
        <t>Yunqian Cheng</t>
      </is>
    </oc>
    <nc r="C13" t="inlineStr">
      <is>
        <t>ZHANG/YUANWEN MS</t>
      </is>
    </nc>
  </rcc>
  <rcc rId="3235" sId="12" numFmtId="19">
    <oc r="D13">
      <v>46154</v>
    </oc>
    <nc r="D13">
      <v>46157</v>
    </nc>
  </rcc>
  <rfmt sheetId="12" sqref="E13" start="0" length="0">
    <dxf>
      <border outline="0">
        <top/>
      </border>
    </dxf>
  </rfmt>
  <rcc rId="3236" sId="12">
    <nc r="H13" t="inlineStr">
      <is>
        <t>3085432, 3085433</t>
      </is>
    </nc>
  </rcc>
  <rcc rId="3237" sId="12">
    <oc r="I13" t="inlineStr">
      <is>
        <t>Win/Faiha</t>
      </is>
    </oc>
    <nc r="I13" t="inlineStr">
      <is>
        <t>Sharamth/Faiha</t>
      </is>
    </nc>
  </rcc>
  <rcc rId="3238" sId="12" odxf="1" dxf="1">
    <oc r="J13">
      <f>IF(OR(NOT(ISERROR(MATCH(RIGHT(B13,3)+0,#REF!,0))),NOT(ISERROR(MATCH(LEFT(B13,3)+0,#REF!,0)))),"No Post","")</f>
    </oc>
    <nc r="J13">
      <f>IF(OR(NOT(ISERROR(MATCH(RIGHT(#REF!,3)+0,#REF!,0))),NOT(ISERROR(MATCH(LEFT(#REF!,3)+0,#REF!,0)))),"No Post","")</f>
    </nc>
    <odxf>
      <font>
        <sz val="12"/>
      </font>
    </odxf>
    <ndxf>
      <font>
        <sz val="12"/>
        <color auto="1"/>
      </font>
    </ndxf>
  </rcc>
  <rfmt sheetId="12" sqref="K13" start="0" length="0">
    <dxf>
      <font>
        <b/>
        <sz val="15"/>
      </font>
    </dxf>
  </rfmt>
  <rcc rId="3239" sId="12" odxf="1" dxf="1">
    <oc r="B16">
      <v>648</v>
    </oc>
    <nc r="B16">
      <v>850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3240" sId="12">
    <oc r="C16" t="inlineStr">
      <is>
        <t>ZHANG/YUANWEN MS</t>
      </is>
    </oc>
    <nc r="C16" t="inlineStr">
      <is>
        <t>Hessko Khelo</t>
      </is>
    </nc>
  </rcc>
  <rcc rId="3241" sId="12" numFmtId="19">
    <oc r="D16">
      <v>46157</v>
    </oc>
    <nc r="D16">
      <v>46158</v>
    </nc>
  </rcc>
  <rcc rId="3242" sId="12" odxf="1" dxf="1">
    <oc r="E16" t="inlineStr">
      <is>
        <t>PP2</t>
      </is>
    </oc>
    <nc r="E16">
      <v>2</v>
    </nc>
    <odxf>
      <border outline="0">
        <top/>
      </border>
    </odxf>
    <ndxf>
      <border outline="0">
        <top style="thin">
          <color indexed="64"/>
        </top>
      </border>
    </ndxf>
  </rcc>
  <rcc rId="3243" sId="12" odxf="1" dxf="1">
    <oc r="H16" t="inlineStr">
      <is>
        <t>3085432, 3085433</t>
      </is>
    </oc>
    <nc r="H16" t="inlineStr">
      <is>
        <t>SAI</t>
      </is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3244" sId="12">
    <oc r="I16" t="inlineStr">
      <is>
        <t>Sharamth/Faiha</t>
      </is>
    </oc>
    <nc r="I16" t="inlineStr">
      <is>
        <t>Faiha</t>
      </is>
    </nc>
  </rcc>
  <rcc rId="3245" sId="12">
    <oc r="J16">
      <f>IF(OR(NOT(ISERROR(MATCH(RIGHT(#REF!,3)+0,#REF!,0))),NOT(ISERROR(MATCH(LEFT(#REF!,3)+0,#REF!,0)))),"No Post","")</f>
    </oc>
    <nc r="J16">
      <f>IF(OR(NOT(ISERROR(MATCH(RIGHT(#REF!,3)+0,#REF!,0))),NOT(ISERROR(MATCH(LEFT(#REF!,3)+0,#REF!,0)))),"No Post","")</f>
    </nc>
  </rcc>
  <rcc rId="3246" sId="12" odxf="1" dxf="1">
    <nc r="K16" t="inlineStr">
      <is>
        <t>whatsapp</t>
      </is>
    </nc>
    <odxf>
      <font>
        <b/>
        <sz val="15"/>
      </font>
    </odxf>
    <ndxf>
      <font>
        <b val="0"/>
        <sz val="14"/>
      </font>
    </ndxf>
  </rcc>
  <rcc rId="3247" sId="12">
    <oc r="B7">
      <v>850</v>
    </oc>
    <nc r="B7"/>
  </rcc>
  <rcc rId="3248" sId="12">
    <oc r="C7" t="inlineStr">
      <is>
        <t>Hessko Khelo</t>
      </is>
    </oc>
    <nc r="C7"/>
  </rcc>
  <rcc rId="3249" sId="12" numFmtId="19">
    <oc r="D7">
      <v>46158</v>
    </oc>
    <nc r="D7"/>
  </rcc>
  <rcc rId="3250" sId="12">
    <oc r="E7">
      <v>2</v>
    </oc>
    <nc r="E7"/>
  </rcc>
  <rcc rId="3251" sId="12">
    <oc r="H7" t="inlineStr">
      <is>
        <t>SAI</t>
      </is>
    </oc>
    <nc r="H7"/>
  </rcc>
  <rcc rId="3252" sId="12">
    <oc r="I7" t="inlineStr">
      <is>
        <t>Faiha</t>
      </is>
    </oc>
    <nc r="I7"/>
  </rcc>
  <rcc rId="3253" sId="12">
    <oc r="J7">
      <f>IF(OR(NOT(ISERROR(MATCH(RIGHT(#REF!,3)+0,#REF!,0))),NOT(ISERROR(MATCH(LEFT(#REF!,3)+0,#REF!,0)))),"No Post","")</f>
    </oc>
    <nc r="J7"/>
  </rcc>
  <rcc rId="3254" sId="12">
    <oc r="K7" t="inlineStr">
      <is>
        <t>whatsapp</t>
      </is>
    </oc>
    <nc r="K7"/>
  </rcc>
  <rfmt sheetId="12" sqref="B7:K7">
    <dxf>
      <fill>
        <patternFill patternType="none">
          <bgColor auto="1"/>
        </patternFill>
      </fill>
    </dxf>
  </rfmt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'6'!$A$1:$L$49</formula>
    <oldFormula>'6'!$A$1:$L$49</oldFormula>
  </rdn>
  <rdn rId="0" localSheetId="6" customView="1" name="Z_6222734F_EF03_4A42_A0AF_7421F8747AA6_.wvu.FilterData" hidden="1" oldHidden="1">
    <formula>'6'!$D$6:$K$36</formula>
    <oldFormula>'6'!$D$6:$K$36</oldFormula>
  </rdn>
  <rdn rId="0" localSheetId="7" customView="1" name="Z_6222734F_EF03_4A42_A0AF_7421F8747AA6_.wvu.PrintArea" hidden="1" oldHidden="1">
    <formula>'7'!$A$1:$L$37</formula>
    <oldFormula>'7'!$A$1:$L$37</oldFormula>
  </rdn>
  <rdn rId="0" localSheetId="8" customView="1" name="Z_6222734F_EF03_4A42_A0AF_7421F8747AA6_.wvu.PrintArea" hidden="1" oldHidden="1">
    <formula>'8'!$A$1:$J$33</formula>
    <oldFormula>'8'!$A$1:$J$33</oldFormula>
  </rdn>
  <rdn rId="0" localSheetId="9" customView="1" name="Z_6222734F_EF03_4A42_A0AF_7421F8747AA6_.wvu.PrintArea" hidden="1" oldHidden="1">
    <formula>'9'!$A$1:$J$39</formula>
    <oldFormula>'9'!$A$1:$J$39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3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87" sId="13">
    <nc r="B15">
      <v>880</v>
    </nc>
  </rcc>
  <rcc rId="3288" sId="13">
    <nc r="E15">
      <v>2</v>
    </nc>
  </rcc>
  <rcc rId="3289" sId="13">
    <nc r="I15" t="inlineStr">
      <is>
        <t>Faiha</t>
      </is>
    </nc>
  </rcc>
</revisions>
</file>

<file path=xl/revisions/revisionLog3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90" sId="13" odxf="1" dxf="1">
    <nc r="B16">
      <v>863</v>
    </nc>
    <odxf>
      <alignment vertical="top" readingOrder="0"/>
    </odxf>
    <ndxf>
      <alignment vertical="center" readingOrder="0"/>
    </ndxf>
  </rcc>
  <rcc rId="3291" sId="13" odxf="1" dxf="1">
    <nc r="C16" t="inlineStr">
      <is>
        <t>MS.YUAN/CHENGHUI</t>
      </is>
    </nc>
    <odxf>
      <alignment vertical="top" readingOrder="0"/>
    </odxf>
    <ndxf>
      <alignment vertical="center" readingOrder="0"/>
    </ndxf>
  </rcc>
  <rcc rId="3292" sId="13" odxf="1" dxf="1" numFmtId="19">
    <nc r="D16">
      <v>46156</v>
    </nc>
    <odxf>
      <alignment vertical="top" readingOrder="0"/>
    </odxf>
    <ndxf>
      <alignment vertical="center" readingOrder="0"/>
    </ndxf>
  </rcc>
  <rcc rId="3293" sId="13" odxf="1" dxf="1">
    <nc r="E16">
      <v>2</v>
    </nc>
    <odxf>
      <alignment vertical="top" readingOrder="0"/>
    </odxf>
    <ndxf>
      <alignment vertical="center" readingOrder="0"/>
    </ndxf>
  </rcc>
  <rfmt sheetId="13" sqref="F16" start="0" length="0">
    <dxf>
      <alignment vertical="center" readingOrder="0"/>
    </dxf>
  </rfmt>
  <rfmt sheetId="13" sqref="G16" start="0" length="0">
    <dxf>
      <alignment vertical="center" readingOrder="0"/>
    </dxf>
  </rfmt>
  <rcc rId="3294" sId="13" odxf="1" dxf="1">
    <nc r="H16" t="inlineStr">
      <is>
        <t>3330927, 3330928</t>
      </is>
    </nc>
    <odxf>
      <alignment vertical="top" readingOrder="0"/>
    </odxf>
    <ndxf>
      <alignment vertical="center" readingOrder="0"/>
    </ndxf>
  </rcc>
  <rcc rId="3295" sId="13" odxf="1" dxf="1">
    <nc r="I16" t="inlineStr">
      <is>
        <t>Sharamth/Faiha</t>
      </is>
    </nc>
    <odxf>
      <alignment vertical="top" readingOrder="0"/>
    </odxf>
    <ndxf>
      <alignment vertical="center" readingOrder="0"/>
    </ndxf>
  </rcc>
</revisions>
</file>

<file path=xl/revisions/revisionLog3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J21">
    <dxf>
      <fill>
        <patternFill>
          <bgColor rgb="FF00B050"/>
        </patternFill>
      </fill>
    </dxf>
  </rfmt>
  <rcc rId="3296" sId="12" odxf="1" dxf="1">
    <oc r="J17">
      <f>IF(OR(NOT(ISERROR(MATCH(RIGHT(#REF!,3)+0,#REF!,0))),NOT(ISERROR(MATCH(LEFT(#REF!,3)+0,#REF!,0)))),"No Post","")</f>
    </oc>
    <nc r="J17">
      <f>IF(OR(NOT(ISERROR(MATCH(RIGHT(#REF!,3)+0,#REF!,0))),NOT(ISERROR(MATCH(LEFT(#REF!,3)+0,#REF!,0)))),"No Post","")</f>
    </nc>
    <odxf>
      <fill>
        <patternFill>
          <bgColor rgb="FFFF0000"/>
        </patternFill>
      </fill>
    </odxf>
    <ndxf>
      <fill>
        <patternFill>
          <bgColor rgb="FF00B050"/>
        </patternFill>
      </fill>
    </ndxf>
  </rcc>
  <rm rId="3297" sheetId="12" source="B21:J21" destination="B7:J7" sourceSheetId="12">
    <rfmt sheetId="12" sqref="B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C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D7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E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F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G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H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I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J7" start="0" length="0">
      <dxf>
        <font>
          <b/>
          <sz val="12"/>
          <color auto="1"/>
          <name val="Calibri"/>
          <scheme val="none"/>
        </font>
      </dxf>
    </rfmt>
  </rm>
  <rm rId="3298" sheetId="12" source="B17:K17" destination="B21:K21" sourceSheetId="12">
    <rfmt sheetId="12" sqref="B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C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D21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2" sqref="E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F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G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H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I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J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K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299" sheetId="12" source="B12:K12" destination="B17:K17" sourceSheetId="12"/>
  <rm rId="3300" sheetId="12" source="B18:K18" destination="B12:K12" sourceSheetId="12"/>
  <rm rId="3301" sheetId="12" source="B23:K23" destination="B18:K18" sourceSheetId="12"/>
  <rm rId="3302" sheetId="12" source="B9:K9" destination="B23:K23" sourceSheetId="12"/>
  <rm rId="3303" sheetId="12" source="B20:K20" destination="B9:K9" sourceSheetId="12"/>
  <rm rId="3304" sheetId="12" source="B25:K25" destination="B20:K20" sourceSheetId="12"/>
  <rm rId="3305" sheetId="12" source="B15:K15" destination="B25:K25" sourceSheetId="12"/>
  <rm rId="3306" sheetId="12" source="B19:K19" destination="B15:K15" sourceSheetId="12"/>
  <rm rId="3307" sheetId="12" source="B24:K24" destination="B19:K19" sourceSheetId="12"/>
  <rm rId="3308" sheetId="12" source="B8:K8" destination="B24:K24" sourceSheetId="12"/>
  <rm rId="3309" sheetId="12" source="B13:K13" destination="B8:K8" sourceSheetId="12"/>
  <rm rId="3310" sheetId="12" source="B16:K16" destination="B13:K13" sourceSheetId="12"/>
  <rm rId="3311" sheetId="12" source="B7:K7" destination="B16:K16" sourceSheetId="12">
    <undo index="0" exp="area" dr="E7:E25" r="E27" sId="12"/>
    <undo index="0" exp="area" dr="F7:F25" r="F27" sId="12"/>
  </rm>
  <rm rId="3312" sheetId="12" source="B21:J21" destination="B7:J7" sourceSheetId="12">
    <rfmt sheetId="12" sqref="B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C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D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E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F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G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H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I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  <rfmt sheetId="12" sqref="J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</dxf>
    </rfmt>
  </rm>
  <rcc rId="3313" sId="12" odxf="1" dxf="1">
    <nc r="B21">
      <v>869</v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4" sId="12" odxf="1" dxf="1">
    <nc r="C21" t="inlineStr">
      <is>
        <t>Eugene Au</t>
      </is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5" sId="12" odxf="1" dxf="1" numFmtId="19">
    <nc r="D21">
      <v>46157</v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6" sId="12" odxf="1" dxf="1">
    <nc r="E21">
      <v>2</v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F21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1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1" start="0" length="0">
    <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17" sId="12" odxf="1" dxf="1">
    <nc r="I21" t="inlineStr">
      <is>
        <t>Faiha</t>
      </is>
    </nc>
    <o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J21" start="0" length="0">
    <dxf>
      <font>
        <b/>
        <sz val="12"/>
        <color auto="1"/>
      </font>
      <fill>
        <patternFill patternType="solid">
          <bgColor rgb="FFFF0000"/>
        </patternFill>
      </fill>
      <alignment horizontal="general" vertical="bottom" readingOrder="0"/>
    </dxf>
  </rfmt>
  <rcc rId="3318" sId="12">
    <oc r="B17">
      <v>869</v>
    </oc>
    <nc r="B17" t="inlineStr">
      <is>
        <t>619/862</t>
      </is>
    </nc>
  </rcc>
  <rcc rId="3319" sId="12">
    <oc r="C17" t="inlineStr">
      <is>
        <t>Eugene Au</t>
      </is>
    </oc>
    <nc r="C17" t="inlineStr">
      <is>
        <t>Hui Zhi</t>
      </is>
    </nc>
  </rcc>
  <rcc rId="3320" sId="12" numFmtId="19">
    <oc r="D17">
      <v>46157</v>
    </oc>
    <nc r="D17">
      <v>46154</v>
    </nc>
  </rcc>
  <rcc rId="3321" sId="12">
    <oc r="I17" t="inlineStr">
      <is>
        <t>Faiha</t>
      </is>
    </oc>
    <nc r="I17" t="inlineStr">
      <is>
        <t>c</t>
      </is>
    </nc>
  </rcc>
  <rcc rId="3322" sId="12">
    <oc r="B12" t="inlineStr">
      <is>
        <t>619/862</t>
      </is>
    </oc>
    <nc r="B12" t="inlineStr">
      <is>
        <t>624/860</t>
      </is>
    </nc>
  </rcc>
  <rcc rId="3323" sId="12" odxf="1" dxf="1">
    <oc r="C12" t="inlineStr">
      <is>
        <t>Hui Zhi</t>
      </is>
    </oc>
    <nc r="C12" t="inlineStr">
      <is>
        <t>Shuaicheng Niu</t>
      </is>
    </nc>
    <o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border outline="0">
        <left/>
        <right/>
        <top/>
        <bottom/>
      </border>
    </ndxf>
  </rcc>
  <rcc rId="3324" sId="12">
    <oc r="I12" t="inlineStr">
      <is>
        <t>c</t>
      </is>
    </oc>
    <nc r="I12" t="inlineStr">
      <is>
        <t>Win/Maaji</t>
      </is>
    </nc>
  </rcc>
  <rcc rId="3325" sId="12">
    <oc r="B18" t="inlineStr">
      <is>
        <t>624/860</t>
      </is>
    </oc>
    <nc r="B18" t="inlineStr">
      <is>
        <t>630/864</t>
      </is>
    </nc>
  </rcc>
  <rcc rId="3326" sId="12" odxf="1" dxf="1">
    <oc r="C18" t="inlineStr">
      <is>
        <t>Shuaicheng Niu</t>
      </is>
    </oc>
    <nc r="C18" t="inlineStr">
      <is>
        <t>Yinuo Shi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7" sId="12">
    <oc r="I18" t="inlineStr">
      <is>
        <t>Win/Maaji</t>
      </is>
    </oc>
    <nc r="I18" t="inlineStr">
      <is>
        <t>Win/Faiha</t>
      </is>
    </nc>
  </rcc>
  <rcc rId="3328" sId="12" odxf="1" dxf="1">
    <oc r="B23" t="inlineStr">
      <is>
        <t>630/864</t>
      </is>
    </oc>
    <nc r="B23">
      <v>877</v>
    </nc>
    <odxf>
      <border outline="0">
        <top style="thin">
          <color indexed="64"/>
        </top>
      </border>
    </odxf>
    <ndxf>
      <border outline="0">
        <top/>
      </border>
    </ndxf>
  </rcc>
  <rcc rId="3329" sId="12" odxf="1" dxf="1">
    <oc r="C23" t="inlineStr">
      <is>
        <t>Yinuo Shi</t>
      </is>
    </oc>
    <nc r="C23" t="inlineStr">
      <is>
        <t>Alexandre Arnaud Banse</t>
      </is>
    </nc>
    <odxf>
      <border outline="0">
        <top style="thin">
          <color indexed="64"/>
        </top>
      </border>
    </odxf>
    <ndxf>
      <border outline="0">
        <top/>
      </border>
    </ndxf>
  </rcc>
  <rcc rId="3330" sId="12" odxf="1" dxf="1" numFmtId="19">
    <oc r="D23">
      <v>46154</v>
    </oc>
    <nc r="D23">
      <v>46156</v>
    </nc>
    <odxf>
      <border outline="0">
        <top style="thin">
          <color indexed="64"/>
        </top>
      </border>
    </odxf>
    <ndxf>
      <border outline="0">
        <top/>
      </border>
    </ndxf>
  </rcc>
  <rcc rId="3331" sId="12" odxf="1" dxf="1">
    <oc r="E23">
      <v>2</v>
    </oc>
    <nc r="E23" t="inlineStr">
      <is>
        <t>PP2</t>
      </is>
    </nc>
    <odxf>
      <border outline="0">
        <top style="thin">
          <color indexed="64"/>
        </top>
      </border>
    </odxf>
    <ndxf>
      <border outline="0">
        <top/>
      </border>
    </ndxf>
  </rcc>
  <rcc rId="3332" sId="12">
    <oc r="I23" t="inlineStr">
      <is>
        <t>Win/Faiha</t>
      </is>
    </oc>
    <nc r="I23" t="inlineStr">
      <is>
        <t>Faiha</t>
      </is>
    </nc>
  </rcc>
  <rcc rId="3333" sId="12" odxf="1" dxf="1">
    <oc r="J23">
      <f>IF(OR(NOT(ISERROR(MATCH(RIGHT(#REF!,3)+0,#REF!,0))),NOT(ISERROR(MATCH(LEFT(#REF!,3)+0,#REF!,0)))),"No Post","")</f>
    </oc>
    <nc r="J23">
      <f>IF(OR(NOT(ISERROR(MATCH(RIGHT(B23,3)+0,#REF!,0))),NOT(ISERROR(MATCH(LEFT(B23,3)+0,#REF!,0)))),"No Post","")</f>
    </nc>
    <odxf>
      <font>
        <sz val="12"/>
        <color auto="1"/>
      </font>
      <fill>
        <patternFill>
          <bgColor rgb="FFFF0000"/>
        </patternFill>
      </fill>
    </odxf>
    <ndxf>
      <font>
        <sz val="12"/>
        <color auto="1"/>
      </font>
      <fill>
        <patternFill>
          <bgColor rgb="FF00B050"/>
        </patternFill>
      </fill>
    </ndxf>
  </rcc>
  <rcc rId="3334" sId="12" odxf="1" dxf="1">
    <oc r="B9">
      <v>877</v>
    </oc>
    <nc r="B9">
      <v>811</v>
    </nc>
    <odxf>
      <fill>
        <patternFill>
          <bgColor theme="0"/>
        </patternFill>
      </fill>
      <border outline="0">
        <top/>
      </border>
    </odxf>
    <ndxf>
      <fill>
        <patternFill>
          <bgColor rgb="FFFFFF00"/>
        </patternFill>
      </fill>
      <border outline="0">
        <top style="thin">
          <color indexed="64"/>
        </top>
      </border>
    </ndxf>
  </rcc>
  <rcc rId="3335" sId="12" odxf="1" dxf="1">
    <oc r="C9" t="inlineStr">
      <is>
        <t>Alexandre Arnaud Banse</t>
      </is>
    </oc>
    <nc r="C9" t="inlineStr">
      <is>
        <t>Finian Odriscoll</t>
      </is>
    </nc>
    <odxf>
      <border outline="0">
        <top/>
      </border>
    </odxf>
    <ndxf>
      <border outline="0">
        <top style="thin">
          <color indexed="64"/>
        </top>
      </border>
    </ndxf>
  </rcc>
  <rcc rId="3336" sId="12" odxf="1" dxf="1" numFmtId="19">
    <oc r="D9">
      <v>46156</v>
    </oc>
    <nc r="D9">
      <v>46157</v>
    </nc>
    <odxf>
      <border outline="0">
        <top/>
      </border>
    </odxf>
    <ndxf>
      <border outline="0">
        <top style="thin">
          <color indexed="64"/>
        </top>
      </border>
    </ndxf>
  </rcc>
  <rfmt sheetId="12" sqref="E9" start="0" length="0">
    <dxf>
      <border outline="0">
        <top style="thin">
          <color indexed="64"/>
        </top>
      </border>
    </dxf>
  </rfmt>
  <rcc rId="3337" sId="12" odxf="1" dxf="1">
    <nc r="H9" t="inlineStr">
      <is>
        <t>SAI</t>
      </is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3338" sId="12">
    <oc r="J9">
      <f>IF(OR(NOT(ISERROR(MATCH(RIGHT(B9,3)+0,#REF!,0))),NOT(ISERROR(MATCH(LEFT(B9,3)+0,#REF!,0)))),"No Post","")</f>
    </oc>
    <nc r="J9">
      <f>IF(OR(NOT(ISERROR(MATCH(RIGHT(B9,3)+0,#REF!,0))),NOT(ISERROR(MATCH(LEFT(B9,3)+0,#REF!,0)))),"No Post","")</f>
    </nc>
  </rcc>
  <rcc rId="3339" sId="12" odxf="1" dxf="1">
    <oc r="B20">
      <v>811</v>
    </oc>
    <nc r="B20" t="inlineStr">
      <is>
        <t>664/810</t>
      </is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3340" sId="12" odxf="1" s="1" dxf="1">
    <oc r="C20" t="inlineStr">
      <is>
        <t>Finian Odriscoll</t>
      </is>
    </oc>
    <nc r="C20" t="inlineStr">
      <is>
        <t xml:space="preserve">MS.GU/YUEYI 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none">
          <bgColor indexed="65"/>
        </patternFill>
      </fill>
    </ndxf>
  </rcc>
  <rcc rId="3341" sId="12" numFmtId="19">
    <oc r="D20">
      <v>46157</v>
    </oc>
    <nc r="D20">
      <v>46156</v>
    </nc>
  </rcc>
  <rcc rId="3342" sId="12">
    <oc r="E20" t="inlineStr">
      <is>
        <t>PP2</t>
      </is>
    </oc>
    <nc r="E20" t="inlineStr">
      <is>
        <t>PP3</t>
      </is>
    </nc>
  </rcc>
  <rcc rId="3343" sId="12" odxf="1" dxf="1">
    <oc r="H20" t="inlineStr">
      <is>
        <t>SAI</t>
      </is>
    </oc>
    <nc r="H20" t="inlineStr">
      <is>
        <t>3271928, 3271929</t>
      </is>
    </nc>
    <odxf>
      <numFmt numFmtId="0" formatCode="General"/>
      <fill>
        <patternFill patternType="solid">
          <bgColor rgb="FFFFFF00"/>
        </patternFill>
      </fill>
    </odxf>
    <ndxf>
      <numFmt numFmtId="3" formatCode="#,##0"/>
      <fill>
        <patternFill patternType="none">
          <bgColor indexed="65"/>
        </patternFill>
      </fill>
    </ndxf>
  </rcc>
  <rcc rId="3344" sId="12">
    <oc r="I20" t="inlineStr">
      <is>
        <t>Faiha</t>
      </is>
    </oc>
    <nc r="I20" t="inlineStr">
      <is>
        <t>Shamrath/Tarush</t>
      </is>
    </nc>
  </rcc>
  <rcc rId="3345" sId="12">
    <oc r="J20">
      <f>IF(OR(NOT(ISERROR(MATCH(RIGHT(B20,3)+0,#REF!,0))),NOT(ISERROR(MATCH(LEFT(B20,3)+0,#REF!,0)))),"No Post","")</f>
    </oc>
    <nc r="J20">
      <f>IF(OR(NOT(ISERROR(MATCH(RIGHT(B20,3)+0,#REF!,0))),NOT(ISERROR(MATCH(LEFT(B20,3)+0,#REF!,0)))),"No Post","")</f>
    </nc>
  </rcc>
  <rcc rId="3346" sId="12" odxf="1" dxf="1">
    <oc r="B25" t="inlineStr">
      <is>
        <t>664/810</t>
      </is>
    </oc>
    <nc r="B25">
      <v>343</v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347" sId="12" odxf="1" s="1" dxf="1">
    <oc r="C25" t="inlineStr">
      <is>
        <t xml:space="preserve">MS.GU/YUEYI </t>
      </is>
    </oc>
    <nc r="C25" t="inlineStr">
      <is>
        <t>Kwende Monlois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348" sId="12" odxf="1" dxf="1" numFmtId="19">
    <oc r="D25">
      <v>46156</v>
    </oc>
    <nc r="D25">
      <v>46155</v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349" sId="12" odxf="1" dxf="1">
    <oc r="E25" t="inlineStr">
      <is>
        <t>PP3</t>
      </is>
    </oc>
    <nc r="E25" t="inlineStr">
      <is>
        <t>CXL2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350" sId="12" odxf="1" dxf="1">
    <nc r="F25" t="inlineStr">
      <is>
        <t>CXL1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fmt sheetId="12" sqref="G25" start="0" length="0">
    <dxf>
      <fill>
        <patternFill patternType="none">
          <bgColor indexed="65"/>
        </patternFill>
      </fill>
    </dxf>
  </rfmt>
  <rcc rId="3351" sId="12" odxf="1" dxf="1">
    <oc r="H25" t="inlineStr">
      <is>
        <t>3271928, 3271929</t>
      </is>
    </oc>
    <nc r="H25"/>
    <odxf>
      <numFmt numFmtId="3" formatCode="#,##0"/>
    </odxf>
    <ndxf>
      <numFmt numFmtId="0" formatCode="General"/>
    </ndxf>
  </rcc>
  <rcc rId="3352" sId="12" odxf="1" dxf="1">
    <oc r="I25" t="inlineStr">
      <is>
        <t>Shamrath/Tarush</t>
      </is>
    </oc>
    <nc r="I25" t="inlineStr">
      <is>
        <t>UV/Faiha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353" sId="12">
    <oc r="J25">
      <f>IF(OR(NOT(ISERROR(MATCH(RIGHT(B25,3)+0,#REF!,0))),NOT(ISERROR(MATCH(LEFT(B25,3)+0,#REF!,0)))),"No Post","")</f>
    </oc>
    <nc r="J25">
      <f>IF(OR(NOT(ISERROR(MATCH(RIGHT(B25,3)+0,#REF!,0))),NOT(ISERROR(MATCH(LEFT(B25,3)+0,#REF!,0)))),"No Post","")</f>
    </nc>
  </rcc>
  <rcc rId="3354" sId="12" odxf="1" dxf="1">
    <oc r="B15">
      <v>343</v>
    </oc>
    <nc r="B15" t="inlineStr">
      <is>
        <t>801/665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355" sId="12" odxf="1" dxf="1">
    <oc r="C15" t="inlineStr">
      <is>
        <t>Kwende Monlois</t>
      </is>
    </oc>
    <nc r="C15" t="inlineStr">
      <is>
        <t>Yunqian Cheng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356" sId="12" odxf="1" dxf="1" numFmtId="19">
    <oc r="D15">
      <v>46155</v>
    </oc>
    <nc r="D15">
      <v>46154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357" sId="12" odxf="1" dxf="1">
    <oc r="E15" t="inlineStr">
      <is>
        <t>CXL2</t>
      </is>
    </oc>
    <nc r="E15" t="inlineStr">
      <is>
        <t>PP2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358" sId="12" odxf="1" dxf="1">
    <oc r="F15" t="inlineStr">
      <is>
        <t>CXL1</t>
      </is>
    </oc>
    <nc r="F15"/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fmt sheetId="12" sqref="G15" start="0" length="0">
    <dxf>
      <fill>
        <patternFill patternType="solid">
          <bgColor theme="0"/>
        </patternFill>
      </fill>
    </dxf>
  </rfmt>
  <rfmt sheetId="12" sqref="H15" start="0" length="0">
    <dxf>
      <fill>
        <patternFill patternType="solid">
          <bgColor theme="0"/>
        </patternFill>
      </fill>
    </dxf>
  </rfmt>
  <rcc rId="3359" sId="12" odxf="1" dxf="1">
    <oc r="I15" t="inlineStr">
      <is>
        <t>UV/Faiha</t>
      </is>
    </oc>
    <nc r="I15" t="inlineStr">
      <is>
        <t>Win/Faiha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360" sId="12">
    <oc r="J15">
      <f>IF(OR(NOT(ISERROR(MATCH(RIGHT(B15,3)+0,#REF!,0))),NOT(ISERROR(MATCH(LEFT(B15,3)+0,#REF!,0)))),"No Post","")</f>
    </oc>
    <nc r="J15">
      <f>IF(OR(NOT(ISERROR(MATCH(RIGHT(B15,3)+0,#REF!,0))),NOT(ISERROR(MATCH(LEFT(B15,3)+0,#REF!,0)))),"No Post","")</f>
    </nc>
  </rcc>
  <rcc rId="3361" sId="12">
    <oc r="J19">
      <f>IF(OR(NOT(ISERROR(MATCH(RIGHT(B19,3)+0,#REF!,0))),NOT(ISERROR(MATCH(LEFT(B19,3)+0,#REF!,0)))),"No Post","")</f>
    </oc>
    <nc r="J19">
      <f>IF(OR(NOT(ISERROR(MATCH(RIGHT(B19,3)+0,#REF!,0))),NOT(ISERROR(MATCH(LEFT(B19,3)+0,#REF!,0)))),"No Post","")</f>
    </nc>
  </rcc>
  <rcc rId="3362" sId="12">
    <oc r="B24" t="inlineStr">
      <is>
        <t>801/665</t>
      </is>
    </oc>
    <nc r="B24">
      <v>648</v>
    </nc>
  </rcc>
  <rcc rId="3363" sId="12">
    <oc r="C24" t="inlineStr">
      <is>
        <t>Yunqian Cheng</t>
      </is>
    </oc>
    <nc r="C24" t="inlineStr">
      <is>
        <t>ZHANG/YUANWEN MS</t>
      </is>
    </nc>
  </rcc>
  <rcc rId="3364" sId="12" numFmtId="19">
    <oc r="D24">
      <v>46154</v>
    </oc>
    <nc r="D24">
      <v>46157</v>
    </nc>
  </rcc>
  <rfmt sheetId="12" sqref="E24" start="0" length="0">
    <dxf>
      <border outline="0">
        <top/>
      </border>
    </dxf>
  </rfmt>
  <rcc rId="3365" sId="12">
    <nc r="H24" t="inlineStr">
      <is>
        <t>3085432, 3085433</t>
      </is>
    </nc>
  </rcc>
  <rcc rId="3366" sId="12">
    <oc r="I24" t="inlineStr">
      <is>
        <t>Win/Faiha</t>
      </is>
    </oc>
    <nc r="I24" t="inlineStr">
      <is>
        <t>Sharamth/Faiha</t>
      </is>
    </nc>
  </rcc>
  <rcc rId="3367" sId="12" odxf="1" dxf="1">
    <oc r="J24">
      <f>IF(OR(NOT(ISERROR(MATCH(RIGHT(B24,3)+0,#REF!,0))),NOT(ISERROR(MATCH(LEFT(B24,3)+0,#REF!,0)))),"No Post","")</f>
    </oc>
    <nc r="J24">
      <f>IF(OR(NOT(ISERROR(MATCH(RIGHT(#REF!,3)+0,#REF!,0))),NOT(ISERROR(MATCH(LEFT(#REF!,3)+0,#REF!,0)))),"No Post","")</f>
    </nc>
    <odxf>
      <font>
        <sz val="12"/>
      </font>
    </odxf>
    <ndxf>
      <font>
        <sz val="12"/>
        <color auto="1"/>
      </font>
    </ndxf>
  </rcc>
  <rfmt sheetId="12" sqref="K24" start="0" length="0">
    <dxf>
      <font>
        <b/>
        <sz val="15"/>
      </font>
    </dxf>
  </rfmt>
  <rcc rId="3368" sId="12" odxf="1" dxf="1">
    <oc r="B8">
      <v>648</v>
    </oc>
    <nc r="B8">
      <v>850</v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3369" sId="12">
    <oc r="C8" t="inlineStr">
      <is>
        <t>ZHANG/YUANWEN MS</t>
      </is>
    </oc>
    <nc r="C8" t="inlineStr">
      <is>
        <t>Hessko Khelo</t>
      </is>
    </nc>
  </rcc>
  <rcc rId="3370" sId="12" numFmtId="19">
    <oc r="D8">
      <v>46157</v>
    </oc>
    <nc r="D8">
      <v>46158</v>
    </nc>
  </rcc>
  <rcc rId="3371" sId="12" odxf="1" dxf="1">
    <oc r="E8" t="inlineStr">
      <is>
        <t>PP2</t>
      </is>
    </oc>
    <nc r="E8">
      <v>2</v>
    </nc>
    <odxf>
      <border outline="0">
        <top/>
      </border>
    </odxf>
    <ndxf>
      <border outline="0">
        <top style="thin">
          <color indexed="64"/>
        </top>
      </border>
    </ndxf>
  </rcc>
  <rcc rId="3372" sId="12" odxf="1" dxf="1">
    <oc r="H8" t="inlineStr">
      <is>
        <t>3085432, 3085433</t>
      </is>
    </oc>
    <nc r="H8" t="inlineStr">
      <is>
        <t>SAI</t>
      </is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3373" sId="12">
    <oc r="I8" t="inlineStr">
      <is>
        <t>Sharamth/Faiha</t>
      </is>
    </oc>
    <nc r="I8" t="inlineStr">
      <is>
        <t>Faiha</t>
      </is>
    </nc>
  </rcc>
  <rcc rId="3374" sId="12">
    <oc r="J8">
      <f>IF(OR(NOT(ISERROR(MATCH(RIGHT(#REF!,3)+0,#REF!,0))),NOT(ISERROR(MATCH(LEFT(#REF!,3)+0,#REF!,0)))),"No Post","")</f>
    </oc>
    <nc r="J8">
      <f>IF(OR(NOT(ISERROR(MATCH(RIGHT(#REF!,3)+0,#REF!,0))),NOT(ISERROR(MATCH(LEFT(#REF!,3)+0,#REF!,0)))),"No Post","")</f>
    </nc>
  </rcc>
  <rcc rId="3375" sId="12" odxf="1" dxf="1">
    <nc r="K8" t="inlineStr">
      <is>
        <t>whatsapp</t>
      </is>
    </nc>
    <odxf>
      <font>
        <b/>
        <sz val="15"/>
      </font>
    </odxf>
    <ndxf>
      <font>
        <b val="0"/>
        <sz val="14"/>
      </font>
    </ndxf>
  </rcc>
  <rcc rId="3376" sId="12" odxf="1" dxf="1">
    <oc r="B13">
      <v>850</v>
    </oc>
    <nc r="B13">
      <v>863</v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3377" sId="12">
    <oc r="C13" t="inlineStr">
      <is>
        <t>Hessko Khelo</t>
      </is>
    </oc>
    <nc r="C13" t="inlineStr">
      <is>
        <t>MS.YUAN/CHENGHUI</t>
      </is>
    </nc>
  </rcc>
  <rcc rId="3378" sId="12" numFmtId="19">
    <oc r="D13">
      <v>46158</v>
    </oc>
    <nc r="D13">
      <v>46156</v>
    </nc>
  </rcc>
  <rcc rId="3379" sId="12" odxf="1" dxf="1">
    <oc r="H13" t="inlineStr">
      <is>
        <t>SAI</t>
      </is>
    </oc>
    <nc r="H13" t="inlineStr">
      <is>
        <t>3330927, 3330928</t>
      </is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3380" sId="12">
    <oc r="I13" t="inlineStr">
      <is>
        <t>Faiha</t>
      </is>
    </oc>
    <nc r="I13" t="inlineStr">
      <is>
        <t>Sharamth/Faiha</t>
      </is>
    </nc>
  </rcc>
  <rcc rId="3381" sId="12">
    <oc r="J13">
      <f>IF(OR(NOT(ISERROR(MATCH(RIGHT(#REF!,3)+0,#REF!,0))),NOT(ISERROR(MATCH(LEFT(#REF!,3)+0,#REF!,0)))),"No Post","")</f>
    </oc>
    <nc r="J13">
      <f>IF(OR(NOT(ISERROR(MATCH(RIGHT(#REF!,3)+0,#REF!,0))),NOT(ISERROR(MATCH(LEFT(#REF!,3)+0,#REF!,0)))),"No Post","")</f>
    </nc>
  </rcc>
  <rcc rId="3382" sId="12" odxf="1">
    <oc r="K13" t="inlineStr">
      <is>
        <t>whatsapp</t>
      </is>
    </oc>
    <nc r="K13"/>
    <odxf/>
  </rcc>
  <rcc rId="3383" sId="12" odxf="1" dxf="1">
    <oc r="B16">
      <v>863</v>
    </oc>
    <nc r="B16">
      <v>868</v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3384" sId="12">
    <oc r="C16" t="inlineStr">
      <is>
        <t>MS.YUAN/CHENGHUI</t>
      </is>
    </oc>
    <nc r="C16" t="inlineStr">
      <is>
        <t>Natsuki Maki</t>
      </is>
    </nc>
  </rcc>
  <rcc rId="3385" sId="12" numFmtId="19">
    <oc r="D16">
      <v>46156</v>
    </oc>
    <nc r="D16">
      <v>46154</v>
    </nc>
  </rcc>
  <rcc rId="3386" sId="12">
    <oc r="E16">
      <v>2</v>
    </oc>
    <nc r="E16" t="inlineStr">
      <is>
        <t>CXL2</t>
      </is>
    </nc>
  </rcc>
  <rcc rId="3387" sId="12" odxf="1" dxf="1">
    <oc r="H16" t="inlineStr">
      <is>
        <t>3330927, 3330928</t>
      </is>
    </oc>
    <nc r="H16" t="inlineStr">
      <is>
        <t>ALLOCATION</t>
      </is>
    </nc>
    <odxf>
      <fill>
        <patternFill>
          <bgColor theme="0"/>
        </patternFill>
      </fill>
    </odxf>
    <ndxf>
      <fill>
        <patternFill>
          <bgColor rgb="FF92D050"/>
        </patternFill>
      </fill>
    </ndxf>
  </rcc>
  <rcc rId="3388" sId="12">
    <oc r="I16" t="inlineStr">
      <is>
        <t>Sharamth/Faiha</t>
      </is>
    </oc>
    <nc r="I16" t="inlineStr">
      <is>
        <t>Leyla/Faiha</t>
      </is>
    </nc>
  </rcc>
  <rcc rId="3389" sId="12">
    <oc r="J16">
      <f>IF(OR(NOT(ISERROR(MATCH(RIGHT(#REF!,3)+0,#REF!,0))),NOT(ISERROR(MATCH(LEFT(#REF!,3)+0,#REF!,0)))),"No Post","")</f>
    </oc>
    <nc r="J16">
      <f>IF(OR(NOT(ISERROR(MATCH(RIGHT(#REF!,3)+0,#REF!,0))),NOT(ISERROR(MATCH(LEFT(#REF!,3)+0,#REF!,0)))),"No Post","")</f>
    </nc>
  </rcc>
  <rfmt sheetId="12" sqref="K16" start="0" length="0">
    <dxf>
      <font>
        <b/>
        <sz val="15"/>
      </font>
    </dxf>
  </rfmt>
  <rfmt sheetId="12" sqref="B7:J7">
    <dxf>
      <fill>
        <patternFill patternType="none">
          <bgColor auto="1"/>
        </patternFill>
      </fill>
    </dxf>
  </rfmt>
  <rcc rId="3390" sId="12">
    <oc r="B7">
      <v>868</v>
    </oc>
    <nc r="B7"/>
  </rcc>
  <rcc rId="3391" sId="12">
    <oc r="C7" t="inlineStr">
      <is>
        <t>Natsuki Maki</t>
      </is>
    </oc>
    <nc r="C7"/>
  </rcc>
  <rcc rId="3392" sId="12" numFmtId="19">
    <oc r="D7">
      <v>46154</v>
    </oc>
    <nc r="D7"/>
  </rcc>
  <rcc rId="3393" sId="12">
    <oc r="E7">
      <v>2</v>
    </oc>
    <nc r="E7"/>
  </rcc>
  <rcc rId="3394" sId="12">
    <oc r="H7" t="inlineStr">
      <is>
        <t>ALLOCATION</t>
      </is>
    </oc>
    <nc r="H7"/>
  </rcc>
  <rcc rId="3395" sId="12">
    <oc r="I7" t="inlineStr">
      <is>
        <t>Leyla/Faiha</t>
      </is>
    </oc>
    <nc r="I7"/>
  </rcc>
  <rcc rId="3396" sId="12">
    <oc r="J22">
      <f>IF(OR(NOT(ISERROR(MATCH(RIGHT(#REF!,3)+0,#REF!,0))),NOT(ISERROR(MATCH(LEFT(#REF!,3)+0,#REF!,0)))),"No Post","")</f>
    </oc>
    <nc r="J22">
      <v>0</v>
    </nc>
  </rcc>
  <rcc rId="3397" sId="12">
    <oc r="J14">
      <f>IF(OR(NOT(ISERROR(MATCH(RIGHT(#REF!,3)+0,#REF!,0))),NOT(ISERROR(MATCH(LEFT(#REF!,3)+0,#REF!,0)))),"No Post","")</f>
    </oc>
    <nc r="J14">
      <v>0</v>
    </nc>
  </rcc>
  <rcc rId="3398" sId="12">
    <oc r="J11">
      <f>IF(OR(NOT(ISERROR(MATCH(RIGHT(#REF!,3)+0,#REF!,0))),NOT(ISERROR(MATCH(LEFT(#REF!,3)+0,#REF!,0)))),"No Post","")</f>
    </oc>
    <nc r="J11">
      <v>0</v>
    </nc>
  </rcc>
  <rcc rId="3399" sId="12">
    <oc r="J26">
      <f>IF(OR(NOT(ISERROR(MATCH(RIGHT(#REF!,3)+0,#REF!,0))),NOT(ISERROR(MATCH(LEFT(#REF!,3)+0,#REF!,0)))),"No Post","")</f>
    </oc>
    <nc r="J26">
      <v>0</v>
    </nc>
  </rcc>
  <rcc rId="3400" sId="12">
    <oc r="J10">
      <f>IF(OR(NOT(ISERROR(MATCH(RIGHT(#REF!,3)+0,#REF!,0))),NOT(ISERROR(MATCH(LEFT(#REF!,3)+0,#REF!,0)))),"No Post","")</f>
    </oc>
    <nc r="J10">
      <v>0</v>
    </nc>
  </rcc>
  <rcc rId="3401" sId="12">
    <oc r="J17">
      <f>IF(OR(NOT(ISERROR(MATCH(RIGHT(#REF!,3)+0,#REF!,0))),NOT(ISERROR(MATCH(LEFT(#REF!,3)+0,#REF!,0)))),"No Post","")</f>
    </oc>
    <nc r="J17">
      <v>0</v>
    </nc>
  </rcc>
  <rcc rId="3402" sId="12">
    <oc r="J12">
      <f>IF(OR(NOT(ISERROR(MATCH(RIGHT(#REF!,3)+0,#REF!,0))),NOT(ISERROR(MATCH(LEFT(#REF!,3)+0,#REF!,0)))),"No Post","")</f>
    </oc>
    <nc r="J12">
      <v>0</v>
    </nc>
  </rcc>
  <rcc rId="3403" sId="12">
    <oc r="J18">
      <f>IF(OR(NOT(ISERROR(MATCH(RIGHT(#REF!,3)+0,#REF!,0))),NOT(ISERROR(MATCH(LEFT(#REF!,3)+0,#REF!,0)))),"No Post","")</f>
    </oc>
    <nc r="J18">
      <v>0</v>
    </nc>
  </rcc>
  <rfmt sheetId="12" sqref="J21">
    <dxf>
      <fill>
        <patternFill>
          <bgColor rgb="FF92D050"/>
        </patternFill>
      </fill>
    </dxf>
  </rfmt>
  <rfmt sheetId="12" sqref="J21">
    <dxf>
      <fill>
        <patternFill>
          <bgColor rgb="FF00B050"/>
        </patternFill>
      </fill>
    </dxf>
  </rfmt>
  <rcc rId="3404" sId="13">
    <nc r="B17">
      <v>869</v>
    </nc>
  </rcc>
  <rcc rId="3405" sId="13" odxf="1" dxf="1">
    <nc r="C17" t="inlineStr">
      <is>
        <t>Eugene Au</t>
      </is>
    </nc>
    <odxf>
      <alignment horizontal="left" readingOrder="0"/>
    </odxf>
    <ndxf>
      <alignment horizontal="center" readingOrder="0"/>
    </ndxf>
  </rcc>
  <rcc rId="3406" sId="13" numFmtId="19">
    <nc r="D17">
      <v>46157</v>
    </nc>
  </rcc>
  <rcc rId="3407" sId="13">
    <nc r="E17">
      <v>2</v>
    </nc>
  </rcc>
  <rfmt sheetId="13" sqref="H17" start="0" length="0">
    <dxf>
      <alignment horizontal="center" readingOrder="0"/>
    </dxf>
  </rfmt>
  <rcc rId="3408" sId="13" odxf="1" dxf="1">
    <nc r="I17" t="inlineStr">
      <is>
        <t>Faiha</t>
      </is>
    </nc>
    <odxf>
      <alignment horizontal="left" readingOrder="0"/>
    </odxf>
    <ndxf>
      <alignment horizontal="center" readingOrder="0"/>
    </ndxf>
  </rcc>
</revisions>
</file>

<file path=xl/revisions/revisionLog3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09" sId="12">
    <oc r="I17" t="inlineStr">
      <is>
        <t>c</t>
      </is>
    </oc>
    <nc r="I17"/>
  </rcc>
  <rm rId="3410" sheetId="12" source="B21:J21" destination="B7:J7" sourceSheetId="12">
    <rfmt sheetId="12" sqref="B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C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D7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E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F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G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H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I7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2" dxf="1">
      <nc r="J7">
        <f>IF(OR(NOT(ISERROR(MATCH(RIGHT(#REF!,3)+0,#REF!,0))),NOT(ISERROR(MATCH(LEFT(#REF!,3)+0,#REF!,0)))),"No Post","")</f>
      </nc>
      <ndxf>
        <font>
          <b/>
          <sz val="12"/>
          <color auto="1"/>
          <name val="Calibri"/>
          <scheme val="none"/>
        </font>
      </ndxf>
    </rcc>
  </rm>
  <rm rId="3411" sheetId="12" source="B17:K17" destination="B21:K21" sourceSheetId="12">
    <rfmt sheetId="12" sqref="B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C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D21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2" sqref="E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F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G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H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I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J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K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412" sheetId="12" source="B12:K12" destination="B17:K17" sourceSheetId="12"/>
  <rm rId="3413" sheetId="12" source="B18:K18" destination="B12:K12" sourceSheetId="12"/>
  <rm rId="3414" sheetId="12" source="B23:K23" destination="B18:K18" sourceSheetId="12"/>
  <rm rId="3415" sheetId="12" source="B9:K9" destination="B23:K23" sourceSheetId="12"/>
  <rm rId="3416" sheetId="12" source="B20:K20" destination="B9:K9" sourceSheetId="12"/>
  <rm rId="3417" sheetId="12" source="B25:K25" destination="B20:K20" sourceSheetId="12"/>
  <rm rId="3418" sheetId="12" source="B15:K15" destination="B25:K25" sourceSheetId="12"/>
  <rm rId="3419" sheetId="12" source="B19:K19" destination="B15:K15" sourceSheetId="12"/>
  <rm rId="3420" sheetId="12" source="B24:K24" destination="B19:K19" sourceSheetId="12"/>
  <rm rId="3421" sheetId="12" source="B8:K8" destination="B24:K24" sourceSheetId="12"/>
  <rm rId="3422" sheetId="12" source="B13:K13" destination="B8:K8" sourceSheetId="12"/>
  <rm rId="3423" sheetId="12" source="B16:K16" destination="B13:K13" sourceSheetId="12"/>
  <rm rId="3424" sheetId="12" source="B7:K7" destination="B16:K16" sourceSheetId="12">
    <undo index="0" exp="area" dr="E7:E24" r="E27" sId="12"/>
    <undo index="0" exp="area" dr="F7:F24" r="F27" sId="12"/>
  </rm>
  <rfmt sheetId="12" sqref="B7:J7" start="0" length="0">
    <dxf>
      <border>
        <top style="thin">
          <color indexed="64"/>
        </top>
      </border>
    </dxf>
  </rfmt>
  <rfmt sheetId="12" sqref="J7" start="0" length="0">
    <dxf>
      <border>
        <right style="thin">
          <color indexed="64"/>
        </right>
      </border>
    </dxf>
  </rfmt>
  <rfmt sheetId="12" sqref="B7:J7" start="0" length="0">
    <dxf>
      <border>
        <bottom style="thin">
          <color indexed="64"/>
        </bottom>
      </border>
    </dxf>
  </rfmt>
  <rfmt sheetId="12" sqref="B7:J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'6'!$A$1:$L$49</formula>
    <oldFormula>'6'!$A$1:$L$49</oldFormula>
  </rdn>
  <rdn rId="0" localSheetId="6" customView="1" name="Z_6222734F_EF03_4A42_A0AF_7421F8747AA6_.wvu.FilterData" hidden="1" oldHidden="1">
    <formula>'6'!$D$6:$K$36</formula>
    <oldFormula>'6'!$D$6:$K$36</oldFormula>
  </rdn>
  <rdn rId="0" localSheetId="7" customView="1" name="Z_6222734F_EF03_4A42_A0AF_7421F8747AA6_.wvu.PrintArea" hidden="1" oldHidden="1">
    <formula>'7'!$A$1:$L$37</formula>
    <oldFormula>'7'!$A$1:$L$37</oldFormula>
  </rdn>
  <rdn rId="0" localSheetId="8" customView="1" name="Z_6222734F_EF03_4A42_A0AF_7421F8747AA6_.wvu.PrintArea" hidden="1" oldHidden="1">
    <formula>'8'!$A$1:$J$33</formula>
    <oldFormula>'8'!$A$1:$J$33</oldFormula>
  </rdn>
  <rdn rId="0" localSheetId="9" customView="1" name="Z_6222734F_EF03_4A42_A0AF_7421F8747AA6_.wvu.PrintArea" hidden="1" oldHidden="1">
    <formula>'9'!$A$1:$J$39</formula>
    <oldFormula>'9'!$A$1:$J$39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3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7" sId="12">
    <oc r="J22">
      <v>0</v>
    </oc>
    <nc r="J22"/>
  </rcc>
  <rfmt sheetId="12" sqref="J22">
    <dxf>
      <fill>
        <patternFill>
          <bgColor rgb="FF00B050"/>
        </patternFill>
      </fill>
    </dxf>
  </rfmt>
  <rm rId="3458" sheetId="12" source="B22:J22" destination="B7:J7" sourceSheetId="12">
    <rfmt sheetId="12" sqref="B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C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D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E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F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G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H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I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J7" start="0" length="0">
      <dxf>
        <font>
          <b/>
          <sz val="15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m rId="3459" sheetId="12" source="B14:K14" destination="B22:K22" sourceSheetId="12">
    <rfmt sheetId="12" sqref="B22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C22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D22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2" sqref="E22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F22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G22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H22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I22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J22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2" sqref="K22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460" sheetId="12" source="B11:K11" destination="B14:K14" sourceSheetId="12"/>
  <rm rId="3461" sheetId="12" source="B26:K26" destination="B11:K11" sourceSheetId="12"/>
  <rm rId="3462" sheetId="12" source="B10:K10" destination="B26:K26" sourceSheetId="12"/>
  <rm rId="3463" sheetId="12" source="B21:K21" destination="B10:K10" sourceSheetId="12"/>
  <rm rId="3464" sheetId="12" source="B17:K17" destination="B21:K21" sourceSheetId="12"/>
  <rm rId="3465" sheetId="12" source="B12:K12" destination="B17:K17" sourceSheetId="12"/>
  <rm rId="3466" sheetId="12" source="B18:K18" destination="B12:K12" sourceSheetId="12"/>
  <rm rId="3467" sheetId="12" source="B23:K23" destination="B18:K18" sourceSheetId="12"/>
  <rm rId="3468" sheetId="12" source="B9:K9" destination="B23:K23" sourceSheetId="12"/>
  <rm rId="3469" sheetId="12" source="B20:K20" destination="B9:K9" sourceSheetId="12"/>
  <rm rId="3470" sheetId="12" source="B25:K25" destination="B20:K20" sourceSheetId="12"/>
  <rm rId="3471" sheetId="12" source="B15:K15" destination="B25:K25" sourceSheetId="12"/>
  <rm rId="3472" sheetId="12" source="B19:K19" destination="B15:K15" sourceSheetId="12"/>
  <rm rId="3473" sheetId="12" source="B24:K24" destination="B19:K19" sourceSheetId="12"/>
  <rm rId="3474" sheetId="12" source="B8:K8" destination="B24:K24" sourceSheetId="12"/>
  <rm rId="3475" sheetId="12" source="B13:K13" destination="B8:K8" sourceSheetId="12"/>
  <rm rId="3476" sheetId="12" source="B16:K16" destination="B13:K13" sourceSheetId="12"/>
  <rm rId="3477" sheetId="12" source="B7:K7" destination="B16:K16" sourceSheetId="12">
    <undo index="0" exp="area" dr="F7:F23" r="F27" sId="12"/>
    <undo index="0" exp="area" dr="E7:E23" r="E27" sId="12"/>
  </rm>
  <rfmt sheetId="12" sqref="B7:J7" start="0" length="0">
    <dxf>
      <border>
        <top style="thin">
          <color indexed="64"/>
        </top>
      </border>
    </dxf>
  </rfmt>
  <rfmt sheetId="12" sqref="J7" start="0" length="0">
    <dxf>
      <border>
        <right style="thin">
          <color indexed="64"/>
        </right>
      </border>
    </dxf>
  </rfmt>
  <rfmt sheetId="12" sqref="B7:J7" start="0" length="0">
    <dxf>
      <border>
        <bottom style="thin">
          <color indexed="64"/>
        </bottom>
      </border>
    </dxf>
  </rfmt>
  <rfmt sheetId="12" sqref="B7:J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'6'!$A$1:$L$49</formula>
    <oldFormula>'6'!$A$1:$L$49</oldFormula>
  </rdn>
  <rdn rId="0" localSheetId="6" customView="1" name="Z_6222734F_EF03_4A42_A0AF_7421F8747AA6_.wvu.FilterData" hidden="1" oldHidden="1">
    <formula>'6'!$D$6:$K$36</formula>
    <oldFormula>'6'!$D$6:$K$36</oldFormula>
  </rdn>
  <rdn rId="0" localSheetId="7" customView="1" name="Z_6222734F_EF03_4A42_A0AF_7421F8747AA6_.wvu.PrintArea" hidden="1" oldHidden="1">
    <formula>'7'!$A$1:$L$37</formula>
    <oldFormula>'7'!$A$1:$L$37</oldFormula>
  </rdn>
  <rdn rId="0" localSheetId="8" customView="1" name="Z_6222734F_EF03_4A42_A0AF_7421F8747AA6_.wvu.PrintArea" hidden="1" oldHidden="1">
    <formula>'8'!$A$1:$J$33</formula>
    <oldFormula>'8'!$A$1:$J$33</oldFormula>
  </rdn>
  <rdn rId="0" localSheetId="9" customView="1" name="Z_6222734F_EF03_4A42_A0AF_7421F8747AA6_.wvu.PrintArea" hidden="1" oldHidden="1">
    <formula>'9'!$A$1:$J$39</formula>
    <oldFormula>'9'!$A$1:$J$39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3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10" sId="13">
    <nc r="B18" t="inlineStr">
      <is>
        <t>624/860</t>
      </is>
    </nc>
  </rcc>
  <rcc rId="3511" sId="13" odxf="1" dxf="1">
    <nc r="C18" t="inlineStr">
      <is>
        <t>Shuaicheng Niu</t>
      </is>
    </nc>
    <o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center" readingOrder="0"/>
      <border outline="0">
        <left/>
        <right/>
        <top/>
        <bottom/>
      </border>
    </ndxf>
  </rcc>
  <rcc rId="3512" sId="13" numFmtId="19">
    <nc r="D18">
      <v>46154</v>
    </nc>
  </rcc>
  <rcc rId="3513" sId="13">
    <nc r="E18">
      <v>2</v>
    </nc>
  </rcc>
  <rfmt sheetId="13" sqref="H18" start="0" length="0">
    <dxf>
      <alignment horizontal="center" readingOrder="0"/>
    </dxf>
  </rfmt>
  <rcc rId="3514" sId="13" odxf="1" dxf="1">
    <nc r="I18" t="inlineStr">
      <is>
        <t>Win/Maaji</t>
      </is>
    </nc>
    <odxf>
      <alignment horizontal="left" readingOrder="0"/>
    </odxf>
    <ndxf>
      <alignment horizontal="center" readingOrder="0"/>
    </ndxf>
  </rcc>
  <rfmt sheetId="12" sqref="J21">
    <dxf>
      <fill>
        <patternFill>
          <bgColor rgb="FF00B050"/>
        </patternFill>
      </fill>
    </dxf>
  </rfmt>
</revisions>
</file>

<file path=xl/revisions/revisionLog3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15" sId="13">
    <nc r="B19">
      <v>649</v>
    </nc>
  </rcc>
  <rcc rId="3516" sId="13" odxf="1" dxf="1">
    <nc r="C19" t="inlineStr">
      <is>
        <t>Xiaoyu Xing</t>
      </is>
    </nc>
    <odxf>
      <alignment horizontal="left" readingOrder="0"/>
    </odxf>
    <ndxf>
      <alignment horizontal="center" readingOrder="0"/>
    </ndxf>
  </rcc>
  <rcc rId="3517" sId="13" numFmtId="19">
    <nc r="D19">
      <v>46155</v>
    </nc>
  </rcc>
  <rcc rId="3518" sId="13">
    <nc r="E19">
      <v>3</v>
    </nc>
  </rcc>
  <rfmt sheetId="13" sqref="H19" start="0" length="0">
    <dxf>
      <alignment horizontal="center" readingOrder="0"/>
    </dxf>
  </rfmt>
  <rcc rId="3519" sId="13" odxf="1" dxf="1">
    <nc r="I19" t="inlineStr">
      <is>
        <t>Win/Faiha</t>
      </is>
    </nc>
    <odxf>
      <alignment horizontal="left" readingOrder="0"/>
    </odxf>
    <ndxf>
      <alignment horizontal="center" readingOrder="0"/>
    </ndxf>
  </rcc>
  <rfmt sheetId="12" sqref="J14">
    <dxf>
      <fill>
        <patternFill>
          <bgColor rgb="FF00B050"/>
        </patternFill>
      </fill>
    </dxf>
  </rfmt>
</revisions>
</file>

<file path=xl/revisions/revisionLog3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20" sId="12">
    <oc r="E14">
      <v>3</v>
    </oc>
    <nc r="E14" t="inlineStr">
      <is>
        <t>pp3</t>
      </is>
    </nc>
  </rcc>
</revisions>
</file>

<file path=xl/revisions/revisionLog3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21" sId="12">
    <oc r="E26">
      <v>2</v>
    </oc>
    <nc r="E26" t="inlineStr">
      <is>
        <t>cxl2</t>
      </is>
    </nc>
  </rcc>
  <rfmt sheetId="12" sqref="J26">
    <dxf>
      <fill>
        <patternFill>
          <bgColor rgb="FF00B050"/>
        </patternFill>
      </fill>
    </dxf>
  </rfmt>
</revisions>
</file>

<file path=xl/revisions/revisionLog3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3" sqref="C7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23" sqref="C8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23" sqref="C9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23" sqref="C10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23" sqref="C11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23" sqref="C12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cc rId="3522" sId="23" xfDxf="1" dxf="1">
    <nc r="C7" t="inlineStr">
      <is>
        <t xml:space="preserve">Mr. Claudio Asborno &amp; Mr. Marco Zanchin </t>
      </is>
    </nc>
    <ndxf>
      <font>
        <b/>
        <sz val="12"/>
        <name val="Verdana"/>
        <scheme val="none"/>
      </font>
      <alignment vertical="center" readingOrder="0"/>
    </ndxf>
  </rcc>
  <rcc rId="3523" sId="23" xfDxf="1" dxf="1">
    <nc r="C8" t="inlineStr">
      <is>
        <t xml:space="preserve">Mrs. Barbara Mangione &amp; Mrs. Marina Rossi </t>
      </is>
    </nc>
    <ndxf>
      <font>
        <b/>
        <sz val="12"/>
        <name val="Verdana"/>
        <scheme val="none"/>
      </font>
      <alignment vertical="center" readingOrder="0"/>
    </ndxf>
  </rcc>
  <rcc rId="3524" sId="23" xfDxf="1" dxf="1">
    <nc r="C9" t="inlineStr">
      <is>
        <t xml:space="preserve">Mrs. Michela Magri &amp; Mrs. Irene Chiesa </t>
      </is>
    </nc>
    <ndxf>
      <font>
        <b/>
        <sz val="12"/>
        <name val="Verdana"/>
        <scheme val="none"/>
      </font>
      <alignment vertical="center" readingOrder="0"/>
    </ndxf>
  </rcc>
  <rcc rId="3525" sId="23" xfDxf="1" dxf="1">
    <nc r="C10" t="inlineStr">
      <is>
        <t xml:space="preserve">Mrs. Simona Piras &amp; Mrs. Nicoletta Manica </t>
      </is>
    </nc>
    <ndxf>
      <font>
        <b/>
        <sz val="12"/>
        <name val="Verdana"/>
        <scheme val="none"/>
      </font>
      <alignment vertical="center" readingOrder="0"/>
    </ndxf>
  </rcc>
  <rcc rId="3526" sId="23" xfDxf="1" dxf="1">
    <nc r="C11" t="inlineStr">
      <is>
        <t xml:space="preserve">Mrs. Valentina Ghio &amp; Mrs. Elisa Loriato </t>
      </is>
    </nc>
    <ndxf>
      <font>
        <b/>
        <sz val="12"/>
        <name val="Verdana"/>
        <scheme val="none"/>
      </font>
      <alignment vertical="center" readingOrder="0"/>
    </ndxf>
  </rcc>
  <rcc rId="3527" sId="23" xfDxf="1" dxf="1">
    <nc r="C12" t="inlineStr">
      <is>
        <t>Mrs. Marinella Baglio (Turkish Airlines)</t>
      </is>
    </nc>
    <ndxf>
      <font>
        <b/>
        <sz val="12"/>
        <name val="Verdana"/>
        <scheme val="none"/>
      </font>
      <alignment vertical="center" readingOrder="0"/>
    </ndxf>
  </rcc>
  <rcc rId="3528" sId="23">
    <nc r="B7" t="inlineStr">
      <is>
        <t>Prebooking</t>
      </is>
    </nc>
  </rcc>
  <rcc rId="3529" sId="23">
    <nc r="B8" t="inlineStr">
      <is>
        <t>Prebooking</t>
      </is>
    </nc>
  </rcc>
  <rcc rId="3530" sId="23">
    <nc r="B9" t="inlineStr">
      <is>
        <t>Prebooking</t>
      </is>
    </nc>
  </rcc>
  <rcc rId="3531" sId="23">
    <nc r="B10" t="inlineStr">
      <is>
        <t>Prebooking</t>
      </is>
    </nc>
  </rcc>
  <rcc rId="3532" sId="23">
    <nc r="B11" t="inlineStr">
      <is>
        <t>Prebooking</t>
      </is>
    </nc>
  </rcc>
  <rcc rId="3533" sId="23">
    <nc r="B12" t="inlineStr">
      <is>
        <t>Prebooking</t>
      </is>
    </nc>
  </rcc>
  <rcc rId="3534" sId="23">
    <nc r="E12">
      <v>1</v>
    </nc>
  </rcc>
  <rcc rId="3535" sId="23">
    <nc r="E7">
      <v>2</v>
    </nc>
  </rcc>
  <rcc rId="3536" sId="23">
    <nc r="E8">
      <v>2</v>
    </nc>
  </rcc>
  <rcc rId="3537" sId="23">
    <nc r="E9">
      <v>2</v>
    </nc>
  </rcc>
  <rcc rId="3538" sId="23">
    <nc r="E10">
      <v>2</v>
    </nc>
  </rcc>
  <rcc rId="3539" sId="23">
    <nc r="E11">
      <v>2</v>
    </nc>
  </rcc>
  <rcc rId="3540" sId="23">
    <nc r="H7" t="inlineStr">
      <is>
        <t>SALES ENT</t>
      </is>
    </nc>
  </rcc>
  <rcc rId="3541" sId="23">
    <nc r="H8" t="inlineStr">
      <is>
        <t>SALES ENT</t>
      </is>
    </nc>
  </rcc>
  <rcc rId="3542" sId="23">
    <nc r="H9" t="inlineStr">
      <is>
        <t>SALES ENT</t>
      </is>
    </nc>
  </rcc>
  <rcc rId="3543" sId="23">
    <nc r="H10" t="inlineStr">
      <is>
        <t>SALES ENT</t>
      </is>
    </nc>
  </rcc>
  <rcc rId="3544" sId="23">
    <nc r="H11" t="inlineStr">
      <is>
        <t>SALES ENT</t>
      </is>
    </nc>
  </rcc>
  <rcc rId="3545" sId="23">
    <nc r="H12" t="inlineStr">
      <is>
        <t>SALES ENT</t>
      </is>
    </nc>
  </rcc>
  <rcc rId="3546" sId="23">
    <nc r="I7" t="inlineStr">
      <is>
        <t>Susmita/Tarush</t>
      </is>
    </nc>
  </rcc>
  <rcc rId="3547" sId="23">
    <nc r="I8" t="inlineStr">
      <is>
        <t>Susmita/Tarush</t>
      </is>
    </nc>
  </rcc>
  <rcc rId="3548" sId="23">
    <nc r="I9" t="inlineStr">
      <is>
        <t>Susmita/Tarush</t>
      </is>
    </nc>
  </rcc>
  <rcc rId="3549" sId="23">
    <nc r="I10" t="inlineStr">
      <is>
        <t>Susmita/Tarush</t>
      </is>
    </nc>
  </rcc>
  <rcc rId="3550" sId="23">
    <nc r="I11" t="inlineStr">
      <is>
        <t>Susmita/Tarush</t>
      </is>
    </nc>
  </rcc>
  <rcc rId="3551" sId="23">
    <nc r="I12" t="inlineStr">
      <is>
        <t>Susmita/Tarush</t>
      </is>
    </nc>
  </rcc>
</revisions>
</file>

<file path=xl/revisions/revisionLog3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52" sId="12">
    <nc r="L21">
      <v>0</v>
    </nc>
  </rcc>
</revisions>
</file>

<file path=xl/revisions/revisionLog3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53" sId="13">
    <nc r="B20">
      <v>810</v>
    </nc>
  </rcc>
  <rcc rId="3554" sId="13">
    <nc r="E20">
      <v>2</v>
    </nc>
  </rcc>
  <rfmt sheetId="13" sqref="I20" start="0" length="0">
    <dxf>
      <alignment horizontal="center" readingOrder="0"/>
    </dxf>
  </rfmt>
  <rcc rId="3555" sId="13">
    <nc r="I20" t="inlineStr">
      <is>
        <t>Win/Faiha</t>
      </is>
    </nc>
  </rcc>
</revisions>
</file>

<file path=xl/revisions/revisionLog3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56" sId="13">
    <nc r="C20" t="inlineStr">
      <is>
        <t>Yinuo Shi</t>
      </is>
    </nc>
  </rcc>
  <rcc rId="3557" sId="13" numFmtId="19">
    <nc r="D20">
      <v>46156</v>
    </nc>
  </rcc>
  <rcc rId="3558" sId="13">
    <nc r="C9" t="inlineStr">
      <is>
        <t>Shintaro Kunitake</t>
      </is>
    </nc>
  </rcc>
  <rcc rId="3559" sId="13" numFmtId="19">
    <nc r="D9">
      <v>46157</v>
    </nc>
  </rcc>
  <rcc rId="3560" sId="13">
    <nc r="C15" t="inlineStr">
      <is>
        <t>Shunya Kajigaya</t>
      </is>
    </nc>
  </rcc>
  <rcc rId="3561" sId="13" numFmtId="19">
    <nc r="D15">
      <v>46156</v>
    </nc>
  </rcc>
  <rfmt sheetId="13" sqref="B7:I20" start="0" length="2147483647">
    <dxf>
      <font>
        <b/>
      </font>
    </dxf>
  </rfmt>
  <rfmt sheetId="13" sqref="B7:I20" start="0" length="2147483647">
    <dxf>
      <font>
        <b val="0"/>
      </font>
    </dxf>
  </rfmt>
  <rfmt sheetId="13" sqref="B7:I20">
    <dxf>
      <alignment vertical="center" readingOrder="0"/>
    </dxf>
  </rfmt>
  <rfmt sheetId="13" sqref="B7:I20">
    <dxf>
      <alignment horizontal="general" readingOrder="0"/>
    </dxf>
  </rfmt>
  <rfmt sheetId="13" sqref="B7:I20">
    <dxf>
      <alignment horizontal="center" readingOrder="0"/>
    </dxf>
  </rfmt>
  <rfmt sheetId="13" sqref="B7:I20" start="0" length="2147483647">
    <dxf>
      <font/>
    </dxf>
  </rfmt>
  <rfmt sheetId="13" sqref="B7:I20" start="0" length="2147483647">
    <dxf>
      <font/>
    </dxf>
  </rfmt>
  <rfmt sheetId="13" sqref="B7:I20" start="0" length="2147483647">
    <dxf>
      <font/>
    </dxf>
  </rfmt>
  <rcc rId="3562" sId="13">
    <oc r="B8">
      <v>618</v>
    </oc>
    <nc r="B8" t="inlineStr">
      <is>
        <t>618/847</t>
      </is>
    </nc>
  </rcc>
  <rcc rId="3563" sId="13">
    <oc r="B19">
      <v>649</v>
    </oc>
    <nc r="B19" t="inlineStr">
      <is>
        <t>649/868</t>
      </is>
    </nc>
  </rcc>
</revisions>
</file>

<file path=xl/revisions/revisionLog3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64" sId="13">
    <oc r="E7">
      <v>2</v>
    </oc>
    <nc r="E7" t="inlineStr">
      <is>
        <t>CXL2</t>
      </is>
    </nc>
  </rcc>
</revisions>
</file>

<file path=xl/revisions/revisionLog3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3" sqref="J7">
    <dxf>
      <fill>
        <patternFill patternType="solid">
          <bgColor rgb="FF00B050"/>
        </patternFill>
      </fill>
    </dxf>
  </rfmt>
  <rfmt sheetId="13" sqref="J14">
    <dxf>
      <fill>
        <patternFill patternType="solid">
          <bgColor rgb="FFFF0000"/>
        </patternFill>
      </fill>
    </dxf>
  </rfmt>
  <rfmt sheetId="13" sqref="J11">
    <dxf>
      <fill>
        <patternFill patternType="solid">
          <bgColor rgb="FF00B050"/>
        </patternFill>
      </fill>
    </dxf>
  </rfmt>
  <rcc rId="3565" sId="13">
    <nc r="K11" t="inlineStr">
      <is>
        <t>Whatsapp</t>
      </is>
    </nc>
  </rcc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'6'!$A$1:$L$49</formula>
    <oldFormula>'6'!$A$1:$L$49</oldFormula>
  </rdn>
  <rdn rId="0" localSheetId="6" customView="1" name="Z_6222734F_EF03_4A42_A0AF_7421F8747AA6_.wvu.FilterData" hidden="1" oldHidden="1">
    <formula>'6'!$D$6:$K$36</formula>
    <oldFormula>'6'!$D$6:$K$36</oldFormula>
  </rdn>
  <rdn rId="0" localSheetId="7" customView="1" name="Z_6222734F_EF03_4A42_A0AF_7421F8747AA6_.wvu.PrintArea" hidden="1" oldHidden="1">
    <formula>'7'!$A$1:$L$37</formula>
    <oldFormula>'7'!$A$1:$L$37</oldFormula>
  </rdn>
  <rdn rId="0" localSheetId="8" customView="1" name="Z_6222734F_EF03_4A42_A0AF_7421F8747AA6_.wvu.PrintArea" hidden="1" oldHidden="1">
    <formula>'8'!$A$1:$J$33</formula>
    <oldFormula>'8'!$A$1:$J$33</oldFormula>
  </rdn>
  <rdn rId="0" localSheetId="9" customView="1" name="Z_6222734F_EF03_4A42_A0AF_7421F8747AA6_.wvu.PrintArea" hidden="1" oldHidden="1">
    <formula>'9'!$A$1:$J$39</formula>
    <oldFormula>'9'!$A$1:$J$39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3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98" sId="13" odxf="1" dxf="1">
    <oc r="J20">
      <f>IF(OR(NOT(ISERROR(MATCH(RIGHT(B20,3)+0,#REF!,0))),NOT(ISERROR(MATCH(LEFT(B20,3)+0,#REF!,0)))),"No Post","")</f>
    </oc>
    <nc r="J20">
      <f>IF(OR(NOT(ISERROR(MATCH(RIGHT(B20,3)+0,#REF!,0))),NOT(ISERROR(MATCH(LEFT(B20,3)+0,#REF!,0)))),"No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3599" sId="13" odxf="1" dxf="1">
    <oc r="J10">
      <f>IF(OR(NOT(ISERROR(MATCH(RIGHT(B10,3)+0,#REF!,0))),NOT(ISERROR(MATCH(LEFT(B10,3)+0,#REF!,0)))),"No Post","")</f>
    </oc>
    <nc r="J10">
      <f>IF(OR(NOT(ISERROR(MATCH(RIGHT(B10,3)+0,#REF!,0))),NOT(ISERROR(MATCH(LEFT(B10,3)+0,#REF!,0)))),"No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fmt sheetId="13" sqref="J10">
    <dxf>
      <fill>
        <patternFill>
          <bgColor rgb="FF00B050"/>
        </patternFill>
      </fill>
    </dxf>
  </rfmt>
  <rcc rId="3600" sId="13">
    <oc r="E10">
      <v>2</v>
    </oc>
    <nc r="E10" t="inlineStr">
      <is>
        <t>CXL2</t>
      </is>
    </nc>
  </rcc>
</revisions>
</file>

<file path=xl/revisions/revisionLog3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01" sId="13">
    <oc r="B16">
      <v>863</v>
    </oc>
    <nc r="B16" t="inlineStr">
      <is>
        <t>863/803</t>
      </is>
    </nc>
  </rcc>
  <rcc rId="3602" sId="13" odxf="1" dxf="1">
    <oc r="J16">
      <f>IF(OR(NOT(ISERROR(MATCH(RIGHT(B16,3)+0,#REF!,0))),NOT(ISERROR(MATCH(LEFT(B16,3)+0,#REF!,0)))),"No Post","")</f>
    </oc>
    <nc r="J16">
      <f>IF(OR(NOT(ISERROR(MATCH(RIGHT(B16,3)+0,#REF!,0))),NOT(ISERROR(MATCH(LEFT(B16,3)+0,#REF!,0)))),"No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3603" sId="13" odxf="1" dxf="1">
    <oc r="J17">
      <f>IF(OR(NOT(ISERROR(MATCH(RIGHT(B17,3)+0,#REF!,0))),NOT(ISERROR(MATCH(LEFT(B17,3)+0,#REF!,0)))),"No Post","")</f>
    </oc>
    <nc r="J17">
      <f>IF(OR(NOT(ISERROR(MATCH(RIGHT(B17,3)+0,#REF!,0))),NOT(ISERROR(MATCH(LEFT(B17,3)+0,#REF!,0)))),"No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3604" sId="13" odxf="1" dxf="1">
    <oc r="J9">
      <f>IF(OR(NOT(ISERROR(MATCH(RIGHT(B9,3)+0,#REF!,0))),NOT(ISERROR(MATCH(LEFT(B9,3)+0,#REF!,0)))),"No Post","")</f>
    </oc>
    <nc r="J9">
      <f>IF(OR(NOT(ISERROR(MATCH(RIGHT(B9,3)+0,#REF!,0))),NOT(ISERROR(MATCH(LEFT(B9,3)+0,#REF!,0)))),"No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3605" sId="13" odxf="1" dxf="1">
    <oc r="J15">
      <f>IF(OR(NOT(ISERROR(MATCH(RIGHT(B15,3)+0,#REF!,0))),NOT(ISERROR(MATCH(LEFT(B15,3)+0,#REF!,0)))),"No Post","")</f>
    </oc>
    <nc r="J15">
      <f>IF(OR(NOT(ISERROR(MATCH(RIGHT(B15,3)+0,#REF!,0))),NOT(ISERROR(MATCH(LEFT(B15,3)+0,#REF!,0)))),"No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3606" sId="13">
    <oc r="E8">
      <v>2</v>
    </oc>
    <nc r="E8" t="inlineStr">
      <is>
        <t>CXL2</t>
      </is>
    </nc>
  </rcc>
  <rcc rId="3607" sId="14" odxf="1" dxf="1">
    <nc r="B8" t="inlineStr">
      <is>
        <t>618/847</t>
      </is>
    </nc>
    <odxf>
      <alignment vertical="top" readingOrder="0"/>
    </odxf>
    <ndxf>
      <alignment vertical="center" readingOrder="0"/>
    </ndxf>
  </rcc>
  <rcc rId="3608" sId="14" odxf="1" dxf="1">
    <nc r="C8" t="inlineStr">
      <is>
        <t>Yena Lee</t>
      </is>
    </nc>
    <odxf>
      <alignment vertical="top" readingOrder="0"/>
    </odxf>
    <ndxf>
      <alignment vertical="center" readingOrder="0"/>
    </ndxf>
  </rcc>
  <rcc rId="3609" sId="14" odxf="1" dxf="1" numFmtId="19">
    <nc r="D8">
      <v>46155</v>
    </nc>
    <odxf>
      <alignment vertical="top" readingOrder="0"/>
    </odxf>
    <ndxf>
      <alignment vertical="center" readingOrder="0"/>
    </ndxf>
  </rcc>
  <rfmt sheetId="14" sqref="E8" start="0" length="0">
    <dxf>
      <alignment vertical="center" readingOrder="0"/>
    </dxf>
  </rfmt>
  <rfmt sheetId="14" sqref="F8" start="0" length="0">
    <dxf>
      <alignment vertical="center" readingOrder="0"/>
    </dxf>
  </rfmt>
  <rfmt sheetId="14" sqref="G8" start="0" length="0">
    <dxf>
      <alignment vertical="center" readingOrder="0"/>
    </dxf>
  </rfmt>
  <rfmt sheetId="14" sqref="H8" start="0" length="0">
    <dxf>
      <alignment vertical="center" readingOrder="0"/>
    </dxf>
  </rfmt>
  <rcc rId="3610" sId="14" odxf="1" dxf="1">
    <nc r="I8" t="inlineStr">
      <is>
        <t>UV/Faiha</t>
      </is>
    </nc>
    <odxf>
      <alignment vertical="top" readingOrder="0"/>
    </odxf>
    <ndxf>
      <alignment vertical="center" readingOrder="0"/>
    </ndxf>
  </rcc>
  <rcc rId="3611" sId="14">
    <nc r="E8">
      <v>2</v>
    </nc>
  </rcc>
</revisions>
</file>

<file path=xl/revisions/revisionLog3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3" sqref="J8">
    <dxf>
      <fill>
        <patternFill patternType="solid">
          <bgColor rgb="FF00B050"/>
        </patternFill>
      </fill>
    </dxf>
  </rfmt>
  <rcc rId="3612" sId="13" odxf="1" dxf="1">
    <oc r="J18">
      <f>IF(OR(NOT(ISERROR(MATCH(RIGHT(B18,3)+0,#REF!,0))),NOT(ISERROR(MATCH(LEFT(B18,3)+0,#REF!,0)))),"No Post","")</f>
    </oc>
    <nc r="J18">
      <f>IF(OR(NOT(ISERROR(MATCH(RIGHT(B18,3)+0,#REF!,0))),NOT(ISERROR(MATCH(LEFT(B18,3)+0,#REF!,0)))),"No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3613" sId="13" odxf="1" dxf="1">
    <oc r="J19">
      <f>IF(OR(NOT(ISERROR(MATCH(RIGHT(B19,3)+0,#REF!,0))),NOT(ISERROR(MATCH(LEFT(B19,3)+0,#REF!,0)))),"No Post","")</f>
    </oc>
    <nc r="J19">
      <f>IF(OR(NOT(ISERROR(MATCH(RIGHT(B19,3)+0,#REF!,0))),NOT(ISERROR(MATCH(LEFT(B19,3)+0,#REF!,0)))),"No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3614" sId="13">
    <oc r="B12" t="inlineStr">
      <is>
        <t>664/810</t>
      </is>
    </oc>
    <nc r="B12" t="inlineStr">
      <is>
        <t>664/802</t>
      </is>
    </nc>
  </rcc>
  <rcc rId="3615" sId="13">
    <oc r="B13" t="inlineStr">
      <is>
        <t>801/665</t>
      </is>
    </oc>
    <nc r="B13" t="inlineStr">
      <is>
        <t>801/617</t>
      </is>
    </nc>
  </rcc>
</revisions>
</file>

<file path=xl/revisions/revisionLog3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16" sId="13" odxf="1" dxf="1">
    <oc r="J12">
      <f>IF(OR(NOT(ISERROR(MATCH(RIGHT(B12,3)+0,#REF!,0))),NOT(ISERROR(MATCH(LEFT(B12,3)+0,#REF!,0)))),"No Post","")</f>
    </oc>
    <nc r="J12">
      <f>IF(OR(NOT(ISERROR(MATCH(RIGHT(B12,3)+0,#REF!,0))),NOT(ISERROR(MATCH(LEFT(B12,3)+0,#REF!,0)))),"No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3617" sId="13" odxf="1" dxf="1">
    <oc r="J13">
      <f>IF(OR(NOT(ISERROR(MATCH(RIGHT(B13,3)+0,#REF!,0))),NOT(ISERROR(MATCH(LEFT(B13,3)+0,#REF!,0)))),"No Post","")</f>
    </oc>
    <nc r="J13">
      <f>IF(OR(NOT(ISERROR(MATCH(RIGHT(B13,3)+0,#REF!,0))),NOT(ISERROR(MATCH(LEFT(B13,3)+0,#REF!,0)))),"No Post","")</f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</revisions>
</file>

<file path=xl/revisions/revisionLog3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18" sId="13">
    <oc r="E11">
      <v>2</v>
    </oc>
    <nc r="E11" t="inlineStr">
      <is>
        <t>CXL2</t>
      </is>
    </nc>
  </rcc>
</revisions>
</file>

<file path=xl/revisions/revisionLog3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3619" sheetId="13" source="B20:J20" destination="B22:J22" sourceSheetId="13">
    <rfmt sheetId="13" sqref="B2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C2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D22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E2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F2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G2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H2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I2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3" dxf="1">
      <nc r="J22">
        <f>IF(OR(NOT(ISERROR(MATCH(RIGHT(B22,3)+0,#REF!,0))),NOT(ISERROR(MATCH(LEFT(B22,3)+0,#REF!,0)))),"No Post","")</f>
      </nc>
      <ndxf>
        <font>
          <b/>
          <sz val="12"/>
          <color auto="1"/>
          <name val="Calibri"/>
          <scheme val="none"/>
        </font>
      </ndxf>
    </rcc>
  </rm>
  <rm rId="3620" sheetId="13" source="B14:J14" destination="B21:J21" sourceSheetId="13">
    <rfmt sheetId="13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3" dxf="1">
      <nc r="J21">
        <f>IF(OR(NOT(ISERROR(MATCH(RIGHT(B21,3)+0,#REF!,0))),NOT(ISERROR(MATCH(LEFT(B21,3)+0,#REF!,0)))),"No Post","")</f>
      </nc>
      <ndxf>
        <font>
          <b/>
          <sz val="12"/>
          <color auto="1"/>
          <name val="Calibri"/>
          <scheme val="none"/>
        </font>
      </ndxf>
    </rcc>
  </rm>
  <rm rId="3621" sheetId="13" source="B9:J9" destination="B25:J25" sourceSheetId="13">
    <rfmt sheetId="13" sqref="B2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C2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D25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E2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F2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G2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H2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I25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3" dxf="1">
      <nc r="J25">
        <f>IF(OR(NOT(ISERROR(MATCH(RIGHT(B25,3)+0,#REF!,0))),NOT(ISERROR(MATCH(LEFT(B25,3)+0,#REF!,0)))),"No Post","")</f>
      </nc>
      <ndxf>
        <font>
          <b/>
          <sz val="12"/>
          <color auto="1"/>
          <name val="Calibri"/>
          <scheme val="none"/>
        </font>
      </ndxf>
    </rcc>
  </rm>
  <rm rId="3622" sheetId="13" source="B17:J17" destination="B24:J24" sourceSheetId="13">
    <rfmt sheetId="13" sqref="B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C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D24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E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F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G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H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I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3" dxf="1">
      <nc r="J24">
        <f>IF(OR(NOT(ISERROR(MATCH(RIGHT(B24,3)+0,#REF!,0))),NOT(ISERROR(MATCH(LEFT(B24,3)+0,#REF!,0)))),"No Post","")</f>
      </nc>
      <ndxf>
        <font>
          <b/>
          <sz val="12"/>
          <color auto="1"/>
          <name val="Calibri"/>
          <scheme val="none"/>
        </font>
      </ndxf>
    </rcc>
  </rm>
  <rm rId="3623" sheetId="13" source="B16:J16" destination="B23:J23" sourceSheetId="13">
    <rfmt sheetId="13" sqref="B23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C23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D23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E23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F23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G23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H23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I23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3" dxf="1">
      <nc r="J23">
        <f>IF(OR(NOT(ISERROR(MATCH(RIGHT(B23,3)+0,#REF!,0))),NOT(ISERROR(MATCH(LEFT(B23,3)+0,#REF!,0)))),"No Post","")</f>
      </nc>
      <ndxf>
        <font>
          <b/>
          <sz val="12"/>
          <color auto="1"/>
          <name val="Calibri"/>
          <scheme val="none"/>
        </font>
      </ndxf>
    </rcc>
  </rm>
  <rm rId="3624" sheetId="13" source="B15:J15" destination="B26:J26" sourceSheetId="13">
    <undo index="0" exp="area" dr="E17:E26" r="E27" sId="13"/>
    <undo index="0" exp="area" dr="F17:F26" r="F27" sId="13"/>
    <rfmt sheetId="13" sqref="B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C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D26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E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F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G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H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I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3" dxf="1">
      <nc r="J26">
        <f>IF(OR(NOT(ISERROR(MATCH(RIGHT(B26,3)+0,#REF!,0))),NOT(ISERROR(MATCH(LEFT(B26,3)+0,#REF!,0)))),"No Post","")</f>
      </nc>
      <ndxf>
        <font>
          <b/>
          <sz val="12"/>
          <color auto="1"/>
          <name val="Calibri"/>
          <scheme val="none"/>
        </font>
      </ndxf>
    </rcc>
  </rm>
  <rm rId="3625" sheetId="13" source="B10:J10" destination="B14:J14" sourceSheetId="13">
    <rfmt sheetId="13" sqref="B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C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D14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3" sqref="E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F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G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H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I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J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26" sheetId="13" source="B11:K11" destination="B20:K20" sourceSheetId="13">
    <rfmt sheetId="13" sqref="B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C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D20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3" sqref="E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F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G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H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I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J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K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27" sheetId="13" source="B8:J8" destination="B10:J10" sourceSheetId="13">
    <rfmt sheetId="13" sqref="B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C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D10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3" sqref="E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F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G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H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I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J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28" sheetId="13" source="B18:J18" destination="B16:J16" sourceSheetId="13">
    <rfmt sheetId="13" sqref="B16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C16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D16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3" sqref="E16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F16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G16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H16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I16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J16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29" sheetId="13" source="B19:J19" destination="B17:J17" sourceSheetId="13">
    <rfmt sheetId="13" sqref="B1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C1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D17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3" sqref="E1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F1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G1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H1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I1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J1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30" sheetId="13" source="B12:J12" destination="B9:J9" sourceSheetId="13">
    <rfmt sheetId="13" sqref="B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C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D9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3" sqref="E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F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G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H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I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J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31" sheetId="13" source="B13:J13" destination="B11:J11" sourceSheetId="13">
    <rfmt sheetId="13" sqref="B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C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D11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3" sqref="E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F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G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H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I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J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32" sheetId="13" source="B21:J21" destination="B15:J15" sourceSheetId="13">
    <rfmt sheetId="13" sqref="B15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C15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D15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3" sqref="E15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F15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G15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H15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I15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J15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33" sheetId="13" source="B22:J22" destination="B8:J8" sourceSheetId="13"/>
  <rm rId="3634" sheetId="13" source="B23:J23" destination="B18:J18" sourceSheetId="13"/>
  <rm rId="3635" sheetId="13" source="B24:J24" destination="B19:J19" sourceSheetId="13"/>
  <rm rId="3636" sheetId="13" source="B25:J25" destination="B12:J12" sourceSheetId="13"/>
  <rm rId="3637" sheetId="13" source="B26:J26" destination="B13:J13" sourceSheetId="13"/>
  <rfmt sheetId="13" sqref="B21:J21" start="0" length="0">
    <dxf>
      <border>
        <top style="thin">
          <color indexed="64"/>
        </top>
      </border>
    </dxf>
  </rfmt>
  <rfmt sheetId="13" sqref="J21:J26" start="0" length="0">
    <dxf>
      <border>
        <right style="thin">
          <color indexed="64"/>
        </right>
      </border>
    </dxf>
  </rfmt>
  <rfmt sheetId="13" sqref="B26:J26" start="0" length="0">
    <dxf>
      <border>
        <bottom style="thin">
          <color indexed="64"/>
        </bottom>
      </border>
    </dxf>
  </rfmt>
  <rfmt sheetId="13" sqref="B21:J2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3" sqref="C16">
    <dxf>
      <fill>
        <patternFill>
          <bgColor rgb="FFFF0000"/>
        </patternFill>
      </fill>
    </dxf>
  </rfmt>
  <rfmt sheetId="13" sqref="C17">
    <dxf>
      <fill>
        <patternFill>
          <bgColor rgb="FFFF0000"/>
        </patternFill>
      </fill>
    </dxf>
  </rfmt>
  <rcc rId="3638" sId="13" odxf="1" dxf="1">
    <oc r="J19">
      <f>IF(OR(NOT(ISERROR(MATCH(RIGHT(B19,3)+0,#REF!,0))),NOT(ISERROR(MATCH(LEFT(B19,3)+0,#REF!,0)))),"No Post","")</f>
    </oc>
    <nc r="J19">
      <f>IF(OR(NOT(ISERROR(MATCH(RIGHT(B19,3)+0,#REF!,0))),NOT(ISERROR(MATCH(LEFT(B19,3)+0,#REF!,0)))),"No Post","")</f>
    </nc>
    <odxf>
      <fill>
        <patternFill>
          <bgColor rgb="FFFF0000"/>
        </patternFill>
      </fill>
    </odxf>
    <ndxf>
      <fill>
        <patternFill>
          <bgColor rgb="FF00B050"/>
        </patternFill>
      </fill>
    </ndxf>
  </rcc>
  <rcc rId="3639" sId="13">
    <nc r="K19" t="inlineStr">
      <is>
        <t>Whatsapp</t>
      </is>
    </nc>
  </rcc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'6'!$A$1:$L$49</formula>
    <oldFormula>'6'!$A$1:$L$49</oldFormula>
  </rdn>
  <rdn rId="0" localSheetId="6" customView="1" name="Z_6222734F_EF03_4A42_A0AF_7421F8747AA6_.wvu.FilterData" hidden="1" oldHidden="1">
    <formula>'6'!$D$6:$K$36</formula>
    <oldFormula>'6'!$D$6:$K$36</oldFormula>
  </rdn>
  <rdn rId="0" localSheetId="7" customView="1" name="Z_6222734F_EF03_4A42_A0AF_7421F8747AA6_.wvu.PrintArea" hidden="1" oldHidden="1">
    <formula>'7'!$A$1:$L$37</formula>
    <oldFormula>'7'!$A$1:$L$37</oldFormula>
  </rdn>
  <rdn rId="0" localSheetId="8" customView="1" name="Z_6222734F_EF03_4A42_A0AF_7421F8747AA6_.wvu.PrintArea" hidden="1" oldHidden="1">
    <formula>'8'!$A$1:$J$33</formula>
    <oldFormula>'8'!$A$1:$J$33</oldFormula>
  </rdn>
  <rdn rId="0" localSheetId="9" customView="1" name="Z_6222734F_EF03_4A42_A0AF_7421F8747AA6_.wvu.PrintArea" hidden="1" oldHidden="1">
    <formula>'9'!$A$1:$J$39</formula>
    <oldFormula>'9'!$A$1:$J$39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3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3" sqref="C19">
    <dxf>
      <fill>
        <patternFill>
          <bgColor rgb="FF92D050"/>
        </patternFill>
      </fill>
    </dxf>
  </rfmt>
  <rcc rId="3672" sId="14" odxf="1" dxf="1">
    <nc r="B9">
      <v>869</v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cc rId="3673" sId="14" odxf="1" dxf="1">
    <nc r="C9" t="inlineStr">
      <is>
        <t>Eugene Au</t>
      </is>
    </nc>
    <odxf>
      <fill>
        <patternFill>
          <bgColor theme="0"/>
        </patternFill>
      </fill>
      <alignment vertical="top" readingOrder="0"/>
      <border outline="0">
        <top style="thin">
          <color indexed="64"/>
        </top>
      </border>
    </odxf>
    <ndxf>
      <fill>
        <patternFill>
          <bgColor rgb="FF92D050"/>
        </patternFill>
      </fill>
      <alignment vertical="center" readingOrder="0"/>
      <border outline="0">
        <top/>
      </border>
    </ndxf>
  </rcc>
  <rcc rId="3674" sId="14" odxf="1" dxf="1" numFmtId="19">
    <nc r="D9">
      <v>46157</v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cc rId="3675" sId="14" odxf="1" dxf="1">
    <nc r="E9">
      <v>2</v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fmt sheetId="14" sqref="F9" start="0" length="0">
    <dxf>
      <alignment vertical="center" readingOrder="0"/>
    </dxf>
  </rfmt>
  <rfmt sheetId="14" sqref="G9" start="0" length="0">
    <dxf>
      <alignment vertical="center" readingOrder="0"/>
    </dxf>
  </rfmt>
  <rfmt sheetId="14" sqref="H9" start="0" length="0">
    <dxf>
      <alignment vertical="center" readingOrder="0"/>
    </dxf>
  </rfmt>
  <rcc rId="3676" sId="14" odxf="1" dxf="1">
    <nc r="I9" t="inlineStr">
      <is>
        <t>Faiha</t>
      </is>
    </nc>
    <odxf>
      <alignment vertical="top" readingOrder="0"/>
    </odxf>
    <ndxf>
      <alignment vertical="center" readingOrder="0"/>
    </ndxf>
  </rcc>
</revisions>
</file>

<file path=xl/revisions/revisionLog3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4" sqref="C9">
    <dxf>
      <fill>
        <patternFill patternType="none">
          <bgColor auto="1"/>
        </patternFill>
      </fill>
    </dxf>
  </rfmt>
  <rm rId="3677" sheetId="13" source="B10:K10" destination="B24:K24" sourceSheetId="13">
    <rfmt sheetId="13" sqref="B24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C24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D24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E24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F24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G24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H24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I24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J24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K2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78" sheetId="13" source="B20:K20" destination="B23:K23" sourceSheetId="13">
    <rfmt sheetId="13" sqref="B23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C23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D23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E23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F23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G23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H23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I23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J23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K23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79" sheetId="13" source="B14:K14" destination="B22:K22" sourceSheetId="13">
    <rfmt sheetId="13" sqref="B22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C22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D22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E22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F22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G22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H22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I22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J22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K22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80" sheetId="13" source="B7:K7" destination="B21:K21" sourceSheetId="13">
    <rfmt sheetId="13" sqref="B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C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D21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E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F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G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H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I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J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K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81" sheetId="13" source="B19:K19" destination="B25:K25" sourceSheetId="13">
    <rfmt sheetId="13" sqref="B25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C25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D25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E25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F25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G25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H25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I25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J25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K25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82" sheetId="13" source="B16:K16" destination="B7:K7" sourceSheetId="13">
    <rfmt sheetId="13" sqref="B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C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D7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3" sqref="E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F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G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H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I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J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K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83" sheetId="13" source="B17:K17" destination="B14:K14" sourceSheetId="13">
    <rfmt sheetId="13" sqref="B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C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D14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3" sqref="E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F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G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H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I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J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K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84" sheetId="13" source="B9:K9" destination="B20:K20" sourceSheetId="13">
    <rfmt sheetId="13" sqref="B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C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D20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3" sqref="E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F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G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H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I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J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K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85" sheetId="13" source="B11:K11" destination="B10:K10" sourceSheetId="13">
    <rfmt sheetId="13" sqref="B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C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D10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3" sqref="E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F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G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H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I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J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K1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86" sheetId="13" source="B15:K15" destination="B16:K16" sourceSheetId="13"/>
  <rm rId="3687" sheetId="13" source="B8:K8" destination="B17:K17" sourceSheetId="13"/>
  <rm rId="3688" sheetId="13" source="B18:K18" destination="B9:K9" sourceSheetId="13"/>
  <rm rId="3689" sheetId="13" source="B19:K19" destination="B11:K11" sourceSheetId="13"/>
  <rm rId="3690" sheetId="13" source="B12:K12" destination="B15:K15" sourceSheetId="13"/>
  <rm rId="3691" sheetId="13" source="B13:K13" destination="B8:K8" sourceSheetId="13"/>
  <rm rId="3692" sheetId="13" source="B21:K21" destination="B18:K18" sourceSheetId="13"/>
  <rm rId="3693" sheetId="13" source="B22:K22" destination="B19:K19" sourceSheetId="13"/>
  <rm rId="3694" sheetId="13" source="B23:K23" destination="B12:K12" sourceSheetId="13"/>
  <rm rId="3695" sheetId="13" source="B24:K24" destination="B13:K13" sourceSheetId="13"/>
  <rm rId="3696" sheetId="13" source="B25:K25" destination="B21:K21" sourceSheetId="13"/>
  <rm rId="3697" sheetId="13" source="B15:K15" destination="B11:K11" sourceSheetId="13">
    <rfmt sheetId="13" sqref="B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C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D11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3" sqref="E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F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G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H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I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J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K1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698" sheetId="13" source="B8:K8" destination="B15:K15" sourceSheetId="13"/>
  <rm rId="3699" sheetId="13" source="B18:K18" destination="B8:K8" sourceSheetId="13"/>
  <rm rId="3700" sheetId="13" source="B19:K19" destination="B18:K18" sourceSheetId="13"/>
  <rm rId="3701" sheetId="13" source="B12:K12" destination="B19:K19" sourceSheetId="13"/>
  <rm rId="3702" sheetId="13" source="B13:K13" destination="B12:K12" sourceSheetId="13"/>
  <rm rId="3703" sheetId="13" source="B21:K21" destination="B13:K13" sourceSheetId="13">
    <undo index="0" exp="area" dr="E7:E16" r="E27" sId="13"/>
    <undo index="0" exp="area" dr="F7:F16" r="F27" sId="13"/>
  </rm>
  <rfmt sheetId="13" sqref="B21:J21" start="0" length="0">
    <dxf>
      <border>
        <top style="thin">
          <color indexed="64"/>
        </top>
      </border>
    </dxf>
  </rfmt>
  <rfmt sheetId="13" sqref="J21:J26" start="0" length="0">
    <dxf>
      <border>
        <right style="thin">
          <color indexed="64"/>
        </right>
      </border>
    </dxf>
  </rfmt>
  <rfmt sheetId="13" sqref="B21:J2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3" sqref="C13">
    <dxf>
      <fill>
        <patternFill patternType="none">
          <bgColor auto="1"/>
        </patternFill>
      </fill>
    </dxf>
  </rfmt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'6'!$A$1:$L$49</formula>
    <oldFormula>'6'!$A$1:$L$49</oldFormula>
  </rdn>
  <rdn rId="0" localSheetId="6" customView="1" name="Z_6222734F_EF03_4A42_A0AF_7421F8747AA6_.wvu.FilterData" hidden="1" oldHidden="1">
    <formula>'6'!$D$6:$K$36</formula>
    <oldFormula>'6'!$D$6:$K$36</oldFormula>
  </rdn>
  <rdn rId="0" localSheetId="7" customView="1" name="Z_6222734F_EF03_4A42_A0AF_7421F8747AA6_.wvu.PrintArea" hidden="1" oldHidden="1">
    <formula>'7'!$A$1:$L$37</formula>
    <oldFormula>'7'!$A$1:$L$37</oldFormula>
  </rdn>
  <rdn rId="0" localSheetId="8" customView="1" name="Z_6222734F_EF03_4A42_A0AF_7421F8747AA6_.wvu.PrintArea" hidden="1" oldHidden="1">
    <formula>'8'!$A$1:$J$33</formula>
    <oldFormula>'8'!$A$1:$J$33</oldFormula>
  </rdn>
  <rdn rId="0" localSheetId="9" customView="1" name="Z_6222734F_EF03_4A42_A0AF_7421F8747AA6_.wvu.PrintArea" hidden="1" oldHidden="1">
    <formula>'9'!$A$1:$J$39</formula>
    <oldFormula>'9'!$A$1:$J$39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3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3" sqref="J20">
    <dxf>
      <fill>
        <patternFill>
          <bgColor rgb="FF00B050"/>
        </patternFill>
      </fill>
    </dxf>
  </rfmt>
  <rcc rId="3736" sId="13">
    <oc r="E20">
      <v>3</v>
    </oc>
    <nc r="E20" t="inlineStr">
      <is>
        <t>CXL3</t>
      </is>
    </nc>
  </rcc>
  <rcc rId="3737" sId="13">
    <oc r="E13">
      <v>2</v>
    </oc>
    <nc r="E13" t="inlineStr">
      <is>
        <t>PP2</t>
      </is>
    </nc>
  </rcc>
  <rm rId="3738" sheetId="13" source="B20:J20" destination="B21:J21" sourceSheetId="13">
    <rfmt sheetId="13" sqref="B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C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D21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E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F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G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H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I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J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m rId="3739" sheetId="13" source="B10:K10" destination="B20:K20" sourceSheetId="13">
    <rfmt sheetId="13" sqref="B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C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D20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3" sqref="E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F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G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H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I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J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K20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740" sheetId="13" source="B16:K16" destination="B10:K10" sourceSheetId="13"/>
  <rm rId="3741" sheetId="13" source="B17:K17" destination="B16:K16" sourceSheetId="13"/>
  <rm rId="3742" sheetId="13" source="B9:K9" destination="B17:K17" sourceSheetId="13"/>
  <rm rId="3743" sheetId="13" source="B11:K11" destination="B9:K9" sourceSheetId="13"/>
  <rm rId="3744" sheetId="13" source="B15:K15" destination="B11:K11" sourceSheetId="13"/>
  <rm rId="3745" sheetId="13" source="B8:K8" destination="B15:K15" sourceSheetId="13"/>
  <rm rId="3746" sheetId="13" source="B18:K18" destination="B8:K8" sourceSheetId="13"/>
  <rm rId="3747" sheetId="13" source="B19:K19" destination="B18:K18" sourceSheetId="13"/>
  <rm rId="3748" sheetId="13" source="B12:K12" destination="B19:K19" sourceSheetId="13"/>
  <rm rId="3749" sheetId="13" source="B13:K13" destination="B12:K12" sourceSheetId="13"/>
  <rm rId="3750" sheetId="13" source="B21:K21" destination="B13:K13" sourceSheetId="13">
    <undo index="0" exp="area" dr="E7:E15" r="E27" sId="13"/>
    <undo index="0" exp="area" dr="F7:F15" r="F27" sId="13"/>
  </rm>
  <rfmt sheetId="13" sqref="I21" start="0" length="0">
    <dxf>
      <border>
        <right style="thin">
          <color indexed="64"/>
        </right>
      </border>
    </dxf>
  </rfmt>
  <rfmt sheetId="13" sqref="B21:I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3" sqref="C7">
    <dxf>
      <fill>
        <patternFill patternType="none">
          <bgColor auto="1"/>
        </patternFill>
      </fill>
    </dxf>
  </rfmt>
  <rfmt sheetId="13" sqref="C14">
    <dxf>
      <fill>
        <patternFill patternType="none">
          <bgColor auto="1"/>
        </patternFill>
      </fill>
    </dxf>
  </rfmt>
  <rfmt sheetId="13" sqref="J7">
    <dxf>
      <fill>
        <patternFill>
          <bgColor rgb="FF00B050"/>
        </patternFill>
      </fill>
    </dxf>
  </rfmt>
  <rm rId="3751" sheetId="13" source="B7:J7" destination="B21:J21" sourceSheetId="13">
    <rfmt sheetId="13" sqref="B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C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D21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E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F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G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H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I21" start="0" length="0">
      <dxf>
        <font>
          <sz val="14"/>
          <color theme="1"/>
          <name val="Calibri"/>
          <scheme val="minor"/>
        </font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3" sqref="J21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cc rId="3752" sId="13">
    <oc r="E21">
      <v>2</v>
    </oc>
    <nc r="E21" t="inlineStr">
      <is>
        <t>CXL2</t>
      </is>
    </nc>
  </rcc>
  <rm rId="3753" sheetId="13" source="B14:K14" destination="B7:K7" sourceSheetId="13">
    <rfmt sheetId="13" sqref="B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C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D7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3" sqref="E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F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G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H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I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J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3" sqref="K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754" sheetId="13" source="B20:K20" destination="B14:K14" sourceSheetId="13"/>
  <rm rId="3755" sheetId="13" source="B10:K10" destination="B20:K20" sourceSheetId="13"/>
  <rm rId="3756" sheetId="13" source="B16:K16" destination="B10:K10" sourceSheetId="13"/>
  <rm rId="3757" sheetId="13" source="B17:K17" destination="B16:K16" sourceSheetId="13"/>
  <rm rId="3758" sheetId="13" source="B9:K9" destination="B17:K17" sourceSheetId="13"/>
  <rm rId="3759" sheetId="13" source="B11:K11" destination="B9:K9" sourceSheetId="13"/>
  <rm rId="3760" sheetId="13" source="B15:K15" destination="B11:K11" sourceSheetId="13"/>
  <rm rId="3761" sheetId="13" source="B8:K8" destination="B15:K15" sourceSheetId="13"/>
  <rm rId="3762" sheetId="13" source="B18:K18" destination="B8:K8" sourceSheetId="13"/>
  <rm rId="3763" sheetId="13" source="B19:K19" destination="B18:K18" sourceSheetId="13"/>
  <rm rId="3764" sheetId="13" source="B12:K12" destination="B19:K19" sourceSheetId="13"/>
  <rm rId="3765" sheetId="13" source="B13:K13" destination="B12:K12" sourceSheetId="13"/>
  <rm rId="3766" sheetId="13" source="B21:K21" destination="B13:K13" sourceSheetId="13">
    <undo index="0" exp="area" dr="E7:E14" r="E27" sId="13"/>
    <undo index="0" exp="area" dr="F7:F14" r="F27" sId="13"/>
  </rm>
  <rfmt sheetId="13" sqref="B21:J21" start="0" length="0">
    <dxf>
      <border>
        <top style="thin">
          <color indexed="64"/>
        </top>
      </border>
    </dxf>
  </rfmt>
  <rfmt sheetId="13" sqref="J21:J22" start="0" length="0">
    <dxf>
      <border>
        <right style="thin">
          <color indexed="64"/>
        </right>
      </border>
    </dxf>
  </rfmt>
  <rfmt sheetId="13" sqref="B21:J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67" sId="13">
    <oc r="E9">
      <v>2</v>
    </oc>
    <nc r="E9" t="inlineStr">
      <is>
        <t>CXL2</t>
      </is>
    </nc>
  </rcc>
  <rfmt sheetId="13" sqref="J9">
    <dxf>
      <fill>
        <patternFill>
          <bgColor rgb="FF00B050"/>
        </patternFill>
      </fill>
    </dxf>
  </rfmt>
</revisions>
</file>

<file path=xl/revisions/revisionLog3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68" sId="14" odxf="1" dxf="1">
    <nc r="B10" t="inlineStr">
      <is>
        <t>649/868</t>
      </is>
    </nc>
    <odxf>
      <alignment vertical="top" readingOrder="0"/>
    </odxf>
    <ndxf>
      <alignment vertical="center" readingOrder="0"/>
    </ndxf>
  </rcc>
  <rcc rId="3769" sId="14" odxf="1" dxf="1">
    <nc r="C10" t="inlineStr">
      <is>
        <t>Xiaoyu Xing</t>
      </is>
    </nc>
    <odxf>
      <fill>
        <patternFill patternType="solid">
          <bgColor theme="0"/>
        </patternFill>
      </fill>
      <alignment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none">
          <bgColor indexed="65"/>
        </patternFill>
      </fill>
      <alignment vertical="center" readingOrder="0"/>
      <border outline="0">
        <left/>
        <right/>
        <top/>
        <bottom/>
      </border>
    </ndxf>
  </rcc>
  <rcc rId="3770" sId="14" odxf="1" dxf="1" numFmtId="19">
    <nc r="D10">
      <v>46155</v>
    </nc>
    <odxf>
      <alignment vertical="top" readingOrder="0"/>
    </odxf>
    <ndxf>
      <alignment vertical="center" readingOrder="0"/>
    </ndxf>
  </rcc>
  <rcc rId="3771" sId="14" odxf="1" dxf="1">
    <nc r="E10">
      <v>3</v>
    </nc>
    <odxf>
      <alignment vertical="top" readingOrder="0"/>
    </odxf>
    <ndxf>
      <alignment vertical="center" readingOrder="0"/>
    </ndxf>
  </rcc>
  <rfmt sheetId="14" sqref="F10" start="0" length="0">
    <dxf>
      <alignment vertical="center" readingOrder="0"/>
    </dxf>
  </rfmt>
  <rfmt sheetId="14" sqref="G10" start="0" length="0">
    <dxf>
      <alignment vertical="center" readingOrder="0"/>
    </dxf>
  </rfmt>
  <rfmt sheetId="14" sqref="H10" start="0" length="0">
    <dxf>
      <alignment vertical="center" readingOrder="0"/>
    </dxf>
  </rfmt>
  <rcc rId="3772" sId="14" odxf="1" dxf="1">
    <nc r="I10" t="inlineStr">
      <is>
        <t>Win/Faiha</t>
      </is>
    </nc>
    <odxf>
      <alignment vertical="top" readingOrder="0"/>
    </odxf>
    <ndxf>
      <alignment vertical="center" readingOrder="0"/>
    </ndxf>
  </rcc>
  <rfmt sheetId="13" sqref="J7">
    <dxf>
      <fill>
        <patternFill>
          <bgColor rgb="FF00B050"/>
        </patternFill>
      </fill>
    </dxf>
  </rfmt>
  <rcc rId="3773" sId="14" odxf="1" dxf="1">
    <nc r="B11">
      <v>874</v>
    </nc>
    <odxf>
      <alignment vertical="top" readingOrder="0"/>
    </odxf>
    <ndxf>
      <alignment vertical="center" readingOrder="0"/>
    </ndxf>
  </rcc>
  <rcc rId="3774" sId="14" odxf="1" dxf="1">
    <nc r="C11" t="inlineStr">
      <is>
        <t>Shintaro Kunitake</t>
      </is>
    </nc>
    <odxf>
      <alignment vertical="top" readingOrder="0"/>
    </odxf>
    <ndxf>
      <alignment vertical="center" readingOrder="0"/>
    </ndxf>
  </rcc>
  <rcc rId="3775" sId="14" odxf="1" dxf="1" numFmtId="19">
    <nc r="D11">
      <v>46157</v>
    </nc>
    <odxf>
      <alignment vertical="top" readingOrder="0"/>
    </odxf>
    <ndxf>
      <alignment vertical="center" readingOrder="0"/>
    </ndxf>
  </rcc>
  <rcc rId="3776" sId="14" odxf="1" dxf="1">
    <nc r="E11">
      <v>2</v>
    </nc>
    <odxf>
      <alignment vertical="top" readingOrder="0"/>
    </odxf>
    <ndxf>
      <alignment vertical="center" readingOrder="0"/>
    </ndxf>
  </rcc>
  <rfmt sheetId="14" sqref="F11" start="0" length="0">
    <dxf>
      <alignment vertical="center" readingOrder="0"/>
    </dxf>
  </rfmt>
  <rfmt sheetId="14" sqref="G11" start="0" length="0">
    <dxf>
      <alignment vertical="center" readingOrder="0"/>
    </dxf>
  </rfmt>
  <rfmt sheetId="14" sqref="H11" start="0" length="0">
    <dxf>
      <alignment vertical="center" readingOrder="0"/>
    </dxf>
  </rfmt>
  <rcc rId="3777" sId="14" odxf="1" dxf="1">
    <nc r="I11" t="inlineStr">
      <is>
        <t>Archana/Faiha</t>
      </is>
    </nc>
    <odxf>
      <alignment vertical="top" readingOrder="0"/>
    </odxf>
    <ndxf>
      <alignment vertical="center" readingOrder="0"/>
    </ndxf>
  </rcc>
</revisions>
</file>

<file path=xl/revisions/revisionLog3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4" sqref="B12" start="0" length="0">
    <dxf>
      <alignment vertical="center" readingOrder="0"/>
    </dxf>
  </rfmt>
  <rfmt sheetId="14" sqref="C12" start="0" length="0">
    <dxf>
      <alignment horizontal="general" vertical="center" readingOrder="0"/>
    </dxf>
  </rfmt>
  <rfmt sheetId="14" sqref="D12" start="0" length="0">
    <dxf>
      <alignment vertical="center" readingOrder="0"/>
    </dxf>
  </rfmt>
  <rfmt sheetId="14" sqref="E12" start="0" length="0">
    <dxf>
      <alignment horizontal="general" vertical="center" readingOrder="0"/>
    </dxf>
  </rfmt>
  <rfmt sheetId="14" sqref="F12" start="0" length="0">
    <dxf>
      <alignment horizontal="general" vertical="center" readingOrder="0"/>
    </dxf>
  </rfmt>
  <rfmt sheetId="14" sqref="G12" start="0" length="0">
    <dxf>
      <alignment horizontal="general" vertical="center" readingOrder="0"/>
    </dxf>
  </rfmt>
  <rfmt sheetId="14" sqref="H12" start="0" length="0">
    <dxf>
      <alignment horizontal="general" vertical="center" readingOrder="0"/>
    </dxf>
  </rfmt>
  <rfmt sheetId="14" sqref="I12" start="0" length="0">
    <dxf>
      <alignment horizontal="left" vertical="center" readingOrder="0"/>
    </dxf>
  </rfmt>
  <rcc rId="3778" sId="14">
    <nc r="B12">
      <v>613</v>
    </nc>
  </rcc>
  <rcc rId="3779" sId="14">
    <nc r="E12">
      <v>2</v>
    </nc>
  </rcc>
  <rcc rId="3780" sId="14">
    <nc r="I12" t="inlineStr">
      <is>
        <t>Faiha</t>
      </is>
    </nc>
  </rcc>
</revisions>
</file>

<file path=xl/revisions/revisionLog3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81" sId="14">
    <oc r="E27">
      <f>SUM(E17:E26)</f>
    </oc>
    <nc r="E27">
      <f>SUM(E7:E26)</f>
    </nc>
  </rcc>
</revisions>
</file>

<file path=xl/revisions/revisionLog3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82" sId="14" odxf="1" dxf="1">
    <nc r="B13" t="inlineStr">
      <is>
        <t>649/868</t>
      </is>
    </nc>
    <ndxf>
      <alignment vertical="center" readingOrder="0"/>
    </ndxf>
  </rcc>
  <rcc rId="3783" sId="14" odxf="1" dxf="1">
    <nc r="C13" t="inlineStr">
      <is>
        <t>Xiaoyu Xing</t>
      </is>
    </nc>
    <odxf>
      <fill>
        <patternFill patternType="solid">
          <bgColor theme="0"/>
        </patternFill>
      </fill>
      <alignment vertical="top" readingOrder="0"/>
    </odxf>
    <ndxf>
      <fill>
        <patternFill patternType="none">
          <bgColor indexed="65"/>
        </patternFill>
      </fill>
      <alignment vertical="center" readingOrder="0"/>
    </ndxf>
  </rcc>
  <rcc rId="3784" sId="14" odxf="1" dxf="1" numFmtId="19">
    <nc r="D13">
      <v>46155</v>
    </nc>
    <odxf>
      <alignment vertical="top" readingOrder="0"/>
    </odxf>
    <ndxf>
      <alignment vertical="center" readingOrder="0"/>
    </ndxf>
  </rcc>
  <rcc rId="3785" sId="14" odxf="1" dxf="1">
    <nc r="E13">
      <v>3</v>
    </nc>
    <odxf>
      <alignment vertical="top" readingOrder="0"/>
    </odxf>
    <ndxf>
      <alignment vertical="center" readingOrder="0"/>
    </ndxf>
  </rcc>
  <rfmt sheetId="14" sqref="F13" start="0" length="0">
    <dxf>
      <alignment vertical="center" readingOrder="0"/>
    </dxf>
  </rfmt>
  <rfmt sheetId="14" sqref="G13" start="0" length="0">
    <dxf>
      <alignment vertical="center" readingOrder="0"/>
    </dxf>
  </rfmt>
  <rfmt sheetId="14" sqref="H13" start="0" length="0">
    <dxf>
      <alignment vertical="center" readingOrder="0"/>
    </dxf>
  </rfmt>
  <rcc rId="3786" sId="14" odxf="1" dxf="1">
    <nc r="I13" t="inlineStr">
      <is>
        <t>Win/Faiha</t>
      </is>
    </nc>
    <odxf>
      <alignment vertical="top" readingOrder="0"/>
    </odxf>
    <ndxf>
      <alignment vertical="center" readingOrder="0"/>
    </ndxf>
  </rcc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'6'!$A$1:$L$49</formula>
    <oldFormula>'6'!$A$1:$L$49</oldFormula>
  </rdn>
  <rdn rId="0" localSheetId="6" customView="1" name="Z_6222734F_EF03_4A42_A0AF_7421F8747AA6_.wvu.FilterData" hidden="1" oldHidden="1">
    <formula>'6'!$D$6:$K$36</formula>
    <oldFormula>'6'!$D$6:$K$36</oldFormula>
  </rdn>
  <rdn rId="0" localSheetId="7" customView="1" name="Z_6222734F_EF03_4A42_A0AF_7421F8747AA6_.wvu.PrintArea" hidden="1" oldHidden="1">
    <formula>'7'!$A$1:$L$37</formula>
    <oldFormula>'7'!$A$1:$L$37</oldFormula>
  </rdn>
  <rdn rId="0" localSheetId="8" customView="1" name="Z_6222734F_EF03_4A42_A0AF_7421F8747AA6_.wvu.PrintArea" hidden="1" oldHidden="1">
    <formula>'8'!$A$1:$J$33</formula>
    <oldFormula>'8'!$A$1:$J$33</oldFormula>
  </rdn>
  <rdn rId="0" localSheetId="9" customView="1" name="Z_6222734F_EF03_4A42_A0AF_7421F8747AA6_.wvu.PrintArea" hidden="1" oldHidden="1">
    <formula>'9'!$A$1:$J$39</formula>
    <oldFormula>'9'!$A$1:$J$39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3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19" sId="13">
    <oc r="E7">
      <v>3</v>
    </oc>
    <nc r="E7" t="inlineStr">
      <is>
        <t>PP3</t>
      </is>
    </nc>
  </rcc>
</revisions>
</file>

<file path=xl/revisions/revisionLog3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20" sId="14">
    <nc r="C12" t="inlineStr">
      <is>
        <t>Juhwan Kim</t>
      </is>
    </nc>
  </rcc>
  <rcc rId="3821" sId="14" numFmtId="19">
    <nc r="D12">
      <v>46157</v>
    </nc>
  </rcc>
</revisions>
</file>

<file path=xl/revisions/revisionLog3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4" sqref="B7:I13" start="0" length="2147483647">
    <dxf>
      <font/>
    </dxf>
  </rfmt>
  <rfmt sheetId="14" sqref="B7:I13" start="0" length="2147483647">
    <dxf>
      <font/>
    </dxf>
  </rfmt>
  <rfmt sheetId="14" sqref="B7:I13" start="0" length="2147483647">
    <dxf>
      <font>
        <b/>
      </font>
    </dxf>
  </rfmt>
  <rfmt sheetId="14" sqref="B7:I13" start="0" length="2147483647">
    <dxf>
      <font>
        <b val="0"/>
      </font>
    </dxf>
  </rfmt>
  <rfmt sheetId="14" sqref="B7:I13">
    <dxf>
      <alignment vertical="center" readingOrder="0"/>
    </dxf>
  </rfmt>
  <rfmt sheetId="14" sqref="B7:I13">
    <dxf>
      <alignment horizontal="general" readingOrder="0"/>
    </dxf>
  </rfmt>
  <rfmt sheetId="14" sqref="B7:I13">
    <dxf>
      <alignment horizontal="center" readingOrder="0"/>
    </dxf>
  </rfmt>
</revisions>
</file>

<file path=xl/revisions/revisionLog3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22" sId="17">
    <nc r="B11">
      <v>604</v>
    </nc>
  </rcc>
  <rcc rId="3823" sId="17">
    <nc r="E11">
      <v>2</v>
    </nc>
  </rcc>
  <rcc rId="3824" sId="17">
    <nc r="I11" t="inlineStr">
      <is>
        <t>Leyla/Faiha</t>
      </is>
    </nc>
  </rcc>
</revisions>
</file>

<file path=xl/revisions/revisionLog3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25" sId="17">
    <nc r="C11" t="inlineStr">
      <is>
        <t>Sergei Komar</t>
      </is>
    </nc>
  </rcc>
  <rcc rId="3826" sId="17" numFmtId="19">
    <nc r="D11">
      <v>46161</v>
    </nc>
  </rcc>
</revisions>
</file>

<file path=xl/revisions/revisionLog3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27" sId="17">
    <nc r="G7" t="inlineStr">
      <is>
        <t>OLD</t>
      </is>
    </nc>
  </rcc>
  <rcc rId="3828" sId="17">
    <oc r="J7" t="inlineStr">
      <is>
        <t>OLD</t>
      </is>
    </oc>
    <nc r="J7"/>
  </rcc>
</revisions>
</file>

<file path=xl/revisions/revisionLog3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29" sId="16" odxf="1" dxf="1">
    <nc r="B9">
      <v>602</v>
    </nc>
    <odxf>
      <alignment vertical="top" readingOrder="0"/>
    </odxf>
    <ndxf>
      <alignment vertical="center" readingOrder="0"/>
    </ndxf>
  </rcc>
  <rcc rId="3830" sId="16" odxf="1" dxf="1">
    <nc r="C9" t="inlineStr">
      <is>
        <t>Matthew Green</t>
      </is>
    </nc>
    <odxf>
      <alignment vertical="top" readingOrder="0"/>
    </odxf>
    <ndxf>
      <alignment vertical="center" readingOrder="0"/>
    </ndxf>
  </rcc>
  <rcc rId="3831" sId="16" odxf="1" dxf="1" numFmtId="19">
    <nc r="D9">
      <v>46162</v>
    </nc>
    <odxf>
      <alignment vertical="top" readingOrder="0"/>
    </odxf>
    <ndxf>
      <alignment vertical="center" readingOrder="0"/>
    </ndxf>
  </rcc>
  <rcc rId="3832" sId="16" odxf="1" dxf="1">
    <nc r="E9">
      <v>2</v>
    </nc>
    <odxf>
      <alignment vertical="top" readingOrder="0"/>
    </odxf>
    <ndxf>
      <alignment vertical="center" readingOrder="0"/>
    </ndxf>
  </rcc>
  <rfmt sheetId="16" sqref="F9" start="0" length="0">
    <dxf>
      <alignment vertical="center" readingOrder="0"/>
    </dxf>
  </rfmt>
  <rfmt sheetId="16" sqref="G9" start="0" length="0">
    <dxf>
      <alignment vertical="center" readingOrder="0"/>
    </dxf>
  </rfmt>
  <rfmt sheetId="16" sqref="H9" start="0" length="0">
    <dxf>
      <alignment vertical="center" readingOrder="0"/>
    </dxf>
  </rfmt>
  <rcc rId="3833" sId="16" odxf="1" dxf="1">
    <nc r="I9" t="inlineStr">
      <is>
        <t>Astrid/Faiha</t>
      </is>
    </nc>
    <odxf>
      <alignment vertical="top" readingOrder="0"/>
    </odxf>
    <ndxf>
      <alignment vertical="center" readingOrder="0"/>
    </ndxf>
  </rcc>
  <rcc rId="3834" sId="14">
    <oc r="E7">
      <v>2</v>
    </oc>
    <nc r="E7" t="inlineStr">
      <is>
        <t>PP2</t>
      </is>
    </nc>
  </rcc>
</revisions>
</file>

<file path=xl/revisions/revisionLog3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4" sqref="E7">
    <dxf>
      <fill>
        <patternFill>
          <bgColor rgb="FFFF0000"/>
        </patternFill>
      </fill>
    </dxf>
  </rfmt>
  <rfmt sheetId="14" sqref="B12">
    <dxf>
      <fill>
        <patternFill>
          <bgColor rgb="FFFF0000"/>
        </patternFill>
      </fill>
    </dxf>
  </rfmt>
  <rfmt sheetId="14" sqref="B9">
    <dxf>
      <fill>
        <patternFill>
          <bgColor rgb="FF92D050"/>
        </patternFill>
      </fill>
    </dxf>
  </rfmt>
  <rfmt sheetId="14" sqref="J9">
    <dxf>
      <fill>
        <patternFill patternType="solid">
          <bgColor rgb="FF92D050"/>
        </patternFill>
      </fill>
    </dxf>
  </rfmt>
  <rcc rId="3835" sId="14">
    <nc r="K9" t="inlineStr">
      <is>
        <t>Whatsapp</t>
      </is>
    </nc>
  </rcc>
  <rfmt sheetId="14" sqref="B11">
    <dxf>
      <fill>
        <patternFill>
          <bgColor rgb="FFFF0000"/>
        </patternFill>
      </fill>
    </dxf>
  </rfmt>
  <rcc rId="3836" sId="14">
    <oc r="B8" t="inlineStr">
      <is>
        <t>618/847</t>
      </is>
    </oc>
    <nc r="B8" t="inlineStr">
      <is>
        <t>618/847/885</t>
      </is>
    </nc>
  </rcc>
  <rcc rId="3837" sId="14">
    <oc r="B13" t="inlineStr">
      <is>
        <t>649/868</t>
      </is>
    </oc>
    <nc r="B13"/>
  </rcc>
  <rcc rId="3838" sId="14">
    <oc r="C13" t="inlineStr">
      <is>
        <t>Xiaoyu Xing</t>
      </is>
    </oc>
    <nc r="C13"/>
  </rcc>
  <rcc rId="3839" sId="14" numFmtId="19">
    <oc r="D13">
      <v>46155</v>
    </oc>
    <nc r="D13"/>
  </rcc>
  <rcc rId="3840" sId="14">
    <oc r="E13">
      <v>3</v>
    </oc>
    <nc r="E13"/>
  </rcc>
  <rcc rId="3841" sId="14">
    <oc r="I13" t="inlineStr">
      <is>
        <t>Win/Faiha</t>
      </is>
    </oc>
    <nc r="I13"/>
  </rcc>
</revisions>
</file>

<file path=xl/revisions/revisionLog3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4" sqref="B8 B10">
    <dxf>
      <fill>
        <patternFill>
          <bgColor rgb="FFFF0000"/>
        </patternFill>
      </fill>
    </dxf>
  </rfmt>
</revisions>
</file>

<file path=xl/revisions/revisionLog3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4" sqref="J7">
    <dxf>
      <fill>
        <patternFill patternType="solid">
          <bgColor rgb="FFFF0000"/>
        </patternFill>
      </fill>
    </dxf>
  </rfmt>
  <rcc rId="3842" sId="14" odxf="1" dxf="1">
    <oc r="J7">
      <f>IF(OR(NOT(ISERROR(MATCH(RIGHT(B7,3)+0,#REF!,0))),NOT(ISERROR(MATCH(LEFT(B7,3)+0,#REF!,0)))),"No Post","")</f>
    </oc>
    <nc r="J7">
      <f>IF(OR(NOT(ISERROR(MATCH(RIGHT(B7,3)+0,#REF!,0))),NOT(ISERROR(MATCH(LEFT(B7,3)+0,#REF!,0)))),"No Post","")</f>
    </nc>
    <odxf>
      <fill>
        <patternFill>
          <bgColor rgb="FFFF0000"/>
        </patternFill>
      </fill>
    </odxf>
    <ndxf>
      <fill>
        <patternFill>
          <bgColor rgb="FF92D050"/>
        </patternFill>
      </fill>
    </ndxf>
  </rcc>
  <rfmt sheetId="14" sqref="J10:J12 J12">
    <dxf>
      <fill>
        <patternFill patternType="solid">
          <bgColor rgb="FFFF0000"/>
        </patternFill>
      </fill>
    </dxf>
  </rfmt>
</revisions>
</file>

<file path=xl/revisions/revisionLog3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4" sqref="B7:B12">
    <dxf>
      <fill>
        <patternFill patternType="none">
          <bgColor auto="1"/>
        </patternFill>
      </fill>
    </dxf>
  </rfmt>
</revisions>
</file>

<file path=xl/revisions/revisionLog3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3843" sheetId="14" source="B7:J7" destination="B13:J13" sourceSheetId="14">
    <undo index="0" exp="area" dr="E7:E26" r="E27" sId="14"/>
    <rfmt sheetId="14" sqref="B13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4" sqref="C13" start="0" length="0">
      <dxf>
        <font>
          <sz val="14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4" sqref="D13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4" sqref="E13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4" sqref="F13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4" sqref="G13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4" sqref="H13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4" sqref="I13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4" dxf="1">
      <nc r="J13">
        <f>IF(OR(NOT(ISERROR(MATCH(RIGHT(B13,3)+0,#REF!,0))),NOT(ISERROR(MATCH(LEFT(B13,3)+0,#REF!,0)))),"No Post","")</f>
      </nc>
      <ndxf>
        <font>
          <b/>
          <sz val="12"/>
          <color auto="1"/>
          <name val="Calibri"/>
          <scheme val="none"/>
        </font>
      </ndxf>
    </rcc>
  </rm>
  <rm rId="3844" sheetId="14" source="B9:K9" destination="B14:K14" sourceSheetId="14">
    <rfmt sheetId="14" sqref="B1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4" sqref="C1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4" sqref="D14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4" sqref="E1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4" sqref="F1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4" sqref="G1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4" sqref="H1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4" sqref="I1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4" dxf="1">
      <nc r="J14">
        <f>IF(OR(NOT(ISERROR(MATCH(RIGHT(B14,3)+0,#REF!,0))),NOT(ISERROR(MATCH(LEFT(B14,3)+0,#REF!,0)))),"No Post","")</f>
      </nc>
      <ndxf>
        <font>
          <b/>
          <sz val="12"/>
          <color auto="1"/>
          <name val="Calibri"/>
          <scheme val="none"/>
        </font>
      </ndxf>
    </rcc>
    <rfmt sheetId="14" sqref="K14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845" sheetId="14" source="B11:K11" destination="B9:K9" sourceSheetId="14">
    <rfmt sheetId="14" sqref="B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C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D9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4" sqref="E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F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G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H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I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J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K9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846" sheetId="14" source="B8:K8" destination="B11:K11" sourceSheetId="14"/>
  <rm rId="3847" sheetId="14" source="B10:K10" destination="B8:K8" sourceSheetId="14"/>
  <rm rId="3848" sheetId="14" source="B13:K13" destination="B10:K10" sourceSheetId="14"/>
  <rm rId="3849" sheetId="14" source="B14:K14" destination="B13:K13" sourceSheetId="14"/>
  <rm rId="3850" sheetId="14" source="B12:K12" destination="B7:K7" sourceSheetId="14">
    <rfmt sheetId="14" sqref="B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C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D7" start="0" length="0">
      <dxf>
        <font>
          <sz val="14"/>
          <color theme="1"/>
          <name val="Calibri"/>
          <scheme val="minor"/>
        </font>
        <numFmt numFmtId="19" formatCode="dd/mm/yyyy"/>
        <alignment horizontal="center" vertical="top" readingOrder="0"/>
      </dxf>
    </rfmt>
    <rfmt sheetId="14" sqref="E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F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G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H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I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J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  <rfmt sheetId="14" sqref="K7" start="0" length="0">
      <dxf>
        <font>
          <sz val="14"/>
          <color theme="1"/>
          <name val="Calibri"/>
          <scheme val="minor"/>
        </font>
        <alignment horizontal="center" vertical="top" readingOrder="0"/>
      </dxf>
    </rfmt>
  </rm>
  <rm rId="3851" sheetId="14" source="B9:K9" destination="B12:K12" sourceSheetId="14"/>
  <rm rId="3852" sheetId="14" source="B11:K11" destination="B9:K9" sourceSheetId="14"/>
  <rm rId="3853" sheetId="14" source="B8:K8" destination="B11:K11" sourceSheetId="14"/>
  <rm rId="3854" sheetId="14" source="B10:K10" destination="B8:K8" sourceSheetId="14"/>
  <rm rId="3855" sheetId="14" source="B13:K13" destination="B10:K10" sourceSheetId="14">
    <undo index="0" exp="area" dr="E8:E26" r="E27" sId="14"/>
  </rm>
  <rfmt sheetId="14" sqref="B13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C13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D13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E13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F13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G13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H13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I13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B14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C14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D14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E14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F14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G14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H14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I14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4" sqref="B15" start="0" length="0">
    <dxf>
      <alignment vertical="center" readingOrder="0"/>
    </dxf>
  </rfmt>
  <rfmt sheetId="14" sqref="C15" start="0" length="0">
    <dxf>
      <alignment horizontal="left" vertical="center" readingOrder="0"/>
    </dxf>
  </rfmt>
  <rfmt sheetId="14" sqref="D15" start="0" length="0">
    <dxf>
      <alignment vertical="center" readingOrder="0"/>
    </dxf>
  </rfmt>
  <rfmt sheetId="14" sqref="E15" start="0" length="0">
    <dxf>
      <alignment vertical="center" readingOrder="0"/>
    </dxf>
  </rfmt>
  <rfmt sheetId="14" sqref="F15" start="0" length="0">
    <dxf>
      <alignment vertical="center" readingOrder="0"/>
    </dxf>
  </rfmt>
  <rfmt sheetId="14" sqref="G15" start="0" length="0">
    <dxf>
      <alignment vertical="center" readingOrder="0"/>
    </dxf>
  </rfmt>
  <rfmt sheetId="14" sqref="H15" start="0" length="0">
    <dxf>
      <alignment horizontal="left" vertical="center" readingOrder="0"/>
    </dxf>
  </rfmt>
  <rfmt sheetId="14" sqref="I15" start="0" length="0">
    <dxf>
      <alignment horizontal="left" vertical="center" readingOrder="0"/>
    </dxf>
  </rfmt>
  <rfmt sheetId="14" sqref="B16" start="0" length="0">
    <dxf>
      <alignment vertical="center" readingOrder="0"/>
    </dxf>
  </rfmt>
  <rfmt sheetId="14" sqref="C16" start="0" length="0">
    <dxf>
      <alignment horizontal="left" vertical="center" readingOrder="0"/>
    </dxf>
  </rfmt>
  <rfmt sheetId="14" sqref="D16" start="0" length="0">
    <dxf>
      <alignment vertical="center" readingOrder="0"/>
    </dxf>
  </rfmt>
  <rfmt sheetId="14" sqref="E16" start="0" length="0">
    <dxf>
      <alignment vertical="center" readingOrder="0"/>
    </dxf>
  </rfmt>
  <rfmt sheetId="14" sqref="F16" start="0" length="0">
    <dxf>
      <alignment vertical="center" readingOrder="0"/>
    </dxf>
  </rfmt>
  <rfmt sheetId="14" sqref="G16" start="0" length="0">
    <dxf>
      <alignment vertical="center" readingOrder="0"/>
    </dxf>
  </rfmt>
  <rfmt sheetId="14" sqref="H16" start="0" length="0">
    <dxf>
      <alignment horizontal="left" vertical="center" readingOrder="0"/>
    </dxf>
  </rfmt>
  <rfmt sheetId="14" sqref="I16" start="0" length="0">
    <dxf>
      <alignment horizontal="left" vertical="center" readingOrder="0"/>
    </dxf>
  </rfmt>
  <rcv guid="{6222734F-EF03-4A42-A0AF-7421F8747AA6}" action="delete"/>
  <rdn rId="0" localSheetId="1" customView="1" name="Z_6222734F_EF03_4A42_A0AF_7421F8747AA6_.wvu.PrintArea" hidden="1" oldHidden="1">
    <formula>'1'!$A$1:$L$48</formula>
    <oldFormula>'1'!$A$1:$L$48</oldFormula>
  </rdn>
  <rdn rId="0" localSheetId="2" customView="1" name="Z_6222734F_EF03_4A42_A0AF_7421F8747AA6_.wvu.PrintArea" hidden="1" oldHidden="1">
    <formula>'2'!$A$1:$L$29</formula>
    <oldFormula>'2'!$A$1:$L$29</oldFormula>
  </rdn>
  <rdn rId="0" localSheetId="3" customView="1" name="Z_6222734F_EF03_4A42_A0AF_7421F8747AA6_.wvu.PrintArea" hidden="1" oldHidden="1">
    <formula>'3'!$A$1:$J$27</formula>
    <oldFormula>'3'!$A$1:$J$27</oldFormula>
  </rdn>
  <rdn rId="0" localSheetId="4" customView="1" name="Z_6222734F_EF03_4A42_A0AF_7421F8747AA6_.wvu.PrintArea" hidden="1" oldHidden="1">
    <formula>'4'!$A$1:$L$26</formula>
    <oldFormula>'4'!$A$1:$L$26</oldFormula>
  </rdn>
  <rdn rId="0" localSheetId="5" customView="1" name="Z_6222734F_EF03_4A42_A0AF_7421F8747AA6_.wvu.PrintArea" hidden="1" oldHidden="1">
    <formula>'5'!$A$1:$L$34</formula>
    <oldFormula>'5'!$A$1:$L$34</oldFormula>
  </rdn>
  <rdn rId="0" localSheetId="6" customView="1" name="Z_6222734F_EF03_4A42_A0AF_7421F8747AA6_.wvu.PrintArea" hidden="1" oldHidden="1">
    <formula>'6'!$A$1:$L$49</formula>
    <oldFormula>'6'!$A$1:$L$49</oldFormula>
  </rdn>
  <rdn rId="0" localSheetId="6" customView="1" name="Z_6222734F_EF03_4A42_A0AF_7421F8747AA6_.wvu.FilterData" hidden="1" oldHidden="1">
    <formula>'6'!$D$6:$K$36</formula>
    <oldFormula>'6'!$D$6:$K$36</oldFormula>
  </rdn>
  <rdn rId="0" localSheetId="7" customView="1" name="Z_6222734F_EF03_4A42_A0AF_7421F8747AA6_.wvu.PrintArea" hidden="1" oldHidden="1">
    <formula>'7'!$A$1:$L$37</formula>
    <oldFormula>'7'!$A$1:$L$37</oldFormula>
  </rdn>
  <rdn rId="0" localSheetId="8" customView="1" name="Z_6222734F_EF03_4A42_A0AF_7421F8747AA6_.wvu.PrintArea" hidden="1" oldHidden="1">
    <formula>'8'!$A$1:$J$33</formula>
    <oldFormula>'8'!$A$1:$J$33</oldFormula>
  </rdn>
  <rdn rId="0" localSheetId="9" customView="1" name="Z_6222734F_EF03_4A42_A0AF_7421F8747AA6_.wvu.PrintArea" hidden="1" oldHidden="1">
    <formula>'9'!$A$1:$J$39</formula>
    <oldFormula>'9'!$A$1:$J$39</oldFormula>
  </rdn>
  <rdn rId="0" localSheetId="10" customView="1" name="Z_6222734F_EF03_4A42_A0AF_7421F8747AA6_.wvu.PrintArea" hidden="1" oldHidden="1">
    <formula>'10'!$A$1:$J$37</formula>
    <oldFormula>'10'!$A$1:$J$37</oldFormula>
  </rdn>
  <rdn rId="0" localSheetId="11" customView="1" name="Z_6222734F_EF03_4A42_A0AF_7421F8747AA6_.wvu.PrintArea" hidden="1" oldHidden="1">
    <formula>'11'!$A$1:$J$40</formula>
    <oldFormula>'11'!$A$1:$J$40</oldFormula>
  </rdn>
  <rdn rId="0" localSheetId="12" customView="1" name="Z_6222734F_EF03_4A42_A0AF_7421F8747AA6_.wvu.PrintArea" hidden="1" oldHidden="1">
    <formula>'12'!$A$1:$J$38</formula>
    <oldFormula>'12'!$A$1:$J$38</oldFormula>
  </rdn>
  <rdn rId="0" localSheetId="13" customView="1" name="Z_6222734F_EF03_4A42_A0AF_7421F8747AA6_.wvu.PrintArea" hidden="1" oldHidden="1">
    <formula>'13'!$A$1:$J$38</formula>
    <oldFormula>'13'!$A$1:$J$38</oldFormula>
  </rdn>
  <rdn rId="0" localSheetId="14" customView="1" name="Z_6222734F_EF03_4A42_A0AF_7421F8747AA6_.wvu.PrintArea" hidden="1" oldHidden="1">
    <formula>'14'!$A$1:$J$38</formula>
    <oldFormula>'14'!$A$1:$J$38</oldFormula>
  </rdn>
  <rdn rId="0" localSheetId="15" customView="1" name="Z_6222734F_EF03_4A42_A0AF_7421F8747AA6_.wvu.PrintArea" hidden="1" oldHidden="1">
    <formula>'15'!$A$1:$J$38</formula>
    <oldFormula>'15'!$A$1:$J$38</oldFormula>
  </rdn>
  <rdn rId="0" localSheetId="16" customView="1" name="Z_6222734F_EF03_4A42_A0AF_7421F8747AA6_.wvu.PrintArea" hidden="1" oldHidden="1">
    <formula>'16'!$A$1:$J$38</formula>
    <oldFormula>'16'!$A$1:$J$38</oldFormula>
  </rdn>
  <rdn rId="0" localSheetId="17" customView="1" name="Z_6222734F_EF03_4A42_A0AF_7421F8747AA6_.wvu.PrintArea" hidden="1" oldHidden="1">
    <formula>'17'!$A$1:$J$38</formula>
    <oldFormula>'17'!$A$1:$J$38</oldFormula>
  </rdn>
  <rdn rId="0" localSheetId="18" customView="1" name="Z_6222734F_EF03_4A42_A0AF_7421F8747AA6_.wvu.PrintArea" hidden="1" oldHidden="1">
    <formula>'18'!$A$1:$J$38</formula>
    <oldFormula>'18'!$A$1:$J$38</oldFormula>
  </rdn>
  <rdn rId="0" localSheetId="19" customView="1" name="Z_6222734F_EF03_4A42_A0AF_7421F8747AA6_.wvu.PrintArea" hidden="1" oldHidden="1">
    <formula>'19'!$A$1:$J$38</formula>
    <oldFormula>'19'!$A$1:$J$38</oldFormula>
  </rdn>
  <rdn rId="0" localSheetId="20" customView="1" name="Z_6222734F_EF03_4A42_A0AF_7421F8747AA6_.wvu.PrintArea" hidden="1" oldHidden="1">
    <formula>'20'!$A$1:$J$38</formula>
    <oldFormula>'20'!$A$1:$J$38</oldFormula>
  </rdn>
  <rdn rId="0" localSheetId="21" customView="1" name="Z_6222734F_EF03_4A42_A0AF_7421F8747AA6_.wvu.PrintArea" hidden="1" oldHidden="1">
    <formula>'21'!$A$1:$J$38</formula>
    <oldFormula>'21'!$A$1:$J$38</oldFormula>
  </rdn>
  <rdn rId="0" localSheetId="22" customView="1" name="Z_6222734F_EF03_4A42_A0AF_7421F8747AA6_.wvu.PrintArea" hidden="1" oldHidden="1">
    <formula>'22'!$A$1:$J$38</formula>
    <oldFormula>'22'!$A$1:$J$38</oldFormula>
  </rdn>
  <rdn rId="0" localSheetId="23" customView="1" name="Z_6222734F_EF03_4A42_A0AF_7421F8747AA6_.wvu.PrintArea" hidden="1" oldHidden="1">
    <formula>'23'!$A$1:$J$38</formula>
    <oldFormula>'23'!$A$1:$J$38</oldFormula>
  </rdn>
  <rdn rId="0" localSheetId="24" customView="1" name="Z_6222734F_EF03_4A42_A0AF_7421F8747AA6_.wvu.PrintArea" hidden="1" oldHidden="1">
    <formula>'24'!$A$1:$J$38</formula>
    <oldFormula>'24'!$A$1:$J$38</oldFormula>
  </rdn>
  <rdn rId="0" localSheetId="25" customView="1" name="Z_6222734F_EF03_4A42_A0AF_7421F8747AA6_.wvu.PrintArea" hidden="1" oldHidden="1">
    <formula>'25'!$A$1:$J$38</formula>
    <oldFormula>'25'!$A$1:$J$38</oldFormula>
  </rdn>
  <rdn rId="0" localSheetId="26" customView="1" name="Z_6222734F_EF03_4A42_A0AF_7421F8747AA6_.wvu.PrintArea" hidden="1" oldHidden="1">
    <formula>'26'!$A$1:$J$38</formula>
    <oldFormula>'26'!$A$1:$J$38</oldFormula>
  </rdn>
  <rdn rId="0" localSheetId="27" customView="1" name="Z_6222734F_EF03_4A42_A0AF_7421F8747AA6_.wvu.PrintArea" hidden="1" oldHidden="1">
    <formula>'27'!$A$1:$J$38</formula>
    <oldFormula>'27'!$A$1:$J$38</oldFormula>
  </rdn>
  <rdn rId="0" localSheetId="28" customView="1" name="Z_6222734F_EF03_4A42_A0AF_7421F8747AA6_.wvu.PrintArea" hidden="1" oldHidden="1">
    <formula>'28'!$A$1:$J$38</formula>
    <oldFormula>'28'!$A$1:$J$38</oldFormula>
  </rdn>
  <rdn rId="0" localSheetId="29" customView="1" name="Z_6222734F_EF03_4A42_A0AF_7421F8747AA6_.wvu.PrintArea" hidden="1" oldHidden="1">
    <formula>'29'!$A$1:$J$38</formula>
    <oldFormula>'29'!$A$1:$J$38</oldFormula>
  </rdn>
  <rdn rId="0" localSheetId="30" customView="1" name="Z_6222734F_EF03_4A42_A0AF_7421F8747AA6_.wvu.PrintArea" hidden="1" oldHidden="1">
    <formula>'30'!$A$1:$J$38</formula>
    <oldFormula>'30'!$A$1:$J$38</oldFormula>
  </rdn>
  <rdn rId="0" localSheetId="31" customView="1" name="Z_6222734F_EF03_4A42_A0AF_7421F8747AA6_.wvu.PrintArea" hidden="1" oldHidden="1">
    <formula>'31'!$A$1:$J$38</formula>
    <oldFormula>'31'!$A$1:$J$38</oldFormula>
  </rdn>
  <rcv guid="{6222734F-EF03-4A42-A0AF-7421F8747AA6}" action="add"/>
</revisions>
</file>

<file path=xl/revisions/revisionLog3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88" sId="14">
    <oc r="E9">
      <v>2</v>
    </oc>
    <nc r="E9" t="inlineStr">
      <is>
        <t>CXL2</t>
      </is>
    </nc>
  </rcc>
</revisions>
</file>

<file path=xl/revisions/revisionLog3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89" sId="14">
    <oc r="E11">
      <v>3</v>
    </oc>
    <nc r="E11" t="inlineStr">
      <is>
        <t>CXL3</t>
      </is>
    </nc>
  </rcc>
</revisions>
</file>

<file path=xl/revisions/revisionLog3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4" sqref="J9 J11" start="0" length="2147483647">
    <dxf>
      <font>
        <color rgb="FFFF0000"/>
      </font>
    </dxf>
  </rfmt>
  <rfmt sheetId="14" sqref="J9 J11">
    <dxf>
      <fill>
        <patternFill>
          <bgColor rgb="FF92D050"/>
        </patternFill>
      </fill>
    </dxf>
  </rfmt>
</revisions>
</file>

<file path=xl/revisions/revisionLog3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90" sId="16">
    <oc r="B8" t="inlineStr">
      <is>
        <t>Prebooking</t>
      </is>
    </oc>
    <nc r="B8">
      <v>667</v>
    </nc>
  </rcc>
  <rcc rId="3891" sId="15" odxf="1" dxf="1">
    <nc r="B7">
      <v>667</v>
    </nc>
    <odxf>
      <border outline="0">
        <top style="thin">
          <color indexed="64"/>
        </top>
      </border>
    </odxf>
    <ndxf>
      <border outline="0">
        <top/>
      </border>
    </ndxf>
  </rcc>
  <rcc rId="3892" sId="15">
    <nc r="C7" t="inlineStr">
      <is>
        <t>MR.WANG/TENGBIAO</t>
      </is>
    </nc>
  </rcc>
  <rcc rId="3893" sId="15" numFmtId="19">
    <nc r="D7">
      <v>46160</v>
    </nc>
  </rcc>
  <rcc rId="3894" sId="15">
    <nc r="E7">
      <v>2</v>
    </nc>
  </rcc>
  <rcc rId="3895" sId="15">
    <nc r="H7" t="inlineStr">
      <is>
        <t>3364427, 3364429</t>
      </is>
    </nc>
  </rcc>
  <rcc rId="3896" sId="15">
    <nc r="I7" t="inlineStr">
      <is>
        <t>Ussayu/Faiha</t>
      </is>
    </nc>
  </rcc>
  <rcc rId="3897" sId="16">
    <oc r="E8">
      <v>2</v>
    </oc>
    <nc r="E8" t="inlineStr">
      <is>
        <t>PP 2</t>
      </is>
    </nc>
  </rcc>
  <rcv guid="{B3797D0B-1E44-402B-AD05-6509081B1712}" action="delete"/>
  <rdn rId="0" localSheetId="1" customView="1" name="Z_B3797D0B_1E44_402B_AD05_6509081B1712_.wvu.PrintArea" hidden="1" oldHidden="1">
    <formula>'1'!$A$1:$L$48</formula>
    <oldFormula>'1'!$A$1:$L$48</oldFormula>
  </rdn>
  <rdn rId="0" localSheetId="2" customView="1" name="Z_B3797D0B_1E44_402B_AD05_6509081B1712_.wvu.PrintArea" hidden="1" oldHidden="1">
    <formula>'2'!$A$1:$L$29</formula>
    <oldFormula>'2'!$A$1:$L$29</oldFormula>
  </rdn>
  <rdn rId="0" localSheetId="3" customView="1" name="Z_B3797D0B_1E44_402B_AD05_6509081B1712_.wvu.PrintArea" hidden="1" oldHidden="1">
    <formula>'3'!$A$1:$J$27</formula>
    <oldFormula>'3'!$A$1:$J$27</oldFormula>
  </rdn>
  <rdn rId="0" localSheetId="4" customView="1" name="Z_B3797D0B_1E44_402B_AD05_6509081B1712_.wvu.PrintArea" hidden="1" oldHidden="1">
    <formula>'4'!$A$1:$L$26</formula>
    <oldFormula>'4'!$A$1:$L$26</oldFormula>
  </rdn>
  <rdn rId="0" localSheetId="5" customView="1" name="Z_B3797D0B_1E44_402B_AD05_6509081B1712_.wvu.PrintArea" hidden="1" oldHidden="1">
    <formula>'5'!$A$1:$L$34</formula>
    <oldFormula>'5'!$A$1:$L$34</oldFormula>
  </rdn>
  <rdn rId="0" localSheetId="6" customView="1" name="Z_B3797D0B_1E44_402B_AD05_6509081B1712_.wvu.PrintArea" hidden="1" oldHidden="1">
    <formula>'6'!$A$1:$L$49</formula>
    <oldFormula>'6'!$A$1:$L$49</oldFormula>
  </rdn>
  <rdn rId="0" localSheetId="6" customView="1" name="Z_B3797D0B_1E44_402B_AD05_6509081B1712_.wvu.FilterData" hidden="1" oldHidden="1">
    <formula>'6'!$D$6:$K$36</formula>
    <oldFormula>'6'!$D$6:$K$36</oldFormula>
  </rdn>
  <rdn rId="0" localSheetId="7" customView="1" name="Z_B3797D0B_1E44_402B_AD05_6509081B1712_.wvu.PrintArea" hidden="1" oldHidden="1">
    <formula>'7'!$A$1:$L$37</formula>
    <oldFormula>'7'!$A$1:$L$37</oldFormula>
  </rdn>
  <rdn rId="0" localSheetId="8" customView="1" name="Z_B3797D0B_1E44_402B_AD05_6509081B1712_.wvu.PrintArea" hidden="1" oldHidden="1">
    <formula>'8'!$A$1:$J$33</formula>
    <oldFormula>'8'!$A$1:$J$33</oldFormula>
  </rdn>
  <rdn rId="0" localSheetId="9" customView="1" name="Z_B3797D0B_1E44_402B_AD05_6509081B1712_.wvu.PrintArea" hidden="1" oldHidden="1">
    <formula>'9'!$A$1:$J$39</formula>
    <oldFormula>'9'!$A$1:$J$39</oldFormula>
  </rdn>
  <rdn rId="0" localSheetId="10" customView="1" name="Z_B3797D0B_1E44_402B_AD05_6509081B1712_.wvu.PrintArea" hidden="1" oldHidden="1">
    <formula>'10'!$A$1:$J$37</formula>
    <oldFormula>'10'!$A$1:$J$37</oldFormula>
  </rdn>
  <rdn rId="0" localSheetId="11" customView="1" name="Z_B3797D0B_1E44_402B_AD05_6509081B1712_.wvu.PrintArea" hidden="1" oldHidden="1">
    <formula>'11'!$A$1:$J$40</formula>
    <oldFormula>'11'!$A$1:$J$40</oldFormula>
  </rdn>
  <rdn rId="0" localSheetId="12" customView="1" name="Z_B3797D0B_1E44_402B_AD05_6509081B1712_.wvu.PrintArea" hidden="1" oldHidden="1">
    <formula>'12'!$A$1:$J$38</formula>
    <oldFormula>'12'!$A$1:$J$38</oldFormula>
  </rdn>
  <rdn rId="0" localSheetId="13" customView="1" name="Z_B3797D0B_1E44_402B_AD05_6509081B1712_.wvu.PrintArea" hidden="1" oldHidden="1">
    <formula>'13'!$A$1:$J$38</formula>
    <oldFormula>'13'!$A$1:$J$38</oldFormula>
  </rdn>
  <rdn rId="0" localSheetId="14" customView="1" name="Z_B3797D0B_1E44_402B_AD05_6509081B1712_.wvu.PrintArea" hidden="1" oldHidden="1">
    <formula>'14'!$A$1:$J$38</formula>
    <oldFormula>'14'!$A$1:$J$38</oldFormula>
  </rdn>
  <rdn rId="0" localSheetId="15" customView="1" name="Z_B3797D0B_1E44_402B_AD05_6509081B1712_.wvu.PrintArea" hidden="1" oldHidden="1">
    <formula>'15'!$A$1:$J$38</formula>
    <oldFormula>'15'!$A$1:$J$38</oldFormula>
  </rdn>
  <rdn rId="0" localSheetId="16" customView="1" name="Z_B3797D0B_1E44_402B_AD05_6509081B1712_.wvu.PrintArea" hidden="1" oldHidden="1">
    <formula>'16'!$A$1:$J$38</formula>
    <oldFormula>'16'!$A$1:$J$38</oldFormula>
  </rdn>
  <rdn rId="0" localSheetId="17" customView="1" name="Z_B3797D0B_1E44_402B_AD05_6509081B1712_.wvu.PrintArea" hidden="1" oldHidden="1">
    <formula>'17'!$A$1:$J$38</formula>
    <oldFormula>'17'!$A$1:$J$38</oldFormula>
  </rdn>
  <rdn rId="0" localSheetId="18" customView="1" name="Z_B3797D0B_1E44_402B_AD05_6509081B1712_.wvu.PrintArea" hidden="1" oldHidden="1">
    <formula>'18'!$A$1:$J$38</formula>
    <oldFormula>'18'!$A$1:$J$38</oldFormula>
  </rdn>
  <rdn rId="0" localSheetId="19" customView="1" name="Z_B3797D0B_1E44_402B_AD05_6509081B1712_.wvu.PrintArea" hidden="1" oldHidden="1">
    <formula>'19'!$A$1:$J$38</formula>
    <oldFormula>'19'!$A$1:$J$38</oldFormula>
  </rdn>
  <rdn rId="0" localSheetId="20" customView="1" name="Z_B3797D0B_1E44_402B_AD05_6509081B1712_.wvu.PrintArea" hidden="1" oldHidden="1">
    <formula>'20'!$A$1:$J$38</formula>
    <oldFormula>'20'!$A$1:$J$38</oldFormula>
  </rdn>
  <rdn rId="0" localSheetId="21" customView="1" name="Z_B3797D0B_1E44_402B_AD05_6509081B1712_.wvu.PrintArea" hidden="1" oldHidden="1">
    <formula>'21'!$A$1:$J$38</formula>
    <oldFormula>'21'!$A$1:$J$38</oldFormula>
  </rdn>
  <rdn rId="0" localSheetId="22" customView="1" name="Z_B3797D0B_1E44_402B_AD05_6509081B1712_.wvu.PrintArea" hidden="1" oldHidden="1">
    <formula>'22'!$A$1:$J$38</formula>
    <oldFormula>'22'!$A$1:$J$38</oldFormula>
  </rdn>
  <rdn rId="0" localSheetId="23" customView="1" name="Z_B3797D0B_1E44_402B_AD05_6509081B1712_.wvu.PrintArea" hidden="1" oldHidden="1">
    <formula>'23'!$A$1:$J$38</formula>
    <oldFormula>'23'!$A$1:$J$38</oldFormula>
  </rdn>
  <rdn rId="0" localSheetId="24" customView="1" name="Z_B3797D0B_1E44_402B_AD05_6509081B1712_.wvu.PrintArea" hidden="1" oldHidden="1">
    <formula>'24'!$A$1:$J$38</formula>
    <oldFormula>'24'!$A$1:$J$38</oldFormula>
  </rdn>
  <rdn rId="0" localSheetId="25" customView="1" name="Z_B3797D0B_1E44_402B_AD05_6509081B1712_.wvu.PrintArea" hidden="1" oldHidden="1">
    <formula>'25'!$A$1:$J$38</formula>
    <oldFormula>'25'!$A$1:$J$38</oldFormula>
  </rdn>
  <rdn rId="0" localSheetId="26" customView="1" name="Z_B3797D0B_1E44_402B_AD05_6509081B1712_.wvu.PrintArea" hidden="1" oldHidden="1">
    <formula>'26'!$A$1:$J$38</formula>
    <oldFormula>'26'!$A$1:$J$38</oldFormula>
  </rdn>
  <rdn rId="0" localSheetId="27" customView="1" name="Z_B3797D0B_1E44_402B_AD05_6509081B1712_.wvu.PrintArea" hidden="1" oldHidden="1">
    <formula>'27'!$A$1:$J$38</formula>
    <oldFormula>'27'!$A$1:$J$38</oldFormula>
  </rdn>
  <rdn rId="0" localSheetId="28" customView="1" name="Z_B3797D0B_1E44_402B_AD05_6509081B1712_.wvu.PrintArea" hidden="1" oldHidden="1">
    <formula>'28'!$A$1:$J$38</formula>
    <oldFormula>'28'!$A$1:$J$38</oldFormula>
  </rdn>
  <rdn rId="0" localSheetId="29" customView="1" name="Z_B3797D0B_1E44_402B_AD05_6509081B1712_.wvu.PrintArea" hidden="1" oldHidden="1">
    <formula>'29'!$A$1:$J$38</formula>
    <oldFormula>'29'!$A$1:$J$38</oldFormula>
  </rdn>
  <rdn rId="0" localSheetId="30" customView="1" name="Z_B3797D0B_1E44_402B_AD05_6509081B1712_.wvu.PrintArea" hidden="1" oldHidden="1">
    <formula>'30'!$A$1:$J$38</formula>
    <oldFormula>'30'!$A$1:$J$38</oldFormula>
  </rdn>
  <rdn rId="0" localSheetId="31" customView="1" name="Z_B3797D0B_1E44_402B_AD05_6509081B1712_.wvu.PrintArea" hidden="1" oldHidden="1">
    <formula>'31'!$A$1:$J$38</formula>
    <oldFormula>'31'!$A$1:$J$38</oldFormula>
  </rdn>
  <rcv guid="{B3797D0B-1E44-402B-AD05-6509081B1712}" action="add"/>
</revisions>
</file>

<file path=xl/revisions/revisionLog3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9" sqref="C7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cc rId="3930" sId="29" xfDxf="1" dxf="1">
    <nc r="C7" t="inlineStr">
      <is>
        <t>ZHI YONGYANG  .Mr</t>
      </is>
    </nc>
    <ndxf>
      <font>
        <color rgb="FF4F3629"/>
        <name val="Arial"/>
        <scheme val="none"/>
      </font>
      <alignment vertical="center" readingOrder="0"/>
    </ndxf>
  </rcc>
  <rcc rId="3931" sId="29">
    <nc r="B7" t="inlineStr">
      <is>
        <t>Prebooking</t>
      </is>
    </nc>
  </rcc>
  <rcc rId="3932" sId="29" numFmtId="19">
    <nc r="D7">
      <v>46175</v>
    </nc>
  </rcc>
  <rcc rId="3933" sId="29">
    <nc r="E7">
      <v>2</v>
    </nc>
  </rcc>
  <rcc rId="3934" sId="29">
    <nc r="I7" t="inlineStr">
      <is>
        <t>Shamrath/Tarush</t>
      </is>
    </nc>
  </rcc>
  <rcv guid="{B3797D0B-1E44-402B-AD05-6509081B1712}" action="delete"/>
  <rdn rId="0" localSheetId="1" customView="1" name="Z_B3797D0B_1E44_402B_AD05_6509081B1712_.wvu.PrintArea" hidden="1" oldHidden="1">
    <formula>'1'!$A$1:$L$48</formula>
    <oldFormula>'1'!$A$1:$L$48</oldFormula>
  </rdn>
  <rdn rId="0" localSheetId="2" customView="1" name="Z_B3797D0B_1E44_402B_AD05_6509081B1712_.wvu.PrintArea" hidden="1" oldHidden="1">
    <formula>'2'!$A$1:$L$29</formula>
    <oldFormula>'2'!$A$1:$L$29</oldFormula>
  </rdn>
  <rdn rId="0" localSheetId="3" customView="1" name="Z_B3797D0B_1E44_402B_AD05_6509081B1712_.wvu.PrintArea" hidden="1" oldHidden="1">
    <formula>'3'!$A$1:$J$27</formula>
    <oldFormula>'3'!$A$1:$J$27</oldFormula>
  </rdn>
  <rdn rId="0" localSheetId="4" customView="1" name="Z_B3797D0B_1E44_402B_AD05_6509081B1712_.wvu.PrintArea" hidden="1" oldHidden="1">
    <formula>'4'!$A$1:$L$26</formula>
    <oldFormula>'4'!$A$1:$L$26</oldFormula>
  </rdn>
  <rdn rId="0" localSheetId="5" customView="1" name="Z_B3797D0B_1E44_402B_AD05_6509081B1712_.wvu.PrintArea" hidden="1" oldHidden="1">
    <formula>'5'!$A$1:$L$34</formula>
    <oldFormula>'5'!$A$1:$L$34</oldFormula>
  </rdn>
  <rdn rId="0" localSheetId="6" customView="1" name="Z_B3797D0B_1E44_402B_AD05_6509081B1712_.wvu.PrintArea" hidden="1" oldHidden="1">
    <formula>'6'!$A$1:$L$49</formula>
    <oldFormula>'6'!$A$1:$L$49</oldFormula>
  </rdn>
  <rdn rId="0" localSheetId="6" customView="1" name="Z_B3797D0B_1E44_402B_AD05_6509081B1712_.wvu.FilterData" hidden="1" oldHidden="1">
    <formula>'6'!$D$6:$K$36</formula>
    <oldFormula>'6'!$D$6:$K$36</oldFormula>
  </rdn>
  <rdn rId="0" localSheetId="7" customView="1" name="Z_B3797D0B_1E44_402B_AD05_6509081B1712_.wvu.PrintArea" hidden="1" oldHidden="1">
    <formula>'7'!$A$1:$L$37</formula>
    <oldFormula>'7'!$A$1:$L$37</oldFormula>
  </rdn>
  <rdn rId="0" localSheetId="8" customView="1" name="Z_B3797D0B_1E44_402B_AD05_6509081B1712_.wvu.PrintArea" hidden="1" oldHidden="1">
    <formula>'8'!$A$1:$J$33</formula>
    <oldFormula>'8'!$A$1:$J$33</oldFormula>
  </rdn>
  <rdn rId="0" localSheetId="9" customView="1" name="Z_B3797D0B_1E44_402B_AD05_6509081B1712_.wvu.PrintArea" hidden="1" oldHidden="1">
    <formula>'9'!$A$1:$J$39</formula>
    <oldFormula>'9'!$A$1:$J$39</oldFormula>
  </rdn>
  <rdn rId="0" localSheetId="10" customView="1" name="Z_B3797D0B_1E44_402B_AD05_6509081B1712_.wvu.PrintArea" hidden="1" oldHidden="1">
    <formula>'10'!$A$1:$J$37</formula>
    <oldFormula>'10'!$A$1:$J$37</oldFormula>
  </rdn>
  <rdn rId="0" localSheetId="11" customView="1" name="Z_B3797D0B_1E44_402B_AD05_6509081B1712_.wvu.PrintArea" hidden="1" oldHidden="1">
    <formula>'11'!$A$1:$J$40</formula>
    <oldFormula>'11'!$A$1:$J$40</oldFormula>
  </rdn>
  <rdn rId="0" localSheetId="12" customView="1" name="Z_B3797D0B_1E44_402B_AD05_6509081B1712_.wvu.PrintArea" hidden="1" oldHidden="1">
    <formula>'12'!$A$1:$J$38</formula>
    <oldFormula>'12'!$A$1:$J$38</oldFormula>
  </rdn>
  <rdn rId="0" localSheetId="13" customView="1" name="Z_B3797D0B_1E44_402B_AD05_6509081B1712_.wvu.PrintArea" hidden="1" oldHidden="1">
    <formula>'13'!$A$1:$J$38</formula>
    <oldFormula>'13'!$A$1:$J$38</oldFormula>
  </rdn>
  <rdn rId="0" localSheetId="14" customView="1" name="Z_B3797D0B_1E44_402B_AD05_6509081B1712_.wvu.PrintArea" hidden="1" oldHidden="1">
    <formula>'14'!$A$1:$J$38</formula>
    <oldFormula>'14'!$A$1:$J$38</oldFormula>
  </rdn>
  <rdn rId="0" localSheetId="15" customView="1" name="Z_B3797D0B_1E44_402B_AD05_6509081B1712_.wvu.PrintArea" hidden="1" oldHidden="1">
    <formula>'15'!$A$1:$J$38</formula>
    <oldFormula>'15'!$A$1:$J$38</oldFormula>
  </rdn>
  <rdn rId="0" localSheetId="16" customView="1" name="Z_B3797D0B_1E44_402B_AD05_6509081B1712_.wvu.PrintArea" hidden="1" oldHidden="1">
    <formula>'16'!$A$1:$J$38</formula>
    <oldFormula>'16'!$A$1:$J$38</oldFormula>
  </rdn>
  <rdn rId="0" localSheetId="17" customView="1" name="Z_B3797D0B_1E44_402B_AD05_6509081B1712_.wvu.PrintArea" hidden="1" oldHidden="1">
    <formula>'17'!$A$1:$J$38</formula>
    <oldFormula>'17'!$A$1:$J$38</oldFormula>
  </rdn>
  <rdn rId="0" localSheetId="18" customView="1" name="Z_B3797D0B_1E44_402B_AD05_6509081B1712_.wvu.PrintArea" hidden="1" oldHidden="1">
    <formula>'18'!$A$1:$J$38</formula>
    <oldFormula>'18'!$A$1:$J$38</oldFormula>
  </rdn>
  <rdn rId="0" localSheetId="19" customView="1" name="Z_B3797D0B_1E44_402B_AD05_6509081B1712_.wvu.PrintArea" hidden="1" oldHidden="1">
    <formula>'19'!$A$1:$J$38</formula>
    <oldFormula>'19'!$A$1:$J$38</oldFormula>
  </rdn>
  <rdn rId="0" localSheetId="20" customView="1" name="Z_B3797D0B_1E44_402B_AD05_6509081B1712_.wvu.PrintArea" hidden="1" oldHidden="1">
    <formula>'20'!$A$1:$J$38</formula>
    <oldFormula>'20'!$A$1:$J$38</oldFormula>
  </rdn>
  <rdn rId="0" localSheetId="21" customView="1" name="Z_B3797D0B_1E44_402B_AD05_6509081B1712_.wvu.PrintArea" hidden="1" oldHidden="1">
    <formula>'21'!$A$1:$J$38</formula>
    <oldFormula>'21'!$A$1:$J$38</oldFormula>
  </rdn>
  <rdn rId="0" localSheetId="22" customView="1" name="Z_B3797D0B_1E44_402B_AD05_6509081B1712_.wvu.PrintArea" hidden="1" oldHidden="1">
    <formula>'22'!$A$1:$J$38</formula>
    <oldFormula>'22'!$A$1:$J$38</oldFormula>
  </rdn>
  <rdn rId="0" localSheetId="23" customView="1" name="Z_B3797D0B_1E44_402B_AD05_6509081B1712_.wvu.PrintArea" hidden="1" oldHidden="1">
    <formula>'23'!$A$1:$J$38</formula>
    <oldFormula>'23'!$A$1:$J$38</oldFormula>
  </rdn>
  <rdn rId="0" localSheetId="24" customView="1" name="Z_B3797D0B_1E44_402B_AD05_6509081B1712_.wvu.PrintArea" hidden="1" oldHidden="1">
    <formula>'24'!$A$1:$J$38</formula>
    <oldFormula>'24'!$A$1:$J$38</oldFormula>
  </rdn>
  <rdn rId="0" localSheetId="25" customView="1" name="Z_B3797D0B_1E44_402B_AD05_6509081B1712_.wvu.PrintArea" hidden="1" oldHidden="1">
    <formula>'25'!$A$1:$J$38</formula>
    <oldFormula>'25'!$A$1:$J$38</oldFormula>
  </rdn>
  <rdn rId="0" localSheetId="26" customView="1" name="Z_B3797D0B_1E44_402B_AD05_6509081B1712_.wvu.PrintArea" hidden="1" oldHidden="1">
    <formula>'26'!$A$1:$J$38</formula>
    <oldFormula>'26'!$A$1:$J$38</oldFormula>
  </rdn>
  <rdn rId="0" localSheetId="27" customView="1" name="Z_B3797D0B_1E44_402B_AD05_6509081B1712_.wvu.PrintArea" hidden="1" oldHidden="1">
    <formula>'27'!$A$1:$J$38</formula>
    <oldFormula>'27'!$A$1:$J$38</oldFormula>
  </rdn>
  <rdn rId="0" localSheetId="28" customView="1" name="Z_B3797D0B_1E44_402B_AD05_6509081B1712_.wvu.PrintArea" hidden="1" oldHidden="1">
    <formula>'28'!$A$1:$J$38</formula>
    <oldFormula>'28'!$A$1:$J$38</oldFormula>
  </rdn>
  <rdn rId="0" localSheetId="29" customView="1" name="Z_B3797D0B_1E44_402B_AD05_6509081B1712_.wvu.PrintArea" hidden="1" oldHidden="1">
    <formula>'29'!$A$1:$J$38</formula>
    <oldFormula>'29'!$A$1:$J$38</oldFormula>
  </rdn>
  <rdn rId="0" localSheetId="30" customView="1" name="Z_B3797D0B_1E44_402B_AD05_6509081B1712_.wvu.PrintArea" hidden="1" oldHidden="1">
    <formula>'30'!$A$1:$J$38</formula>
    <oldFormula>'30'!$A$1:$J$38</oldFormula>
  </rdn>
  <rdn rId="0" localSheetId="31" customView="1" name="Z_B3797D0B_1E44_402B_AD05_6509081B1712_.wvu.PrintArea" hidden="1" oldHidden="1">
    <formula>'31'!$A$1:$J$38</formula>
    <oldFormula>'31'!$A$1:$J$38</oldFormula>
  </rdn>
  <rcv guid="{B3797D0B-1E44-402B-AD05-6509081B1712}" action="add"/>
</revisions>
</file>

<file path=xl/revisions/revisionLog3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67" sId="15">
    <nc r="B8">
      <v>681</v>
    </nc>
  </rcc>
  <rcc rId="3968" sId="15">
    <nc r="E8">
      <v>2</v>
    </nc>
  </rcc>
  <rcc rId="3969" sId="15">
    <nc r="I8" t="inlineStr">
      <is>
        <t>Xuan</t>
      </is>
    </nc>
  </rcc>
  <rcc rId="3970" sId="15">
    <nc r="C8" t="inlineStr">
      <is>
        <t>Hong, Hui</t>
      </is>
    </nc>
  </rcc>
  <rcc rId="3971" sId="15" numFmtId="19">
    <nc r="D8">
      <v>46159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7">
  <userInfo guid="{7B98C582-4FD6-4FBF-B09B-38BBA0D25C20}" name="Dive Centre Office" id="-387598614" dateTime="2026-05-01T16:27:10"/>
  <userInfo guid="{36F22DFD-9373-4AFC-810B-EDB3D460D02F}" name="Dive Centre Office" id="-387589592" dateTime="2026-05-03T08:42:58"/>
  <userInfo guid="{6D7B7882-E943-4CC5-8609-E9E4A253F77D}" name="Dive Centre Office" id="-387643459" dateTime="2026-05-03T13:43:10"/>
  <userInfo guid="{AC7121E4-6F09-4DEF-8E8B-6FEF24FEDE41}" name="Dive Centre Office" id="-387626356" dateTime="2026-05-05T15:53:32"/>
  <userInfo guid="{8679B18C-1883-48B4-A0E3-13D4F061B4C4}" name="Dive Centre Office" id="-387634200" dateTime="2026-05-12T08:36:57"/>
  <userInfo guid="{D1270F62-204A-44D1-9A3E-0CF4C9570FBC}" name="Dive Centre Office" id="-387618994" dateTime="2026-05-14T08:57:05"/>
  <userInfo guid="{818ECA89-FC1F-4D09-9F30-E1EA758935F2}" name="Assistant DiveCenter Manager" id="-356350834" dateTime="2026-05-15T09:07:30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microsoft.com/office/2006/relationships/wsSortMap" Target="wsSortMap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microsoft.com/office/2006/relationships/wsSortMap" Target="wsSortMap2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microsoft.com/office/2006/relationships/wsSortMap" Target="wsSortMap3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1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6" Type="http://schemas.microsoft.com/office/2006/relationships/wsSortMap" Target="wsSortMap4.xm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20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6" Type="http://schemas.microsoft.com/office/2006/relationships/wsSortMap" Target="wsSortMap5.xm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2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6" Type="http://schemas.microsoft.com/office/2006/relationships/wsSortMap" Target="wsSortMap6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28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.bin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Relationship Id="rId6" Type="http://schemas.microsoft.com/office/2006/relationships/wsSortMap" Target="wsSortMap7.xml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3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.bin"/><Relationship Id="rId2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33.bin"/><Relationship Id="rId6" Type="http://schemas.microsoft.com/office/2006/relationships/wsSortMap" Target="wsSortMap8.xml"/><Relationship Id="rId5" Type="http://schemas.openxmlformats.org/officeDocument/2006/relationships/drawing" Target="../drawings/drawing9.xml"/><Relationship Id="rId4" Type="http://schemas.openxmlformats.org/officeDocument/2006/relationships/printerSettings" Target="../printerSettings/printerSettings3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5" Type="http://schemas.openxmlformats.org/officeDocument/2006/relationships/drawing" Target="../drawings/drawing10.xml"/><Relationship Id="rId4" Type="http://schemas.openxmlformats.org/officeDocument/2006/relationships/printerSettings" Target="../printerSettings/printerSettings4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Relationship Id="rId5" Type="http://schemas.openxmlformats.org/officeDocument/2006/relationships/drawing" Target="../drawings/drawing11.xml"/><Relationship Id="rId4" Type="http://schemas.openxmlformats.org/officeDocument/2006/relationships/printerSettings" Target="../printerSettings/printerSettings4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.bin"/><Relationship Id="rId2" Type="http://schemas.openxmlformats.org/officeDocument/2006/relationships/printerSettings" Target="../printerSettings/printerSettings46.bin"/><Relationship Id="rId1" Type="http://schemas.openxmlformats.org/officeDocument/2006/relationships/printerSettings" Target="../printerSettings/printerSettings45.bin"/><Relationship Id="rId5" Type="http://schemas.openxmlformats.org/officeDocument/2006/relationships/drawing" Target="../drawings/drawing12.xml"/><Relationship Id="rId4" Type="http://schemas.openxmlformats.org/officeDocument/2006/relationships/printerSettings" Target="../printerSettings/printerSettings4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5" Type="http://schemas.openxmlformats.org/officeDocument/2006/relationships/drawing" Target="../drawings/drawing13.xml"/><Relationship Id="rId4" Type="http://schemas.openxmlformats.org/officeDocument/2006/relationships/printerSettings" Target="../printerSettings/printerSettings5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.bin"/><Relationship Id="rId2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53.bin"/><Relationship Id="rId6" Type="http://schemas.microsoft.com/office/2006/relationships/wsSortMap" Target="wsSortMap9.xml"/><Relationship Id="rId5" Type="http://schemas.openxmlformats.org/officeDocument/2006/relationships/drawing" Target="../drawings/drawing14.xml"/><Relationship Id="rId4" Type="http://schemas.openxmlformats.org/officeDocument/2006/relationships/printerSettings" Target="../printerSettings/printerSettings5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.bin"/><Relationship Id="rId2" Type="http://schemas.openxmlformats.org/officeDocument/2006/relationships/printerSettings" Target="../printerSettings/printerSettings58.bin"/><Relationship Id="rId1" Type="http://schemas.openxmlformats.org/officeDocument/2006/relationships/printerSettings" Target="../printerSettings/printerSettings57.bin"/><Relationship Id="rId5" Type="http://schemas.openxmlformats.org/officeDocument/2006/relationships/drawing" Target="../drawings/drawing15.xml"/><Relationship Id="rId4" Type="http://schemas.openxmlformats.org/officeDocument/2006/relationships/printerSettings" Target="../printerSettings/printerSettings6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Relationship Id="rId5" Type="http://schemas.openxmlformats.org/officeDocument/2006/relationships/drawing" Target="../drawings/drawing16.xml"/><Relationship Id="rId4" Type="http://schemas.openxmlformats.org/officeDocument/2006/relationships/printerSettings" Target="../printerSettings/printerSettings6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.bin"/><Relationship Id="rId2" Type="http://schemas.openxmlformats.org/officeDocument/2006/relationships/printerSettings" Target="../printerSettings/printerSettings66.bin"/><Relationship Id="rId1" Type="http://schemas.openxmlformats.org/officeDocument/2006/relationships/printerSettings" Target="../printerSettings/printerSettings65.bin"/><Relationship Id="rId5" Type="http://schemas.openxmlformats.org/officeDocument/2006/relationships/drawing" Target="../drawings/drawing17.xml"/><Relationship Id="rId4" Type="http://schemas.openxmlformats.org/officeDocument/2006/relationships/printerSettings" Target="../printerSettings/printerSettings6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.bin"/><Relationship Id="rId2" Type="http://schemas.openxmlformats.org/officeDocument/2006/relationships/printerSettings" Target="../printerSettings/printerSettings70.bin"/><Relationship Id="rId1" Type="http://schemas.openxmlformats.org/officeDocument/2006/relationships/printerSettings" Target="../printerSettings/printerSettings69.bin"/><Relationship Id="rId5" Type="http://schemas.openxmlformats.org/officeDocument/2006/relationships/drawing" Target="../drawings/drawing18.xml"/><Relationship Id="rId4" Type="http://schemas.openxmlformats.org/officeDocument/2006/relationships/printerSettings" Target="../printerSettings/printerSettings7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.bin"/><Relationship Id="rId2" Type="http://schemas.openxmlformats.org/officeDocument/2006/relationships/printerSettings" Target="../printerSettings/printerSettings74.bin"/><Relationship Id="rId1" Type="http://schemas.openxmlformats.org/officeDocument/2006/relationships/printerSettings" Target="../printerSettings/printerSettings73.bin"/><Relationship Id="rId5" Type="http://schemas.openxmlformats.org/officeDocument/2006/relationships/drawing" Target="../drawings/drawing19.xml"/><Relationship Id="rId4" Type="http://schemas.openxmlformats.org/officeDocument/2006/relationships/printerSettings" Target="../printerSettings/printerSettings7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9.bin"/><Relationship Id="rId2" Type="http://schemas.openxmlformats.org/officeDocument/2006/relationships/printerSettings" Target="../printerSettings/printerSettings78.bin"/><Relationship Id="rId1" Type="http://schemas.openxmlformats.org/officeDocument/2006/relationships/printerSettings" Target="../printerSettings/printerSettings77.bin"/><Relationship Id="rId5" Type="http://schemas.openxmlformats.org/officeDocument/2006/relationships/drawing" Target="../drawings/drawing20.xml"/><Relationship Id="rId4" Type="http://schemas.openxmlformats.org/officeDocument/2006/relationships/printerSettings" Target="../printerSettings/printerSettings8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3.bin"/><Relationship Id="rId2" Type="http://schemas.openxmlformats.org/officeDocument/2006/relationships/printerSettings" Target="../printerSettings/printerSettings82.bin"/><Relationship Id="rId1" Type="http://schemas.openxmlformats.org/officeDocument/2006/relationships/printerSettings" Target="../printerSettings/printerSettings81.bin"/><Relationship Id="rId5" Type="http://schemas.openxmlformats.org/officeDocument/2006/relationships/drawing" Target="../drawings/drawing21.xml"/><Relationship Id="rId4" Type="http://schemas.openxmlformats.org/officeDocument/2006/relationships/printerSettings" Target="../printerSettings/printerSettings84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7.bin"/><Relationship Id="rId2" Type="http://schemas.openxmlformats.org/officeDocument/2006/relationships/printerSettings" Target="../printerSettings/printerSettings86.bin"/><Relationship Id="rId1" Type="http://schemas.openxmlformats.org/officeDocument/2006/relationships/printerSettings" Target="../printerSettings/printerSettings85.bin"/><Relationship Id="rId5" Type="http://schemas.openxmlformats.org/officeDocument/2006/relationships/drawing" Target="../drawings/drawing22.xml"/><Relationship Id="rId4" Type="http://schemas.openxmlformats.org/officeDocument/2006/relationships/printerSettings" Target="../printerSettings/printerSettings8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1.bin"/><Relationship Id="rId2" Type="http://schemas.openxmlformats.org/officeDocument/2006/relationships/printerSettings" Target="../printerSettings/printerSettings90.bin"/><Relationship Id="rId1" Type="http://schemas.openxmlformats.org/officeDocument/2006/relationships/printerSettings" Target="../printerSettings/printerSettings89.bin"/><Relationship Id="rId5" Type="http://schemas.openxmlformats.org/officeDocument/2006/relationships/drawing" Target="../drawings/drawing23.xml"/><Relationship Id="rId4" Type="http://schemas.openxmlformats.org/officeDocument/2006/relationships/printerSettings" Target="../printerSettings/printerSettings9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5.bin"/><Relationship Id="rId2" Type="http://schemas.openxmlformats.org/officeDocument/2006/relationships/printerSettings" Target="../printerSettings/printerSettings94.bin"/><Relationship Id="rId1" Type="http://schemas.openxmlformats.org/officeDocument/2006/relationships/printerSettings" Target="../printerSettings/printerSettings93.bin"/><Relationship Id="rId5" Type="http://schemas.openxmlformats.org/officeDocument/2006/relationships/drawing" Target="../drawings/drawing24.xml"/><Relationship Id="rId4" Type="http://schemas.openxmlformats.org/officeDocument/2006/relationships/printerSettings" Target="../printerSettings/printerSettings96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9.bin"/><Relationship Id="rId2" Type="http://schemas.openxmlformats.org/officeDocument/2006/relationships/printerSettings" Target="../printerSettings/printerSettings98.bin"/><Relationship Id="rId1" Type="http://schemas.openxmlformats.org/officeDocument/2006/relationships/printerSettings" Target="../printerSettings/printerSettings97.bin"/><Relationship Id="rId5" Type="http://schemas.openxmlformats.org/officeDocument/2006/relationships/drawing" Target="../drawings/drawing25.xml"/><Relationship Id="rId4" Type="http://schemas.openxmlformats.org/officeDocument/2006/relationships/printerSettings" Target="../printerSettings/printerSettings100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3.bin"/><Relationship Id="rId2" Type="http://schemas.openxmlformats.org/officeDocument/2006/relationships/printerSettings" Target="../printerSettings/printerSettings102.bin"/><Relationship Id="rId1" Type="http://schemas.openxmlformats.org/officeDocument/2006/relationships/printerSettings" Target="../printerSettings/printerSettings101.bin"/><Relationship Id="rId5" Type="http://schemas.openxmlformats.org/officeDocument/2006/relationships/drawing" Target="../drawings/drawing26.xml"/><Relationship Id="rId4" Type="http://schemas.openxmlformats.org/officeDocument/2006/relationships/printerSettings" Target="../printerSettings/printerSettings10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7.bin"/><Relationship Id="rId2" Type="http://schemas.openxmlformats.org/officeDocument/2006/relationships/printerSettings" Target="../printerSettings/printerSettings106.bin"/><Relationship Id="rId1" Type="http://schemas.openxmlformats.org/officeDocument/2006/relationships/printerSettings" Target="../printerSettings/printerSettings105.bin"/><Relationship Id="rId5" Type="http://schemas.openxmlformats.org/officeDocument/2006/relationships/drawing" Target="../drawings/drawing27.xml"/><Relationship Id="rId4" Type="http://schemas.openxmlformats.org/officeDocument/2006/relationships/printerSettings" Target="../printerSettings/printerSettings108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1.bin"/><Relationship Id="rId2" Type="http://schemas.openxmlformats.org/officeDocument/2006/relationships/printerSettings" Target="../printerSettings/printerSettings110.bin"/><Relationship Id="rId1" Type="http://schemas.openxmlformats.org/officeDocument/2006/relationships/printerSettings" Target="../printerSettings/printerSettings109.bin"/><Relationship Id="rId5" Type="http://schemas.openxmlformats.org/officeDocument/2006/relationships/drawing" Target="../drawings/drawing28.xml"/><Relationship Id="rId4" Type="http://schemas.openxmlformats.org/officeDocument/2006/relationships/printerSettings" Target="../printerSettings/printerSettings112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5.bin"/><Relationship Id="rId2" Type="http://schemas.openxmlformats.org/officeDocument/2006/relationships/printerSettings" Target="../printerSettings/printerSettings114.bin"/><Relationship Id="rId1" Type="http://schemas.openxmlformats.org/officeDocument/2006/relationships/printerSettings" Target="../printerSettings/printerSettings113.bin"/><Relationship Id="rId5" Type="http://schemas.openxmlformats.org/officeDocument/2006/relationships/drawing" Target="../drawings/drawing29.xml"/><Relationship Id="rId4" Type="http://schemas.openxmlformats.org/officeDocument/2006/relationships/printerSettings" Target="../printerSettings/printerSettings11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9.bin"/><Relationship Id="rId2" Type="http://schemas.openxmlformats.org/officeDocument/2006/relationships/printerSettings" Target="../printerSettings/printerSettings118.bin"/><Relationship Id="rId1" Type="http://schemas.openxmlformats.org/officeDocument/2006/relationships/printerSettings" Target="../printerSettings/printerSettings117.bin"/><Relationship Id="rId5" Type="http://schemas.openxmlformats.org/officeDocument/2006/relationships/drawing" Target="../drawings/drawing30.xml"/><Relationship Id="rId4" Type="http://schemas.openxmlformats.org/officeDocument/2006/relationships/printerSettings" Target="../printerSettings/printerSettings12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3.bin"/><Relationship Id="rId2" Type="http://schemas.openxmlformats.org/officeDocument/2006/relationships/printerSettings" Target="../printerSettings/printerSettings122.bin"/><Relationship Id="rId1" Type="http://schemas.openxmlformats.org/officeDocument/2006/relationships/printerSettings" Target="../printerSettings/printerSettings121.bin"/><Relationship Id="rId5" Type="http://schemas.openxmlformats.org/officeDocument/2006/relationships/drawing" Target="../drawings/drawing31.xml"/><Relationship Id="rId4" Type="http://schemas.openxmlformats.org/officeDocument/2006/relationships/printerSettings" Target="../printerSettings/printerSettings1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80"/>
  <sheetViews>
    <sheetView zoomScale="83" zoomScaleNormal="83" zoomScaleSheetLayoutView="100" workbookViewId="0">
      <selection activeCell="D16" sqref="D16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7" customWidth="1"/>
    <col min="7" max="8" width="9.33203125" style="4" customWidth="1"/>
    <col min="9" max="9" width="10.44140625" style="4" customWidth="1"/>
    <col min="10" max="10" width="29.77734375" style="4" customWidth="1"/>
    <col min="11" max="11" width="23" style="4" customWidth="1"/>
    <col min="12" max="16384" width="9.109375" style="4"/>
  </cols>
  <sheetData>
    <row r="2" spans="1:13" x14ac:dyDescent="0.35">
      <c r="E2" s="18" t="s">
        <v>0</v>
      </c>
      <c r="F2" s="30"/>
      <c r="G2" s="5"/>
      <c r="H2" s="5"/>
    </row>
    <row r="4" spans="1:13" s="1" customFormat="1" thickBot="1" x14ac:dyDescent="0.4">
      <c r="F4" s="31"/>
    </row>
    <row r="5" spans="1:13" s="2" customFormat="1" ht="24" thickBot="1" x14ac:dyDescent="0.5">
      <c r="A5" s="218" t="s">
        <v>15</v>
      </c>
      <c r="B5" s="219"/>
      <c r="C5" s="219"/>
      <c r="D5" s="219"/>
      <c r="E5" s="219"/>
      <c r="F5" s="219"/>
      <c r="G5" s="219"/>
      <c r="H5" s="219"/>
      <c r="I5" s="219"/>
      <c r="J5" s="6" t="s">
        <v>18</v>
      </c>
      <c r="K5" s="3" t="str">
        <f ca="1">CONCATENATE((MID(CELL("filename",K5),FIND("]",CELL("filename",K5))+1,255)),"/05/2026")</f>
        <v>1/05/2026</v>
      </c>
    </row>
    <row r="6" spans="1:13" x14ac:dyDescent="0.35">
      <c r="A6" s="112"/>
      <c r="B6" s="125"/>
      <c r="C6" s="125"/>
      <c r="D6" s="96" t="s">
        <v>1</v>
      </c>
      <c r="E6" s="96" t="s">
        <v>2</v>
      </c>
      <c r="F6" s="97" t="s">
        <v>21</v>
      </c>
      <c r="G6" s="96" t="s">
        <v>16</v>
      </c>
      <c r="H6" s="96" t="s">
        <v>17</v>
      </c>
      <c r="I6" s="96" t="s">
        <v>3</v>
      </c>
      <c r="J6" s="98" t="s">
        <v>20</v>
      </c>
      <c r="K6" s="99" t="s">
        <v>4</v>
      </c>
    </row>
    <row r="7" spans="1:13" x14ac:dyDescent="0.35">
      <c r="A7" s="117"/>
      <c r="B7" s="123"/>
      <c r="C7" s="123"/>
      <c r="D7" s="121"/>
      <c r="E7" s="121" t="s">
        <v>132</v>
      </c>
      <c r="F7" s="122" t="s">
        <v>133</v>
      </c>
      <c r="G7" s="121"/>
      <c r="H7" s="121"/>
      <c r="I7" s="121"/>
      <c r="J7" s="123"/>
      <c r="K7" s="124"/>
    </row>
    <row r="8" spans="1:13" x14ac:dyDescent="0.35">
      <c r="A8" s="41">
        <v>1</v>
      </c>
      <c r="B8" s="128"/>
      <c r="C8" s="128"/>
      <c r="D8" s="116">
        <v>301</v>
      </c>
      <c r="E8" s="95" t="s">
        <v>69</v>
      </c>
      <c r="F8" s="115">
        <v>46144</v>
      </c>
      <c r="G8" s="95">
        <v>2</v>
      </c>
      <c r="H8" s="95"/>
      <c r="I8" s="95"/>
      <c r="J8" s="116" t="s">
        <v>89</v>
      </c>
      <c r="K8" s="95" t="s">
        <v>68</v>
      </c>
      <c r="L8" s="73" t="str">
        <f>IF(OR(NOT(ISERROR(MATCH(RIGHT(D8,3)+0,#REF!,0))),NOT(ISERROR(MATCH(LEFT(D8,3)+0,#REF!,0)))),"No Post","")</f>
        <v/>
      </c>
      <c r="M8" s="73"/>
    </row>
    <row r="9" spans="1:13" x14ac:dyDescent="0.35">
      <c r="A9" s="52">
        <v>2</v>
      </c>
      <c r="B9" s="127"/>
      <c r="C9" s="127"/>
      <c r="D9" s="84">
        <v>305</v>
      </c>
      <c r="E9" s="87" t="s">
        <v>120</v>
      </c>
      <c r="F9" s="94">
        <v>46145</v>
      </c>
      <c r="G9" s="87">
        <v>2</v>
      </c>
      <c r="H9" s="87"/>
      <c r="I9" s="87"/>
      <c r="J9" s="84" t="s">
        <v>89</v>
      </c>
      <c r="K9" s="44" t="s">
        <v>116</v>
      </c>
      <c r="L9" s="73"/>
    </row>
    <row r="10" spans="1:13" x14ac:dyDescent="0.35">
      <c r="A10" s="52">
        <v>3</v>
      </c>
      <c r="B10" s="127"/>
      <c r="C10" s="127"/>
      <c r="D10" s="84">
        <v>310</v>
      </c>
      <c r="E10" s="44" t="s">
        <v>112</v>
      </c>
      <c r="F10" s="46">
        <v>46145</v>
      </c>
      <c r="G10" s="44">
        <v>2</v>
      </c>
      <c r="H10" s="44"/>
      <c r="I10" s="44"/>
      <c r="J10" s="84" t="s">
        <v>89</v>
      </c>
      <c r="K10" s="44" t="s">
        <v>113</v>
      </c>
      <c r="L10" s="73"/>
    </row>
    <row r="11" spans="1:13" x14ac:dyDescent="0.35">
      <c r="A11" s="52">
        <v>4</v>
      </c>
      <c r="B11" s="127"/>
      <c r="C11" s="127"/>
      <c r="D11" s="90">
        <v>323</v>
      </c>
      <c r="E11" s="87" t="s">
        <v>121</v>
      </c>
      <c r="F11" s="94">
        <v>46145</v>
      </c>
      <c r="G11" s="87">
        <v>2</v>
      </c>
      <c r="H11" s="87"/>
      <c r="I11" s="87"/>
      <c r="J11" s="90" t="s">
        <v>101</v>
      </c>
      <c r="K11" s="87" t="s">
        <v>84</v>
      </c>
      <c r="L11" s="73" t="s">
        <v>97</v>
      </c>
    </row>
    <row r="12" spans="1:13" x14ac:dyDescent="0.35">
      <c r="A12" s="71">
        <v>5</v>
      </c>
      <c r="B12" s="127"/>
      <c r="C12" s="127"/>
      <c r="D12" s="84">
        <v>332</v>
      </c>
      <c r="E12" s="44" t="s">
        <v>123</v>
      </c>
      <c r="F12" s="46">
        <v>46146</v>
      </c>
      <c r="G12" s="44">
        <v>5</v>
      </c>
      <c r="H12" s="87"/>
      <c r="I12" s="87"/>
      <c r="J12" s="84" t="s">
        <v>89</v>
      </c>
      <c r="K12" s="87" t="s">
        <v>111</v>
      </c>
      <c r="L12" s="73"/>
    </row>
    <row r="13" spans="1:13" x14ac:dyDescent="0.35">
      <c r="A13" s="71">
        <v>6</v>
      </c>
      <c r="B13" s="127"/>
      <c r="C13" s="127"/>
      <c r="D13" s="90">
        <v>603</v>
      </c>
      <c r="E13" s="44" t="s">
        <v>117</v>
      </c>
      <c r="F13" s="46">
        <v>46144</v>
      </c>
      <c r="G13" s="44">
        <v>2</v>
      </c>
      <c r="H13" s="44"/>
      <c r="I13" s="44"/>
      <c r="J13" s="90" t="s">
        <v>101</v>
      </c>
      <c r="K13" s="44" t="s">
        <v>84</v>
      </c>
      <c r="L13" s="73" t="s">
        <v>97</v>
      </c>
    </row>
    <row r="14" spans="1:13" x14ac:dyDescent="0.35">
      <c r="A14" s="71">
        <v>7</v>
      </c>
      <c r="B14" s="127"/>
      <c r="C14" s="127"/>
      <c r="D14" s="84">
        <v>614</v>
      </c>
      <c r="E14" s="44" t="s">
        <v>88</v>
      </c>
      <c r="F14" s="46">
        <v>46142</v>
      </c>
      <c r="G14" s="44">
        <v>2</v>
      </c>
      <c r="H14" s="44"/>
      <c r="I14" s="44"/>
      <c r="J14" s="84" t="s">
        <v>89</v>
      </c>
      <c r="K14" s="44"/>
      <c r="L14" s="73" t="str">
        <f>IF(OR(NOT(ISERROR(MATCH(RIGHT(D14,3)+0,#REF!,0))),NOT(ISERROR(MATCH(LEFT(D14,3)+0,#REF!,0)))),"No Post","")</f>
        <v/>
      </c>
    </row>
    <row r="15" spans="1:13" x14ac:dyDescent="0.35">
      <c r="A15" s="71">
        <v>8</v>
      </c>
      <c r="B15" s="127"/>
      <c r="C15" s="127"/>
      <c r="D15" s="84">
        <v>615</v>
      </c>
      <c r="E15" s="44" t="s">
        <v>87</v>
      </c>
      <c r="F15" s="46">
        <v>46142</v>
      </c>
      <c r="G15" s="44">
        <v>1</v>
      </c>
      <c r="H15" s="44"/>
      <c r="I15" s="44"/>
      <c r="J15" s="84" t="s">
        <v>89</v>
      </c>
      <c r="K15" s="44"/>
      <c r="L15" s="73" t="str">
        <f>IF(OR(NOT(ISERROR(MATCH(RIGHT(D15,3)+0,#REF!,0))),NOT(ISERROR(MATCH(LEFT(D15,3)+0,#REF!,0)))),"No Post","")</f>
        <v/>
      </c>
    </row>
    <row r="16" spans="1:13" x14ac:dyDescent="0.35">
      <c r="A16" s="71">
        <v>9</v>
      </c>
      <c r="B16" s="127"/>
      <c r="C16" s="127"/>
      <c r="D16" s="90">
        <v>672</v>
      </c>
      <c r="E16" s="44" t="s">
        <v>119</v>
      </c>
      <c r="F16" s="46">
        <v>46145</v>
      </c>
      <c r="G16" s="44">
        <v>2</v>
      </c>
      <c r="H16" s="44"/>
      <c r="I16" s="44"/>
      <c r="J16" s="90" t="s">
        <v>101</v>
      </c>
      <c r="K16" s="44" t="s">
        <v>84</v>
      </c>
      <c r="L16" s="73" t="s">
        <v>97</v>
      </c>
    </row>
    <row r="17" spans="1:13" x14ac:dyDescent="0.35">
      <c r="A17" s="52">
        <v>10</v>
      </c>
      <c r="B17" s="127"/>
      <c r="C17" s="127"/>
      <c r="D17" s="90">
        <v>675</v>
      </c>
      <c r="E17" s="44" t="s">
        <v>118</v>
      </c>
      <c r="F17" s="46">
        <v>46144</v>
      </c>
      <c r="G17" s="44">
        <v>2</v>
      </c>
      <c r="H17" s="44"/>
      <c r="I17" s="44"/>
      <c r="J17" s="90" t="s">
        <v>101</v>
      </c>
      <c r="K17" s="44" t="s">
        <v>84</v>
      </c>
      <c r="L17" s="73" t="s">
        <v>97</v>
      </c>
    </row>
    <row r="18" spans="1:13" ht="18.600000000000001" customHeight="1" x14ac:dyDescent="0.35">
      <c r="A18" s="52">
        <v>11</v>
      </c>
      <c r="B18" s="127"/>
      <c r="C18" s="127"/>
      <c r="D18" s="85">
        <v>840</v>
      </c>
      <c r="E18" s="44" t="s">
        <v>114</v>
      </c>
      <c r="F18" s="46">
        <v>46144</v>
      </c>
      <c r="G18" s="44">
        <v>2</v>
      </c>
      <c r="H18" s="44"/>
      <c r="I18" s="44" t="s">
        <v>91</v>
      </c>
      <c r="J18" s="85" t="s">
        <v>92</v>
      </c>
      <c r="K18" s="44" t="s">
        <v>109</v>
      </c>
      <c r="L18" s="73" t="s">
        <v>97</v>
      </c>
    </row>
    <row r="19" spans="1:13" ht="18.600000000000001" customHeight="1" x14ac:dyDescent="0.35">
      <c r="A19" s="52">
        <v>12</v>
      </c>
      <c r="B19" s="127"/>
      <c r="C19" s="127"/>
      <c r="D19" s="84">
        <v>847</v>
      </c>
      <c r="E19" s="44" t="s">
        <v>110</v>
      </c>
      <c r="F19" s="46">
        <v>46145</v>
      </c>
      <c r="G19" s="44">
        <v>2</v>
      </c>
      <c r="H19" s="44"/>
      <c r="I19" s="44"/>
      <c r="J19" s="84" t="s">
        <v>89</v>
      </c>
      <c r="K19" s="44" t="s">
        <v>111</v>
      </c>
      <c r="L19" s="73"/>
    </row>
    <row r="20" spans="1:13" ht="18.600000000000001" customHeight="1" x14ac:dyDescent="0.35">
      <c r="A20" s="109">
        <v>13</v>
      </c>
      <c r="B20" s="109"/>
      <c r="C20" s="109"/>
      <c r="D20" s="102">
        <v>848</v>
      </c>
      <c r="E20" s="110" t="s">
        <v>66</v>
      </c>
      <c r="F20" s="104">
        <v>46145</v>
      </c>
      <c r="G20" s="103">
        <v>2</v>
      </c>
      <c r="H20" s="103"/>
      <c r="I20" s="102" t="s">
        <v>92</v>
      </c>
      <c r="J20" s="111" t="s">
        <v>67</v>
      </c>
      <c r="K20" s="103" t="s">
        <v>31</v>
      </c>
      <c r="L20" s="73" t="str">
        <f>IF(OR(NOT(ISERROR(MATCH(RIGHT(D20,3)+0,#REF!,0))),NOT(ISERROR(MATCH(LEFT(D20,3)+0,#REF!,0)))),"No Post","")</f>
        <v/>
      </c>
    </row>
    <row r="21" spans="1:13" ht="18.600000000000001" customHeight="1" x14ac:dyDescent="0.35">
      <c r="A21" s="117"/>
      <c r="B21" s="123"/>
      <c r="C21" s="123"/>
      <c r="D21" s="118"/>
      <c r="E21" s="118" t="s">
        <v>134</v>
      </c>
      <c r="F21" s="119" t="s">
        <v>135</v>
      </c>
      <c r="G21" s="118"/>
      <c r="H21" s="118"/>
      <c r="I21" s="118"/>
      <c r="J21" s="118"/>
      <c r="K21" s="120"/>
      <c r="L21" s="73"/>
    </row>
    <row r="22" spans="1:13" ht="18.600000000000001" customHeight="1" x14ac:dyDescent="0.35">
      <c r="A22" s="113">
        <v>14</v>
      </c>
      <c r="B22" s="128"/>
      <c r="C22" s="128"/>
      <c r="D22" s="114">
        <v>878</v>
      </c>
      <c r="E22" s="95" t="s">
        <v>72</v>
      </c>
      <c r="F22" s="115">
        <v>46145</v>
      </c>
      <c r="G22" s="95">
        <v>2</v>
      </c>
      <c r="H22" s="95"/>
      <c r="I22" s="95"/>
      <c r="J22" s="114" t="s">
        <v>101</v>
      </c>
      <c r="K22" s="95" t="s">
        <v>73</v>
      </c>
      <c r="L22" s="73" t="str">
        <f>IF(OR(NOT(ISERROR(MATCH(RIGHT(D22,3)+0,#REF!,0))),NOT(ISERROR(MATCH(LEFT(D22,3)+0,#REF!,0)))),"No Post","")</f>
        <v/>
      </c>
    </row>
    <row r="23" spans="1:13" ht="18.600000000000001" customHeight="1" x14ac:dyDescent="0.35">
      <c r="A23" s="71">
        <v>15</v>
      </c>
      <c r="B23" s="127"/>
      <c r="C23" s="127"/>
      <c r="D23" s="85">
        <v>882</v>
      </c>
      <c r="E23" s="44" t="s">
        <v>90</v>
      </c>
      <c r="F23" s="46">
        <v>46146</v>
      </c>
      <c r="G23" s="44">
        <v>2</v>
      </c>
      <c r="H23" s="44"/>
      <c r="I23" s="44" t="s">
        <v>91</v>
      </c>
      <c r="J23" s="85" t="s">
        <v>92</v>
      </c>
      <c r="K23" s="44" t="s">
        <v>93</v>
      </c>
      <c r="L23" s="73" t="str">
        <f>IF(OR(NOT(ISERROR(MATCH(RIGHT(D23,3)+0,#REF!,0))),NOT(ISERROR(MATCH(LEFT(D23,3)+0,#REF!,0)))),"No Post","")</f>
        <v/>
      </c>
      <c r="M23" s="4" t="s">
        <v>141</v>
      </c>
    </row>
    <row r="24" spans="1:13" ht="18.600000000000001" customHeight="1" x14ac:dyDescent="0.35">
      <c r="A24" s="71">
        <v>16</v>
      </c>
      <c r="B24" s="127"/>
      <c r="C24" s="127"/>
      <c r="D24" s="84">
        <v>883</v>
      </c>
      <c r="E24" s="100" t="s">
        <v>41</v>
      </c>
      <c r="F24" s="46">
        <v>46146</v>
      </c>
      <c r="G24" s="44">
        <v>2</v>
      </c>
      <c r="H24" s="44"/>
      <c r="I24" s="44"/>
      <c r="J24" s="92" t="s">
        <v>89</v>
      </c>
      <c r="K24" s="44" t="s">
        <v>42</v>
      </c>
      <c r="L24" s="73" t="str">
        <f>IF(OR(NOT(ISERROR(MATCH(RIGHT(D24,3)+0,#REF!,0))),NOT(ISERROR(MATCH(LEFT(D24,3)+0,#REF!,0)))),"No Post","")</f>
        <v/>
      </c>
    </row>
    <row r="25" spans="1:13" ht="18.600000000000001" customHeight="1" x14ac:dyDescent="0.35">
      <c r="A25" s="71">
        <v>17</v>
      </c>
      <c r="B25" s="71"/>
      <c r="C25" s="71"/>
      <c r="D25" s="85">
        <v>891</v>
      </c>
      <c r="E25" s="44" t="s">
        <v>115</v>
      </c>
      <c r="F25" s="46">
        <v>46143</v>
      </c>
      <c r="G25" s="44">
        <v>2</v>
      </c>
      <c r="H25" s="44"/>
      <c r="I25" s="44"/>
      <c r="J25" s="85" t="s">
        <v>92</v>
      </c>
      <c r="K25" s="44" t="s">
        <v>116</v>
      </c>
      <c r="L25" s="73" t="s">
        <v>97</v>
      </c>
    </row>
    <row r="26" spans="1:13" ht="18.600000000000001" customHeight="1" x14ac:dyDescent="0.35">
      <c r="A26" s="71">
        <v>18</v>
      </c>
      <c r="B26" s="71"/>
      <c r="C26" s="71"/>
      <c r="D26" s="91">
        <v>892</v>
      </c>
      <c r="E26" s="87" t="s">
        <v>103</v>
      </c>
      <c r="F26" s="46">
        <v>46145</v>
      </c>
      <c r="G26" s="44">
        <v>2</v>
      </c>
      <c r="H26" s="44">
        <v>1</v>
      </c>
      <c r="I26" s="44"/>
      <c r="J26" s="88" t="s">
        <v>74</v>
      </c>
      <c r="K26" s="44" t="s">
        <v>104</v>
      </c>
      <c r="L26" s="73" t="str">
        <f>IF(OR(NOT(ISERROR(MATCH(RIGHT(D26,3)+0,#REF!,0))),NOT(ISERROR(MATCH(LEFT(D26,3)+0,#REF!,0)))),"No Post","")</f>
        <v/>
      </c>
    </row>
    <row r="27" spans="1:13" ht="18.600000000000001" customHeight="1" x14ac:dyDescent="0.35">
      <c r="A27" s="52">
        <v>19</v>
      </c>
      <c r="B27" s="127"/>
      <c r="C27" s="127"/>
      <c r="D27" s="84" t="s">
        <v>105</v>
      </c>
      <c r="E27" s="44" t="s">
        <v>106</v>
      </c>
      <c r="F27" s="46">
        <v>46144</v>
      </c>
      <c r="G27" s="44">
        <v>2</v>
      </c>
      <c r="H27" s="44"/>
      <c r="I27" s="44"/>
      <c r="J27" s="92" t="s">
        <v>89</v>
      </c>
      <c r="K27" s="44" t="s">
        <v>50</v>
      </c>
      <c r="L27" s="73" t="str">
        <f>IF(OR(NOT(ISERROR(MATCH(RIGHT(D27,3)+0,#REF!,0))),NOT(ISERROR(MATCH(LEFT(D27,3)+0,#REF!,0)))),"No Post","")</f>
        <v/>
      </c>
    </row>
    <row r="28" spans="1:13" ht="18.600000000000001" customHeight="1" x14ac:dyDescent="0.35">
      <c r="A28" s="52">
        <v>20</v>
      </c>
      <c r="B28" s="127"/>
      <c r="C28" s="127"/>
      <c r="D28" s="84" t="s">
        <v>125</v>
      </c>
      <c r="E28" s="21" t="s">
        <v>126</v>
      </c>
      <c r="F28" s="46">
        <v>46143</v>
      </c>
      <c r="G28" s="44">
        <v>2</v>
      </c>
      <c r="H28" s="44"/>
      <c r="I28" s="44"/>
      <c r="J28" s="84" t="s">
        <v>89</v>
      </c>
      <c r="K28" s="44" t="s">
        <v>96</v>
      </c>
    </row>
    <row r="29" spans="1:13" s="24" customFormat="1" ht="18.600000000000001" customHeight="1" x14ac:dyDescent="0.4">
      <c r="A29" s="52">
        <v>21</v>
      </c>
      <c r="B29" s="127"/>
      <c r="C29" s="127"/>
      <c r="D29" s="84" t="s">
        <v>127</v>
      </c>
      <c r="E29" s="44" t="s">
        <v>98</v>
      </c>
      <c r="F29" s="46">
        <v>46143</v>
      </c>
      <c r="G29" s="44">
        <v>2</v>
      </c>
      <c r="H29" s="44"/>
      <c r="I29" s="44"/>
      <c r="J29" s="84" t="s">
        <v>89</v>
      </c>
      <c r="K29" s="44" t="s">
        <v>96</v>
      </c>
      <c r="L29" s="4"/>
    </row>
    <row r="30" spans="1:13" s="24" customFormat="1" ht="18.600000000000001" customHeight="1" x14ac:dyDescent="0.4">
      <c r="A30" s="93">
        <v>22</v>
      </c>
      <c r="B30" s="127"/>
      <c r="C30" s="127"/>
      <c r="D30" s="90" t="s">
        <v>99</v>
      </c>
      <c r="E30" s="44" t="s">
        <v>100</v>
      </c>
      <c r="F30" s="46">
        <v>46142</v>
      </c>
      <c r="G30" s="44">
        <v>2</v>
      </c>
      <c r="H30" s="44"/>
      <c r="I30" s="44"/>
      <c r="J30" s="90" t="s">
        <v>101</v>
      </c>
      <c r="K30" s="44" t="s">
        <v>102</v>
      </c>
      <c r="L30" s="73" t="s">
        <v>97</v>
      </c>
    </row>
    <row r="31" spans="1:13" s="24" customFormat="1" ht="18.600000000000001" customHeight="1" x14ac:dyDescent="0.4">
      <c r="A31" s="93">
        <v>23</v>
      </c>
      <c r="B31" s="127"/>
      <c r="C31" s="127"/>
      <c r="D31" s="90" t="s">
        <v>128</v>
      </c>
      <c r="E31" s="44" t="s">
        <v>83</v>
      </c>
      <c r="F31" s="46">
        <v>46143</v>
      </c>
      <c r="G31" s="44">
        <v>2</v>
      </c>
      <c r="H31" s="44"/>
      <c r="I31" s="44"/>
      <c r="J31" s="90" t="s">
        <v>101</v>
      </c>
      <c r="K31" s="44"/>
      <c r="L31" s="73" t="s">
        <v>97</v>
      </c>
    </row>
    <row r="32" spans="1:13" s="24" customFormat="1" ht="18.600000000000001" customHeight="1" x14ac:dyDescent="0.4">
      <c r="A32" s="93">
        <v>24</v>
      </c>
      <c r="B32" s="127"/>
      <c r="C32" s="127"/>
      <c r="D32" s="90" t="s">
        <v>129</v>
      </c>
      <c r="E32" s="44" t="s">
        <v>82</v>
      </c>
      <c r="F32" s="46">
        <v>46143</v>
      </c>
      <c r="G32" s="44">
        <v>2</v>
      </c>
      <c r="H32" s="44"/>
      <c r="I32" s="44"/>
      <c r="J32" s="90" t="s">
        <v>101</v>
      </c>
      <c r="K32" s="44"/>
      <c r="L32" s="73" t="s">
        <v>97</v>
      </c>
    </row>
    <row r="33" spans="1:13" s="24" customFormat="1" ht="18.600000000000001" customHeight="1" x14ac:dyDescent="0.4">
      <c r="A33" s="93">
        <v>25</v>
      </c>
      <c r="B33" s="127"/>
      <c r="C33" s="127"/>
      <c r="D33" s="84" t="s">
        <v>130</v>
      </c>
      <c r="E33" s="44" t="s">
        <v>81</v>
      </c>
      <c r="F33" s="46">
        <v>46143</v>
      </c>
      <c r="G33" s="44">
        <v>2</v>
      </c>
      <c r="H33" s="44"/>
      <c r="I33" s="44"/>
      <c r="J33" s="84" t="s">
        <v>89</v>
      </c>
      <c r="K33" s="44" t="s">
        <v>80</v>
      </c>
      <c r="L33" s="73" t="str">
        <f>IF(OR(NOT(ISERROR(MATCH(RIGHT(D33,3)+0,#REF!,0))),NOT(ISERROR(MATCH(LEFT(D33,3)+0,#REF!,0)))),"No Post","")</f>
        <v/>
      </c>
    </row>
    <row r="34" spans="1:13" s="24" customFormat="1" ht="18.600000000000001" customHeight="1" x14ac:dyDescent="0.4">
      <c r="A34" s="93">
        <v>26</v>
      </c>
      <c r="B34" s="127"/>
      <c r="C34" s="127"/>
      <c r="D34" s="86" t="s">
        <v>94</v>
      </c>
      <c r="E34" s="44" t="s">
        <v>95</v>
      </c>
      <c r="F34" s="46">
        <v>46114</v>
      </c>
      <c r="G34" s="44">
        <v>3</v>
      </c>
      <c r="H34" s="44">
        <v>1</v>
      </c>
      <c r="I34" s="44"/>
      <c r="J34" s="86" t="s">
        <v>142</v>
      </c>
      <c r="K34" s="44" t="s">
        <v>96</v>
      </c>
      <c r="L34" s="73" t="s">
        <v>97</v>
      </c>
      <c r="M34" s="24" t="s">
        <v>143</v>
      </c>
    </row>
    <row r="35" spans="1:13" s="24" customFormat="1" ht="18.600000000000001" customHeight="1" x14ac:dyDescent="0.4">
      <c r="A35" s="101">
        <v>27</v>
      </c>
      <c r="B35" s="101"/>
      <c r="C35" s="101"/>
      <c r="D35" s="102">
        <v>329</v>
      </c>
      <c r="E35" s="103" t="s">
        <v>78</v>
      </c>
      <c r="F35" s="104">
        <v>46147</v>
      </c>
      <c r="G35" s="103" t="s">
        <v>79</v>
      </c>
      <c r="H35" s="103"/>
      <c r="I35" s="103"/>
      <c r="J35" s="102" t="s">
        <v>124</v>
      </c>
      <c r="K35" s="103" t="s">
        <v>50</v>
      </c>
      <c r="L35" s="73" t="str">
        <f>IF(OR(NOT(ISERROR(MATCH(RIGHT(D35,3)+0,#REF!,0))),NOT(ISERROR(MATCH(LEFT(D35,3)+0,#REF!,0)))),"No Post","")</f>
        <v/>
      </c>
    </row>
    <row r="36" spans="1:13" s="24" customFormat="1" ht="18.600000000000001" customHeight="1" x14ac:dyDescent="0.4">
      <c r="A36" s="105"/>
      <c r="B36" s="126"/>
      <c r="C36" s="126"/>
      <c r="D36" s="106"/>
      <c r="E36" s="106"/>
      <c r="F36" s="107" t="s">
        <v>131</v>
      </c>
      <c r="G36" s="106"/>
      <c r="H36" s="106"/>
      <c r="I36" s="106"/>
      <c r="J36" s="106"/>
      <c r="K36" s="108"/>
      <c r="L36" s="73" t="str">
        <f>IF(OR(NOT(ISERROR(MATCH(RIGHT(D36,3)+0,#REF!,0))),NOT(ISERROR(MATCH(LEFT(D36,3)+0,#REF!,0)))),"No Post","")</f>
        <v/>
      </c>
    </row>
    <row r="37" spans="1:13" ht="20.25" customHeight="1" x14ac:dyDescent="0.35">
      <c r="E37" s="47" t="str">
        <f>"Remaning: "&amp;IFERROR(MID(A5, SEARCH("MAX", A5) + LEN("MAX"), SEARCH("PAX", A5) - SEARCH("MAX", A5) - LEN("MAX")), "")+0-SUM(G37:H37)</f>
        <v>Remaning: -36</v>
      </c>
      <c r="F37" s="32" t="s">
        <v>19</v>
      </c>
      <c r="G37" s="7">
        <f>SUM(G8:G35)</f>
        <v>55</v>
      </c>
      <c r="H37" s="7">
        <f>SUM(H8:H29)</f>
        <v>1</v>
      </c>
    </row>
    <row r="38" spans="1:13" ht="20.25" customHeight="1" x14ac:dyDescent="0.35">
      <c r="D38" s="8" t="s">
        <v>5</v>
      </c>
      <c r="E38" s="8"/>
      <c r="F38" s="33"/>
      <c r="G38" s="8"/>
      <c r="H38" s="8"/>
      <c r="I38" s="8"/>
    </row>
    <row r="39" spans="1:13" ht="20.25" customHeight="1" x14ac:dyDescent="0.35">
      <c r="D39" s="15" t="s">
        <v>6</v>
      </c>
      <c r="E39" s="9"/>
      <c r="F39" s="34"/>
      <c r="G39" s="9"/>
      <c r="H39" s="9"/>
      <c r="I39" s="9"/>
    </row>
    <row r="40" spans="1:13" ht="20.25" customHeight="1" x14ac:dyDescent="0.35">
      <c r="D40" s="15" t="s">
        <v>7</v>
      </c>
      <c r="E40" s="9"/>
      <c r="F40" s="34"/>
      <c r="G40" s="9"/>
      <c r="H40" s="9"/>
      <c r="I40" s="9"/>
    </row>
    <row r="41" spans="1:13" ht="20.25" customHeight="1" x14ac:dyDescent="0.35">
      <c r="D41" s="15" t="s">
        <v>8</v>
      </c>
      <c r="E41" s="9"/>
      <c r="F41" s="34"/>
      <c r="G41" s="9"/>
      <c r="H41" s="9"/>
      <c r="I41" s="9"/>
    </row>
    <row r="42" spans="1:13" x14ac:dyDescent="0.35">
      <c r="D42" s="15" t="s">
        <v>9</v>
      </c>
      <c r="E42" s="9"/>
      <c r="F42" s="34"/>
      <c r="G42" s="9"/>
      <c r="H42" s="9"/>
      <c r="I42" s="9"/>
    </row>
    <row r="43" spans="1:13" x14ac:dyDescent="0.35">
      <c r="D43" s="15" t="s">
        <v>10</v>
      </c>
      <c r="E43" s="9"/>
      <c r="F43" s="34"/>
      <c r="G43" s="9"/>
      <c r="H43" s="9"/>
      <c r="I43" s="9"/>
    </row>
    <row r="44" spans="1:13" x14ac:dyDescent="0.35">
      <c r="D44" s="15" t="s">
        <v>11</v>
      </c>
      <c r="E44" s="9"/>
      <c r="F44" s="34"/>
      <c r="G44" s="9"/>
      <c r="H44" s="9"/>
      <c r="I44" s="9"/>
    </row>
    <row r="45" spans="1:13" s="11" customFormat="1" ht="15.6" x14ac:dyDescent="0.3">
      <c r="D45" s="16" t="s">
        <v>12</v>
      </c>
      <c r="E45" s="10"/>
      <c r="F45" s="35"/>
      <c r="G45" s="10"/>
      <c r="H45" s="10"/>
    </row>
    <row r="46" spans="1:13" s="11" customFormat="1" ht="15.6" x14ac:dyDescent="0.3">
      <c r="D46" s="16" t="s">
        <v>13</v>
      </c>
      <c r="E46" s="10"/>
      <c r="F46" s="35"/>
      <c r="G46" s="10"/>
      <c r="H46" s="10"/>
    </row>
    <row r="47" spans="1:13" s="13" customFormat="1" ht="20.25" customHeight="1" x14ac:dyDescent="0.35">
      <c r="D47" s="17" t="s">
        <v>14</v>
      </c>
      <c r="E47" s="12"/>
      <c r="F47" s="36"/>
    </row>
    <row r="48" spans="1:13" s="8" customFormat="1" ht="14.4" x14ac:dyDescent="0.3">
      <c r="D48" s="14"/>
      <c r="E48" s="9"/>
      <c r="F48" s="34"/>
      <c r="G48" s="9"/>
      <c r="H48" s="9"/>
      <c r="I48" s="9"/>
    </row>
    <row r="49" spans="4:9" s="9" customFormat="1" ht="13.8" x14ac:dyDescent="0.3">
      <c r="F49" s="34"/>
    </row>
    <row r="50" spans="4:9" x14ac:dyDescent="0.35">
      <c r="D50" s="9"/>
      <c r="E50" s="9"/>
      <c r="F50" s="34"/>
      <c r="G50" s="9"/>
      <c r="H50" s="9"/>
      <c r="I50" s="9"/>
    </row>
    <row r="51" spans="4:9" x14ac:dyDescent="0.35">
      <c r="D51" s="8"/>
      <c r="E51" s="8"/>
      <c r="F51" s="33"/>
      <c r="G51" s="8"/>
      <c r="H51" s="8"/>
      <c r="I51" s="8"/>
    </row>
    <row r="52" spans="4:9" x14ac:dyDescent="0.35">
      <c r="D52" s="9"/>
      <c r="E52" s="9"/>
      <c r="F52" s="34"/>
      <c r="G52" s="9"/>
      <c r="H52" s="9"/>
      <c r="I52" s="9"/>
    </row>
    <row r="53" spans="4:9" x14ac:dyDescent="0.35">
      <c r="D53" s="9"/>
      <c r="E53" s="9"/>
      <c r="F53" s="34"/>
      <c r="G53" s="9"/>
      <c r="H53" s="9"/>
      <c r="I53" s="9"/>
    </row>
    <row r="54" spans="4:9" x14ac:dyDescent="0.35">
      <c r="D54" s="9"/>
      <c r="E54" s="9"/>
      <c r="F54" s="34"/>
      <c r="G54" s="9"/>
      <c r="H54" s="9"/>
      <c r="I54" s="9"/>
    </row>
    <row r="55" spans="4:9" x14ac:dyDescent="0.35">
      <c r="D55" s="9"/>
      <c r="E55" s="9"/>
      <c r="F55" s="34"/>
      <c r="G55" s="9"/>
      <c r="H55" s="9"/>
      <c r="I55" s="9"/>
    </row>
    <row r="56" spans="4:9" x14ac:dyDescent="0.35">
      <c r="D56" s="9"/>
      <c r="E56" s="9"/>
      <c r="F56" s="34"/>
      <c r="G56" s="9"/>
      <c r="H56" s="9"/>
      <c r="I56" s="9"/>
    </row>
    <row r="57" spans="4:9" x14ac:dyDescent="0.35">
      <c r="D57" s="9"/>
      <c r="E57" s="9"/>
      <c r="F57" s="34"/>
      <c r="G57" s="9"/>
      <c r="H57" s="9"/>
      <c r="I57" s="9"/>
    </row>
    <row r="58" spans="4:9" x14ac:dyDescent="0.35">
      <c r="D58" s="14"/>
      <c r="E58" s="9"/>
      <c r="F58" s="34"/>
      <c r="G58" s="9"/>
      <c r="H58" s="9"/>
      <c r="I58" s="9"/>
    </row>
    <row r="59" spans="4:9" x14ac:dyDescent="0.35">
      <c r="D59" s="9"/>
      <c r="E59" s="9"/>
      <c r="F59" s="34"/>
      <c r="G59" s="9"/>
      <c r="H59" s="9"/>
      <c r="I59" s="9"/>
    </row>
    <row r="61" spans="4:9" x14ac:dyDescent="0.35">
      <c r="D61" s="1"/>
      <c r="E61" s="1"/>
      <c r="F61" s="31"/>
      <c r="G61" s="1"/>
      <c r="H61" s="1"/>
      <c r="I61" s="1"/>
    </row>
    <row r="76" spans="4:9" x14ac:dyDescent="0.35">
      <c r="D76" s="9"/>
      <c r="E76" s="9"/>
      <c r="F76" s="34"/>
      <c r="G76" s="9"/>
      <c r="H76" s="9"/>
      <c r="I76" s="9"/>
    </row>
    <row r="77" spans="4:9" x14ac:dyDescent="0.35">
      <c r="D77" s="9"/>
      <c r="E77" s="9"/>
      <c r="F77" s="34"/>
      <c r="G77" s="9"/>
      <c r="H77" s="9"/>
      <c r="I77" s="9"/>
    </row>
    <row r="78" spans="4:9" x14ac:dyDescent="0.35">
      <c r="D78" s="9"/>
      <c r="E78" s="9"/>
      <c r="F78" s="34"/>
      <c r="G78" s="9"/>
      <c r="H78" s="9"/>
      <c r="I78" s="9"/>
    </row>
    <row r="79" spans="4:9" x14ac:dyDescent="0.35">
      <c r="D79" s="14"/>
      <c r="E79" s="9"/>
      <c r="F79" s="34"/>
      <c r="G79" s="9"/>
      <c r="H79" s="9"/>
      <c r="I79" s="9"/>
    </row>
    <row r="80" spans="4:9" x14ac:dyDescent="0.35">
      <c r="D80" s="9"/>
      <c r="E80" s="9"/>
      <c r="F80" s="34"/>
      <c r="G80" s="9"/>
      <c r="H80" s="9"/>
      <c r="I80" s="9"/>
    </row>
  </sheetData>
  <sortState ref="D7:L33">
    <sortCondition ref="D7"/>
  </sortState>
  <customSheetViews>
    <customSheetView guid="{B3797D0B-1E44-402B-AD05-6509081B1712}" showPageBreaks="1" fitToPage="1" printArea="1">
      <selection activeCell="E30" sqref="E30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56" orientation="landscape" r:id="rId1"/>
    </customSheetView>
    <customSheetView guid="{6222734F-EF03-4A42-A0AF-7421F8747AA6}" scale="83" showPageBreaks="1" fitToPage="1" printArea="1">
      <selection activeCell="D16" sqref="D16"/>
      <rowBreaks count="1" manualBreakCount="1">
        <brk id="38" min="3" max="10" man="1"/>
      </rowBreaks>
      <colBreaks count="1" manualBreakCount="1">
        <brk id="13" max="30" man="1"/>
      </colBreaks>
      <pageMargins left="0.17" right="0.17" top="0.75" bottom="0.75" header="0.3" footer="0.3"/>
      <pageSetup scale="56" orientation="landscape" r:id="rId2"/>
    </customSheetView>
    <customSheetView guid="{AF620B39-788E-4983-8793-E9B224213D26}" fitToPage="1" topLeftCell="A10">
      <selection activeCell="C23" sqref="C23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71" orientation="landscape" r:id="rId3"/>
    </customSheetView>
  </customSheetViews>
  <mergeCells count="1">
    <mergeCell ref="A5:I5"/>
  </mergeCells>
  <conditionalFormatting sqref="L8:L36">
    <cfRule type="containsText" dxfId="30" priority="2" operator="containsText" text="No Post">
      <formula>NOT(ISERROR(SEARCH("No Post",L8)))</formula>
    </cfRule>
  </conditionalFormatting>
  <pageMargins left="0.17" right="0.17" top="0.75" bottom="0.75" header="0.3" footer="0.3"/>
  <pageSetup scale="56" orientation="landscape" r:id="rId4"/>
  <rowBreaks count="1" manualBreakCount="1">
    <brk id="38" min="3" max="10" man="1"/>
  </rowBreaks>
  <colBreaks count="1" manualBreakCount="1">
    <brk id="13" max="30" man="1"/>
  </colBrea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1"/>
  <sheetViews>
    <sheetView zoomScale="86" zoomScaleNormal="86" zoomScaleSheetLayoutView="100" workbookViewId="0">
      <selection activeCell="E17" sqref="E17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7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0"/>
      <c r="G2" s="5"/>
      <c r="H2" s="5"/>
    </row>
    <row r="4" spans="1:12" s="1" customFormat="1" thickBot="1" x14ac:dyDescent="0.4">
      <c r="F4" s="31"/>
    </row>
    <row r="5" spans="1:12" s="2" customFormat="1" ht="24" thickBot="1" x14ac:dyDescent="0.5">
      <c r="A5" s="218" t="s">
        <v>15</v>
      </c>
      <c r="B5" s="219"/>
      <c r="C5" s="219"/>
      <c r="D5" s="219"/>
      <c r="E5" s="219"/>
      <c r="F5" s="219"/>
      <c r="G5" s="219"/>
      <c r="H5" s="219"/>
      <c r="I5" s="219"/>
      <c r="J5" s="6" t="s">
        <v>18</v>
      </c>
      <c r="K5" s="3" t="str">
        <f ca="1">CONCATENATE((MID(CELL("filename",K5),FIND("]",CELL("filename",K5))+1,255)),"/05/2026")</f>
        <v>2/05/2026</v>
      </c>
    </row>
    <row r="6" spans="1:12" x14ac:dyDescent="0.35">
      <c r="A6" s="38"/>
      <c r="B6" s="129"/>
      <c r="C6" s="129"/>
      <c r="D6" s="39" t="s">
        <v>1</v>
      </c>
      <c r="E6" s="39" t="s">
        <v>2</v>
      </c>
      <c r="F6" s="40" t="s">
        <v>21</v>
      </c>
      <c r="G6" s="39" t="s">
        <v>16</v>
      </c>
      <c r="H6" s="39" t="s">
        <v>17</v>
      </c>
      <c r="I6" s="39" t="s">
        <v>3</v>
      </c>
      <c r="J6" s="41" t="s">
        <v>20</v>
      </c>
      <c r="K6" s="42" t="s">
        <v>4</v>
      </c>
    </row>
    <row r="7" spans="1:12" x14ac:dyDescent="0.35">
      <c r="A7" s="52">
        <v>1</v>
      </c>
      <c r="B7" s="52"/>
      <c r="C7" s="52"/>
      <c r="D7" s="44">
        <v>216</v>
      </c>
      <c r="E7" s="44" t="s">
        <v>138</v>
      </c>
      <c r="F7" s="46">
        <v>46146</v>
      </c>
      <c r="G7" s="44">
        <v>2</v>
      </c>
      <c r="H7" s="44"/>
      <c r="I7" s="44"/>
      <c r="J7" s="44"/>
      <c r="K7" s="44" t="s">
        <v>84</v>
      </c>
      <c r="L7" s="73" t="str">
        <f>IF(OR(NOT(ISERROR(MATCH(RIGHT(D7,3)+0,#REF!,0))),NOT(ISERROR(MATCH(LEFT(D7,3)+0,#REF!,0)))),"No Post","")</f>
        <v/>
      </c>
    </row>
    <row r="8" spans="1:12" x14ac:dyDescent="0.35">
      <c r="A8" s="52">
        <v>2</v>
      </c>
      <c r="B8" s="130"/>
      <c r="C8" s="130"/>
      <c r="D8" s="127">
        <v>316</v>
      </c>
      <c r="E8" s="52" t="s">
        <v>147</v>
      </c>
      <c r="F8" s="60">
        <v>46146</v>
      </c>
      <c r="G8" s="52">
        <v>2</v>
      </c>
      <c r="H8" s="52"/>
      <c r="I8" s="52"/>
      <c r="J8" s="127" t="s">
        <v>89</v>
      </c>
      <c r="K8" s="44" t="s">
        <v>84</v>
      </c>
      <c r="L8" s="73" t="str">
        <f>IF(OR(NOT(ISERROR(MATCH(RIGHT(D8,3)+0,#REF!,0))),NOT(ISERROR(MATCH(LEFT(D8,3)+0,#REF!,0)))),"No Post","")</f>
        <v/>
      </c>
    </row>
    <row r="9" spans="1:12" x14ac:dyDescent="0.35">
      <c r="A9" s="52">
        <v>3</v>
      </c>
      <c r="B9" s="52"/>
      <c r="C9" s="52"/>
      <c r="D9" s="85">
        <v>325</v>
      </c>
      <c r="E9" s="44" t="s">
        <v>136</v>
      </c>
      <c r="F9" s="46">
        <v>46151</v>
      </c>
      <c r="G9" s="44">
        <v>2</v>
      </c>
      <c r="H9" s="44"/>
      <c r="I9" s="44"/>
      <c r="J9" s="89" t="s">
        <v>92</v>
      </c>
      <c r="K9" s="44" t="s">
        <v>84</v>
      </c>
      <c r="L9" s="73" t="s">
        <v>97</v>
      </c>
    </row>
    <row r="10" spans="1:12" x14ac:dyDescent="0.35">
      <c r="A10" s="52">
        <v>4</v>
      </c>
      <c r="B10" s="130"/>
      <c r="C10" s="130"/>
      <c r="D10" s="127">
        <v>623</v>
      </c>
      <c r="E10" s="52" t="s">
        <v>148</v>
      </c>
      <c r="F10" s="60">
        <v>46145</v>
      </c>
      <c r="G10" s="52">
        <v>2</v>
      </c>
      <c r="H10" s="52"/>
      <c r="I10" s="52"/>
      <c r="J10" s="127" t="s">
        <v>89</v>
      </c>
      <c r="K10" s="44" t="s">
        <v>140</v>
      </c>
      <c r="L10" s="73" t="str">
        <f>IF(OR(NOT(ISERROR(MATCH(RIGHT(D10,3)+0,#REF!,0))),NOT(ISERROR(MATCH(LEFT(D10,3)+0,#REF!,0)))),"No Post","")</f>
        <v/>
      </c>
    </row>
    <row r="11" spans="1:12" x14ac:dyDescent="0.35">
      <c r="A11" s="52">
        <v>5</v>
      </c>
      <c r="B11" s="130"/>
      <c r="C11" s="130"/>
      <c r="D11" s="84">
        <v>683</v>
      </c>
      <c r="E11" s="44" t="s">
        <v>137</v>
      </c>
      <c r="F11" s="46">
        <v>46145</v>
      </c>
      <c r="G11" s="44">
        <v>2</v>
      </c>
      <c r="H11" s="44"/>
      <c r="I11" s="44"/>
      <c r="J11" s="84" t="s">
        <v>89</v>
      </c>
      <c r="K11" s="44" t="s">
        <v>93</v>
      </c>
      <c r="L11" s="73" t="str">
        <f>IF(OR(NOT(ISERROR(MATCH(RIGHT(D11,3)+0,#REF!,0))),NOT(ISERROR(MATCH(LEFT(D11,3)+0,#REF!,0)))),"No Post","")</f>
        <v/>
      </c>
    </row>
    <row r="12" spans="1:12" x14ac:dyDescent="0.35">
      <c r="A12" s="52">
        <v>6</v>
      </c>
      <c r="B12" s="52"/>
      <c r="C12" s="52"/>
      <c r="D12" s="90">
        <v>841</v>
      </c>
      <c r="E12" s="44" t="s">
        <v>83</v>
      </c>
      <c r="F12" s="46">
        <v>46115</v>
      </c>
      <c r="G12" s="44">
        <v>2</v>
      </c>
      <c r="H12" s="44"/>
      <c r="I12" s="44"/>
      <c r="J12" s="90" t="s">
        <v>101</v>
      </c>
      <c r="K12" s="44" t="s">
        <v>139</v>
      </c>
      <c r="L12" s="73" t="s">
        <v>97</v>
      </c>
    </row>
    <row r="13" spans="1:12" x14ac:dyDescent="0.35">
      <c r="A13" s="52">
        <v>7</v>
      </c>
      <c r="B13" s="130"/>
      <c r="C13" s="130"/>
      <c r="D13" s="84">
        <v>843</v>
      </c>
      <c r="E13" s="44" t="s">
        <v>86</v>
      </c>
      <c r="F13" s="46">
        <v>46146</v>
      </c>
      <c r="G13" s="44">
        <v>2</v>
      </c>
      <c r="H13" s="44"/>
      <c r="I13" s="44"/>
      <c r="J13" s="84" t="s">
        <v>89</v>
      </c>
      <c r="K13" s="44" t="s">
        <v>85</v>
      </c>
      <c r="L13" s="73" t="str">
        <f>IF(OR(NOT(ISERROR(MATCH(RIGHT(D13,3)+0,#REF!,0))),NOT(ISERROR(MATCH(LEFT(D13,3)+0,#REF!,0)))),"No Post","")</f>
        <v/>
      </c>
    </row>
    <row r="14" spans="1:12" x14ac:dyDescent="0.35">
      <c r="A14" s="52">
        <v>8</v>
      </c>
      <c r="B14" s="130"/>
      <c r="C14" s="130"/>
      <c r="D14" s="85">
        <v>848</v>
      </c>
      <c r="E14" s="21" t="s">
        <v>66</v>
      </c>
      <c r="F14" s="46">
        <v>46145</v>
      </c>
      <c r="G14" s="44">
        <v>2</v>
      </c>
      <c r="H14" s="44"/>
      <c r="I14" s="44" t="s">
        <v>29</v>
      </c>
      <c r="J14" s="89" t="s">
        <v>92</v>
      </c>
      <c r="K14" s="44" t="s">
        <v>31</v>
      </c>
      <c r="L14" s="73" t="s">
        <v>97</v>
      </c>
    </row>
    <row r="15" spans="1:12" x14ac:dyDescent="0.35">
      <c r="A15" s="52">
        <v>9</v>
      </c>
      <c r="B15" s="130"/>
      <c r="C15" s="130"/>
      <c r="D15" s="84">
        <v>887</v>
      </c>
      <c r="E15" s="44" t="s">
        <v>146</v>
      </c>
      <c r="F15" s="46">
        <v>46146</v>
      </c>
      <c r="G15" s="44">
        <v>2</v>
      </c>
      <c r="H15" s="44"/>
      <c r="I15" s="44"/>
      <c r="J15" s="84" t="s">
        <v>89</v>
      </c>
      <c r="K15" s="44" t="s">
        <v>140</v>
      </c>
      <c r="L15" s="73" t="str">
        <f>IF(OR(NOT(ISERROR(MATCH(RIGHT(D15,3)+0,#REF!,0))),NOT(ISERROR(MATCH(LEFT(D15,3)+0,#REF!,0)))),"No Post","")</f>
        <v/>
      </c>
    </row>
    <row r="16" spans="1:12" x14ac:dyDescent="0.35">
      <c r="A16" s="52">
        <v>10</v>
      </c>
      <c r="B16" s="52"/>
      <c r="C16" s="52"/>
      <c r="D16" s="52"/>
      <c r="E16" s="52"/>
      <c r="F16" s="60"/>
      <c r="G16" s="52"/>
      <c r="H16" s="52"/>
      <c r="I16" s="52"/>
      <c r="J16" s="52"/>
      <c r="K16" s="52"/>
      <c r="L16" s="73" t="str">
        <f>IF(OR(NOT(ISERROR(MATCH(RIGHT(D16,3)+0,#REF!,0))),NOT(ISERROR(MATCH(LEFT(D16,3)+0,#REF!,0)))),"No Post","")</f>
        <v/>
      </c>
    </row>
    <row r="17" spans="1:12" ht="18.600000000000001" customHeight="1" x14ac:dyDescent="0.35">
      <c r="A17" s="52">
        <v>11</v>
      </c>
      <c r="B17" s="52"/>
      <c r="C17" s="52"/>
      <c r="D17" s="44"/>
      <c r="E17" s="45"/>
      <c r="F17" s="46"/>
      <c r="G17" s="44"/>
      <c r="H17" s="44"/>
      <c r="I17" s="44"/>
      <c r="J17" s="45"/>
      <c r="K17" s="45"/>
      <c r="L17" s="73" t="str">
        <f>IF(OR(NOT(ISERROR(MATCH(RIGHT(D17,3)+0,#REF!,0))),NOT(ISERROR(MATCH(LEFT(D17,3)+0,#REF!,0)))),"No Post","")</f>
        <v/>
      </c>
    </row>
    <row r="18" spans="1:12" ht="20.25" customHeight="1" x14ac:dyDescent="0.35">
      <c r="A18" s="47"/>
      <c r="B18" s="47"/>
      <c r="C18" s="47"/>
      <c r="D18" s="47"/>
      <c r="E18" s="47" t="str">
        <f>"Remaning: "&amp;IFERROR(MID(A5, SEARCH("MAX", A5) + LEN("MAX"), SEARCH("PAX", A5) - SEARCH("MAX", A5) - LEN("MAX")), "")+0-SUM(G18:H18)</f>
        <v>Remaning: 20</v>
      </c>
      <c r="F18" s="48" t="s">
        <v>19</v>
      </c>
      <c r="G18" s="49">
        <f>SUM(G17:G17)</f>
        <v>0</v>
      </c>
      <c r="H18" s="49">
        <f>SUM(H17:H17)</f>
        <v>0</v>
      </c>
      <c r="I18" s="47"/>
      <c r="J18" s="47"/>
      <c r="K18" s="47"/>
    </row>
    <row r="19" spans="1:12" ht="20.25" customHeight="1" x14ac:dyDescent="0.35">
      <c r="D19" s="8" t="s">
        <v>5</v>
      </c>
      <c r="E19" s="8"/>
      <c r="F19" s="33"/>
      <c r="G19" s="8"/>
      <c r="H19" s="8"/>
      <c r="I19" s="8"/>
    </row>
    <row r="20" spans="1:12" ht="20.25" customHeight="1" x14ac:dyDescent="0.35">
      <c r="D20" s="15" t="s">
        <v>6</v>
      </c>
      <c r="E20" s="9"/>
      <c r="F20" s="34"/>
      <c r="G20" s="9"/>
      <c r="H20" s="9"/>
      <c r="I20" s="9"/>
    </row>
    <row r="21" spans="1:12" ht="20.25" customHeight="1" x14ac:dyDescent="0.35">
      <c r="D21" s="15" t="s">
        <v>7</v>
      </c>
      <c r="E21" s="9"/>
      <c r="F21" s="34"/>
      <c r="G21" s="9"/>
      <c r="H21" s="9"/>
      <c r="I21" s="9"/>
    </row>
    <row r="22" spans="1:12" ht="20.25" customHeight="1" x14ac:dyDescent="0.35">
      <c r="D22" s="15" t="s">
        <v>8</v>
      </c>
      <c r="E22" s="9"/>
      <c r="F22" s="34"/>
      <c r="G22" s="9"/>
      <c r="H22" s="9"/>
      <c r="I22" s="9"/>
    </row>
    <row r="23" spans="1:12" x14ac:dyDescent="0.35">
      <c r="D23" s="15" t="s">
        <v>9</v>
      </c>
      <c r="E23" s="9"/>
      <c r="F23" s="34"/>
      <c r="G23" s="9"/>
      <c r="H23" s="9"/>
      <c r="I23" s="9"/>
    </row>
    <row r="24" spans="1:12" x14ac:dyDescent="0.35">
      <c r="D24" s="15" t="s">
        <v>10</v>
      </c>
      <c r="E24" s="9"/>
      <c r="F24" s="34"/>
      <c r="G24" s="9"/>
      <c r="H24" s="9"/>
      <c r="I24" s="9"/>
    </row>
    <row r="25" spans="1:12" x14ac:dyDescent="0.35">
      <c r="D25" s="15" t="s">
        <v>11</v>
      </c>
      <c r="E25" s="9"/>
      <c r="F25" s="34"/>
      <c r="G25" s="9"/>
      <c r="H25" s="9"/>
      <c r="I25" s="9"/>
    </row>
    <row r="26" spans="1:12" s="11" customFormat="1" ht="15.6" x14ac:dyDescent="0.3">
      <c r="D26" s="16" t="s">
        <v>12</v>
      </c>
      <c r="E26" s="10"/>
      <c r="F26" s="35"/>
      <c r="G26" s="10"/>
      <c r="H26" s="10"/>
    </row>
    <row r="27" spans="1:12" s="11" customFormat="1" ht="15.6" x14ac:dyDescent="0.3">
      <c r="D27" s="16" t="s">
        <v>13</v>
      </c>
      <c r="E27" s="10"/>
      <c r="F27" s="35"/>
      <c r="G27" s="10"/>
      <c r="H27" s="10"/>
    </row>
    <row r="28" spans="1:12" s="13" customFormat="1" ht="20.25" customHeight="1" x14ac:dyDescent="0.35">
      <c r="D28" s="17" t="s">
        <v>14</v>
      </c>
      <c r="E28" s="12"/>
      <c r="F28" s="36"/>
    </row>
    <row r="29" spans="1:12" s="8" customFormat="1" ht="14.4" x14ac:dyDescent="0.3">
      <c r="D29" s="14"/>
      <c r="E29" s="9"/>
      <c r="F29" s="34"/>
      <c r="G29" s="9"/>
      <c r="H29" s="9"/>
      <c r="I29" s="9"/>
    </row>
    <row r="30" spans="1:12" s="9" customFormat="1" ht="13.8" x14ac:dyDescent="0.3">
      <c r="F30" s="34"/>
    </row>
    <row r="31" spans="1:12" x14ac:dyDescent="0.35">
      <c r="D31" s="9"/>
      <c r="E31" s="9"/>
      <c r="F31" s="34"/>
      <c r="G31" s="9"/>
      <c r="H31" s="9"/>
      <c r="I31" s="9"/>
    </row>
    <row r="32" spans="1:12" x14ac:dyDescent="0.35">
      <c r="D32" s="8"/>
      <c r="E32" s="8"/>
      <c r="F32" s="33"/>
      <c r="G32" s="8"/>
      <c r="H32" s="8"/>
      <c r="I32" s="8"/>
    </row>
    <row r="33" spans="4:9" x14ac:dyDescent="0.35">
      <c r="D33" s="9"/>
      <c r="E33" s="9"/>
      <c r="F33" s="34"/>
      <c r="G33" s="9"/>
      <c r="H33" s="9"/>
      <c r="I33" s="9"/>
    </row>
    <row r="34" spans="4:9" x14ac:dyDescent="0.35">
      <c r="D34" s="9"/>
      <c r="E34" s="9"/>
      <c r="F34" s="34"/>
      <c r="G34" s="9"/>
      <c r="H34" s="9"/>
      <c r="I34" s="9"/>
    </row>
    <row r="35" spans="4:9" x14ac:dyDescent="0.35">
      <c r="D35" s="9"/>
      <c r="E35" s="9"/>
      <c r="F35" s="34"/>
      <c r="G35" s="9"/>
      <c r="H35" s="9"/>
      <c r="I35" s="9"/>
    </row>
    <row r="36" spans="4:9" x14ac:dyDescent="0.35">
      <c r="D36" s="9"/>
      <c r="E36" s="9"/>
      <c r="F36" s="34"/>
      <c r="G36" s="9"/>
      <c r="H36" s="9"/>
      <c r="I36" s="9"/>
    </row>
    <row r="37" spans="4:9" x14ac:dyDescent="0.35">
      <c r="D37" s="9"/>
      <c r="E37" s="9"/>
      <c r="F37" s="34"/>
      <c r="G37" s="9"/>
      <c r="H37" s="9"/>
      <c r="I37" s="9"/>
    </row>
    <row r="38" spans="4:9" x14ac:dyDescent="0.35">
      <c r="D38" s="9"/>
      <c r="E38" s="9"/>
      <c r="F38" s="34"/>
      <c r="G38" s="9"/>
      <c r="H38" s="9"/>
      <c r="I38" s="9"/>
    </row>
    <row r="39" spans="4:9" x14ac:dyDescent="0.35">
      <c r="D39" s="14"/>
      <c r="E39" s="9"/>
      <c r="F39" s="34"/>
      <c r="G39" s="9"/>
      <c r="H39" s="9"/>
      <c r="I39" s="9"/>
    </row>
    <row r="40" spans="4:9" x14ac:dyDescent="0.35">
      <c r="D40" s="9"/>
      <c r="E40" s="9"/>
      <c r="F40" s="34"/>
      <c r="G40" s="9"/>
      <c r="H40" s="9"/>
      <c r="I40" s="9"/>
    </row>
    <row r="42" spans="4:9" x14ac:dyDescent="0.35">
      <c r="D42" s="1"/>
      <c r="E42" s="1"/>
      <c r="F42" s="31"/>
      <c r="G42" s="1"/>
      <c r="H42" s="1"/>
      <c r="I42" s="1"/>
    </row>
    <row r="57" spans="4:9" x14ac:dyDescent="0.35">
      <c r="D57" s="9"/>
      <c r="E57" s="9"/>
      <c r="F57" s="34"/>
      <c r="G57" s="9"/>
      <c r="H57" s="9"/>
      <c r="I57" s="9"/>
    </row>
    <row r="58" spans="4:9" x14ac:dyDescent="0.35">
      <c r="D58" s="9"/>
      <c r="E58" s="9"/>
      <c r="F58" s="34"/>
      <c r="G58" s="9"/>
      <c r="H58" s="9"/>
      <c r="I58" s="9"/>
    </row>
    <row r="59" spans="4:9" x14ac:dyDescent="0.35">
      <c r="D59" s="9"/>
      <c r="E59" s="9"/>
      <c r="F59" s="34"/>
      <c r="G59" s="9"/>
      <c r="H59" s="9"/>
      <c r="I59" s="9"/>
    </row>
    <row r="60" spans="4:9" x14ac:dyDescent="0.35">
      <c r="D60" s="14"/>
      <c r="E60" s="9"/>
      <c r="F60" s="34"/>
      <c r="G60" s="9"/>
      <c r="H60" s="9"/>
      <c r="I60" s="9"/>
    </row>
    <row r="61" spans="4:9" x14ac:dyDescent="0.35">
      <c r="D61" s="9"/>
      <c r="E61" s="9"/>
      <c r="F61" s="34"/>
      <c r="G61" s="9"/>
      <c r="H61" s="9"/>
      <c r="I61" s="9"/>
    </row>
  </sheetData>
  <sortState ref="D7:L15">
    <sortCondition ref="D7"/>
  </sortState>
  <customSheetViews>
    <customSheetView guid="{B3797D0B-1E44-402B-AD05-6509081B1712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cale="86" showPageBreaks="1" printArea="1">
      <selection activeCell="E17" sqref="E17"/>
      <rowBreaks count="1" manualBreakCount="1">
        <brk id="38" min="3" max="10" man="1"/>
      </rowBreaks>
      <colBreaks count="1" manualBreakCount="1">
        <brk id="13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D8" sqref="D8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I5"/>
  </mergeCells>
  <conditionalFormatting sqref="L7:L17">
    <cfRule type="containsText" dxfId="29" priority="1" operator="containsText" text="No Post">
      <formula>NOT(ISERROR(SEARCH("No Post",L7)))</formula>
    </cfRule>
  </conditionalFormatting>
  <pageMargins left="0.17" right="0.17" top="0.75" bottom="0.75" header="0.3" footer="0.3"/>
  <pageSetup scale="64" orientation="landscape" r:id="rId4"/>
  <rowBreaks count="1" manualBreakCount="1">
    <brk id="38" min="3" max="10" man="1"/>
  </rowBreaks>
  <colBreaks count="1" manualBreakCount="1">
    <brk id="13" max="30" man="1"/>
  </colBrea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59"/>
  <sheetViews>
    <sheetView topLeftCell="A2" zoomScale="99" zoomScaleNormal="99" zoomScaleSheetLayoutView="100" workbookViewId="0">
      <selection activeCell="C14" sqref="C14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4" thickBot="1" x14ac:dyDescent="0.5">
      <c r="A5" s="218" t="s">
        <v>15</v>
      </c>
      <c r="B5" s="219"/>
      <c r="C5" s="219"/>
      <c r="D5" s="219"/>
      <c r="E5" s="219"/>
      <c r="F5" s="219"/>
      <c r="G5" s="219"/>
      <c r="H5" s="6" t="s">
        <v>18</v>
      </c>
      <c r="I5" s="3" t="str">
        <f ca="1">CONCATENATE((MID(CELL("filename",I5),FIND("]",CELL("filename",I5))+1,255)),"/05/2026")</f>
        <v>3/05/2026</v>
      </c>
    </row>
    <row r="6" spans="1:10" ht="18.600000000000001" thickBot="1" x14ac:dyDescent="0.4">
      <c r="A6" s="61"/>
      <c r="B6" s="96" t="s">
        <v>1</v>
      </c>
      <c r="C6" s="96" t="s">
        <v>2</v>
      </c>
      <c r="D6" s="97" t="s">
        <v>21</v>
      </c>
      <c r="E6" s="96" t="s">
        <v>16</v>
      </c>
      <c r="F6" s="96" t="s">
        <v>17</v>
      </c>
      <c r="G6" s="96" t="s">
        <v>3</v>
      </c>
      <c r="H6" s="98" t="s">
        <v>20</v>
      </c>
      <c r="I6" s="99" t="s">
        <v>4</v>
      </c>
    </row>
    <row r="7" spans="1:10" x14ac:dyDescent="0.35">
      <c r="A7" s="138">
        <v>1</v>
      </c>
      <c r="B7" s="135">
        <v>217</v>
      </c>
      <c r="C7" s="131" t="s">
        <v>161</v>
      </c>
      <c r="D7" s="132">
        <v>46146</v>
      </c>
      <c r="E7" s="131">
        <v>2</v>
      </c>
      <c r="F7" s="131"/>
      <c r="G7" s="131"/>
      <c r="H7" s="135" t="s">
        <v>89</v>
      </c>
      <c r="I7" s="131" t="s">
        <v>96</v>
      </c>
      <c r="J7" s="73" t="str">
        <f>IF(OR(NOT(ISERROR(MATCH(RIGHT(B7,3)+0,#REF!,0))),NOT(ISERROR(MATCH(LEFT(B7,3)+0,#REF!,0)))),"No Post","")</f>
        <v/>
      </c>
    </row>
    <row r="8" spans="1:10" x14ac:dyDescent="0.35">
      <c r="A8" s="137">
        <v>2</v>
      </c>
      <c r="B8" s="135">
        <v>611</v>
      </c>
      <c r="C8" s="133" t="s">
        <v>53</v>
      </c>
      <c r="D8" s="132">
        <v>46148</v>
      </c>
      <c r="E8" s="131">
        <v>2</v>
      </c>
      <c r="F8" s="131"/>
      <c r="G8" s="131"/>
      <c r="H8" s="135" t="s">
        <v>89</v>
      </c>
      <c r="I8" s="131" t="s">
        <v>50</v>
      </c>
      <c r="J8" s="73" t="str">
        <f>IF(OR(NOT(ISERROR(MATCH(RIGHT(B8,3)+0,#REF!,0))),NOT(ISERROR(MATCH(LEFT(B8,3)+0,#REF!,0)))),"No Post","")</f>
        <v/>
      </c>
    </row>
    <row r="9" spans="1:10" x14ac:dyDescent="0.35">
      <c r="A9" s="137">
        <v>3</v>
      </c>
      <c r="B9" s="135">
        <v>625</v>
      </c>
      <c r="C9" s="131" t="s">
        <v>155</v>
      </c>
      <c r="D9" s="132">
        <v>46146</v>
      </c>
      <c r="E9" s="131">
        <v>2</v>
      </c>
      <c r="F9" s="131"/>
      <c r="G9" s="131"/>
      <c r="H9" s="135" t="s">
        <v>89</v>
      </c>
      <c r="I9" s="131" t="s">
        <v>116</v>
      </c>
      <c r="J9" s="73" t="str">
        <f>IF(OR(NOT(ISERROR(MATCH(RIGHT(B9,3)+0,#REF!,0))),NOT(ISERROR(MATCH(LEFT(B9,3)+0,#REF!,0)))),"No Post","")</f>
        <v/>
      </c>
    </row>
    <row r="10" spans="1:10" x14ac:dyDescent="0.35">
      <c r="A10" s="137">
        <v>4</v>
      </c>
      <c r="B10" s="134">
        <v>852</v>
      </c>
      <c r="C10" s="131" t="s">
        <v>59</v>
      </c>
      <c r="D10" s="132">
        <v>46147</v>
      </c>
      <c r="E10" s="131">
        <v>2</v>
      </c>
      <c r="F10" s="131"/>
      <c r="G10" s="131"/>
      <c r="H10" s="134" t="s">
        <v>92</v>
      </c>
      <c r="I10" s="131" t="s">
        <v>58</v>
      </c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135" t="s">
        <v>163</v>
      </c>
      <c r="C11" s="131" t="s">
        <v>154</v>
      </c>
      <c r="D11" s="132">
        <v>46145</v>
      </c>
      <c r="E11" s="131">
        <v>2</v>
      </c>
      <c r="F11" s="131"/>
      <c r="G11" s="131"/>
      <c r="H11" s="135" t="s">
        <v>89</v>
      </c>
      <c r="I11" s="131" t="s">
        <v>96</v>
      </c>
      <c r="J11" s="73" t="str">
        <f>IF(OR(NOT(ISERROR(MATCH(RIGHT(B11,3)+0,#REF!,0))),NOT(ISERROR(MATCH(LEFT(B11,3)+0,#REF!,0)))),"No Post","")</f>
        <v/>
      </c>
    </row>
    <row r="12" spans="1:10" x14ac:dyDescent="0.35">
      <c r="A12" s="137">
        <v>6</v>
      </c>
      <c r="B12" s="136" t="s">
        <v>164</v>
      </c>
      <c r="C12" s="131" t="s">
        <v>150</v>
      </c>
      <c r="D12" s="132">
        <v>46145</v>
      </c>
      <c r="E12" s="131">
        <v>2</v>
      </c>
      <c r="F12" s="131"/>
      <c r="G12" s="131"/>
      <c r="H12" s="136" t="s">
        <v>101</v>
      </c>
      <c r="I12" s="131" t="s">
        <v>96</v>
      </c>
      <c r="J12" s="73" t="s">
        <v>97</v>
      </c>
    </row>
    <row r="13" spans="1:10" x14ac:dyDescent="0.35">
      <c r="A13" s="137">
        <v>7</v>
      </c>
      <c r="B13" s="136" t="s">
        <v>165</v>
      </c>
      <c r="C13" s="131" t="s">
        <v>149</v>
      </c>
      <c r="D13" s="132">
        <v>46145</v>
      </c>
      <c r="E13" s="131">
        <v>2</v>
      </c>
      <c r="F13" s="131"/>
      <c r="G13" s="131"/>
      <c r="H13" s="136" t="s">
        <v>101</v>
      </c>
      <c r="I13" s="131" t="s">
        <v>84</v>
      </c>
      <c r="J13" s="73" t="s">
        <v>97</v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9" ht="20.25" customHeight="1" x14ac:dyDescent="0.35">
      <c r="A17" s="62"/>
      <c r="B17" s="62"/>
      <c r="C17" s="47" t="str">
        <f>"Remaning: "&amp;IFERROR(MID(A5, SEARCH("MAX", A5) + LEN("MAX"), SEARCH("PAX", A5) - SEARCH("MAX", A5) - LEN("MAX")), "")+0-SUM(E17:F17)</f>
        <v>Remaning: 6</v>
      </c>
      <c r="D17" s="63" t="s">
        <v>19</v>
      </c>
      <c r="E17" s="64">
        <f>SUM(E7:E16)</f>
        <v>14</v>
      </c>
      <c r="F17" s="64">
        <f>SUM(F7:F16)</f>
        <v>0</v>
      </c>
      <c r="G17" s="62"/>
      <c r="H17" s="62"/>
      <c r="I17" s="62"/>
    </row>
    <row r="18" spans="1:9" ht="20.25" customHeight="1" x14ac:dyDescent="0.35">
      <c r="A18" s="65"/>
      <c r="B18" s="66" t="s">
        <v>5</v>
      </c>
      <c r="C18" s="66"/>
      <c r="D18" s="67"/>
      <c r="E18" s="66"/>
      <c r="F18" s="66"/>
      <c r="G18" s="66"/>
      <c r="H18" s="65"/>
      <c r="I18" s="65"/>
    </row>
    <row r="19" spans="1:9" ht="20.25" customHeight="1" x14ac:dyDescent="0.35">
      <c r="A19" s="65"/>
      <c r="B19" s="68" t="s">
        <v>6</v>
      </c>
      <c r="C19" s="69"/>
      <c r="D19" s="70"/>
      <c r="E19" s="69"/>
      <c r="F19" s="69"/>
      <c r="G19" s="69"/>
      <c r="H19" s="65"/>
      <c r="I19" s="65"/>
    </row>
    <row r="20" spans="1:9" ht="20.25" customHeight="1" x14ac:dyDescent="0.35">
      <c r="A20" s="65"/>
      <c r="B20" s="68" t="s">
        <v>7</v>
      </c>
      <c r="C20" s="69"/>
      <c r="D20" s="70"/>
      <c r="E20" s="69"/>
      <c r="F20" s="69"/>
      <c r="G20" s="69"/>
      <c r="H20" s="65"/>
      <c r="I20" s="65"/>
    </row>
    <row r="21" spans="1:9" ht="20.25" customHeight="1" x14ac:dyDescent="0.35">
      <c r="A21" s="65"/>
      <c r="B21" s="68" t="s">
        <v>8</v>
      </c>
      <c r="C21" s="69"/>
      <c r="D21" s="70"/>
      <c r="E21" s="69"/>
      <c r="F21" s="69"/>
      <c r="G21" s="69"/>
      <c r="H21" s="65"/>
      <c r="I21" s="65"/>
    </row>
    <row r="22" spans="1:9" x14ac:dyDescent="0.35">
      <c r="A22" s="65"/>
      <c r="B22" s="68" t="s">
        <v>9</v>
      </c>
      <c r="C22" s="69"/>
      <c r="D22" s="70"/>
      <c r="E22" s="69"/>
      <c r="F22" s="69"/>
      <c r="G22" s="69"/>
      <c r="H22" s="65"/>
      <c r="I22" s="65"/>
    </row>
    <row r="23" spans="1:9" x14ac:dyDescent="0.35">
      <c r="A23" s="65"/>
      <c r="B23" s="68" t="s">
        <v>10</v>
      </c>
      <c r="C23" s="69"/>
      <c r="D23" s="70"/>
      <c r="E23" s="69"/>
      <c r="F23" s="69"/>
      <c r="G23" s="69"/>
      <c r="H23" s="65"/>
      <c r="I23" s="65"/>
    </row>
    <row r="24" spans="1:9" x14ac:dyDescent="0.35">
      <c r="B24" s="15" t="s">
        <v>11</v>
      </c>
      <c r="C24" s="9"/>
      <c r="D24" s="34"/>
      <c r="E24" s="9"/>
      <c r="F24" s="9"/>
      <c r="G24" s="9"/>
    </row>
    <row r="25" spans="1:9" s="11" customFormat="1" ht="15.6" x14ac:dyDescent="0.3">
      <c r="B25" s="16" t="s">
        <v>12</v>
      </c>
      <c r="C25" s="10"/>
      <c r="D25" s="35"/>
      <c r="E25" s="10"/>
      <c r="F25" s="10"/>
    </row>
    <row r="26" spans="1:9" s="11" customFormat="1" ht="15.6" x14ac:dyDescent="0.3">
      <c r="B26" s="16" t="s">
        <v>13</v>
      </c>
      <c r="C26" s="10"/>
      <c r="D26" s="35"/>
      <c r="E26" s="10"/>
      <c r="F26" s="10"/>
    </row>
    <row r="27" spans="1:9" s="13" customFormat="1" ht="20.25" customHeight="1" x14ac:dyDescent="0.35">
      <c r="B27" s="17" t="s">
        <v>14</v>
      </c>
      <c r="C27" s="12"/>
      <c r="D27" s="36"/>
    </row>
    <row r="28" spans="1:9" s="8" customFormat="1" ht="14.4" x14ac:dyDescent="0.3">
      <c r="B28" s="14"/>
      <c r="C28" s="9"/>
      <c r="D28" s="34"/>
      <c r="E28" s="9"/>
      <c r="F28" s="9"/>
      <c r="G28" s="9"/>
    </row>
    <row r="29" spans="1:9" x14ac:dyDescent="0.35">
      <c r="B29" s="9"/>
      <c r="C29" s="9"/>
      <c r="D29" s="34"/>
      <c r="E29" s="9"/>
      <c r="F29" s="9"/>
      <c r="G29" s="9"/>
    </row>
    <row r="30" spans="1:9" x14ac:dyDescent="0.35">
      <c r="B30" s="8"/>
      <c r="C30" s="8"/>
      <c r="D30" s="33"/>
      <c r="E30" s="8"/>
      <c r="F30" s="8"/>
      <c r="G30" s="8"/>
    </row>
    <row r="31" spans="1:9" x14ac:dyDescent="0.35">
      <c r="B31" s="9"/>
      <c r="C31" s="9"/>
      <c r="D31" s="34"/>
      <c r="E31" s="9"/>
      <c r="F31" s="9"/>
      <c r="G31" s="9"/>
    </row>
    <row r="32" spans="1:9" x14ac:dyDescent="0.35">
      <c r="B32" s="9"/>
      <c r="C32" s="9"/>
      <c r="D32" s="34"/>
      <c r="E32" s="9"/>
      <c r="F32" s="9"/>
      <c r="G32" s="9"/>
    </row>
    <row r="33" spans="2:7" x14ac:dyDescent="0.35">
      <c r="B33" s="9"/>
      <c r="C33" s="9"/>
      <c r="D33" s="34"/>
      <c r="E33" s="9"/>
      <c r="F33" s="9"/>
      <c r="G33" s="9"/>
    </row>
    <row r="34" spans="2:7" x14ac:dyDescent="0.35">
      <c r="B34" s="9"/>
      <c r="C34" s="9"/>
      <c r="D34" s="34"/>
      <c r="E34" s="9"/>
      <c r="F34" s="9"/>
      <c r="G34" s="9"/>
    </row>
    <row r="35" spans="2:7" x14ac:dyDescent="0.35">
      <c r="B35" s="9"/>
      <c r="C35" s="9"/>
      <c r="D35" s="34"/>
      <c r="E35" s="9"/>
      <c r="F35" s="9"/>
      <c r="G35" s="9"/>
    </row>
    <row r="36" spans="2:7" x14ac:dyDescent="0.35">
      <c r="B36" s="9"/>
      <c r="C36" s="9"/>
      <c r="D36" s="34"/>
      <c r="E36" s="9"/>
      <c r="F36" s="9"/>
      <c r="G36" s="9"/>
    </row>
    <row r="37" spans="2:7" x14ac:dyDescent="0.35">
      <c r="B37" s="14"/>
      <c r="C37" s="9"/>
      <c r="D37" s="34"/>
      <c r="E37" s="9"/>
      <c r="F37" s="9"/>
      <c r="G37" s="9"/>
    </row>
    <row r="38" spans="2:7" x14ac:dyDescent="0.35">
      <c r="B38" s="9"/>
      <c r="C38" s="9"/>
      <c r="D38" s="34"/>
      <c r="E38" s="9"/>
      <c r="F38" s="9"/>
      <c r="G38" s="9"/>
    </row>
    <row r="40" spans="2:7" x14ac:dyDescent="0.35">
      <c r="B40" s="1"/>
      <c r="C40" s="1"/>
      <c r="D40" s="31"/>
      <c r="E40" s="1"/>
      <c r="F40" s="1"/>
      <c r="G40" s="1"/>
    </row>
    <row r="55" spans="2:7" x14ac:dyDescent="0.35">
      <c r="B55" s="9"/>
      <c r="C55" s="9"/>
      <c r="D55" s="34"/>
      <c r="E55" s="9"/>
      <c r="F55" s="9"/>
      <c r="G55" s="9"/>
    </row>
    <row r="56" spans="2:7" x14ac:dyDescent="0.35">
      <c r="B56" s="9"/>
      <c r="C56" s="9"/>
      <c r="D56" s="34"/>
      <c r="E56" s="9"/>
      <c r="F56" s="9"/>
      <c r="G56" s="9"/>
    </row>
    <row r="57" spans="2:7" x14ac:dyDescent="0.35">
      <c r="B57" s="9"/>
      <c r="C57" s="9"/>
      <c r="D57" s="34"/>
      <c r="E57" s="9"/>
      <c r="F57" s="9"/>
      <c r="G57" s="9"/>
    </row>
    <row r="58" spans="2:7" x14ac:dyDescent="0.35">
      <c r="B58" s="14"/>
      <c r="C58" s="9"/>
      <c r="D58" s="34"/>
      <c r="E58" s="9"/>
      <c r="F58" s="9"/>
      <c r="G58" s="9"/>
    </row>
    <row r="59" spans="2:7" x14ac:dyDescent="0.35">
      <c r="B59" s="9"/>
      <c r="C59" s="9"/>
      <c r="D59" s="34"/>
      <c r="E59" s="9"/>
      <c r="F59" s="9"/>
      <c r="G59" s="9"/>
    </row>
  </sheetData>
  <sortState ref="B7:J13">
    <sortCondition ref="B7"/>
  </sortState>
  <customSheetViews>
    <customSheetView guid="{B3797D0B-1E44-402B-AD05-6509081B1712}" scale="99" showPageBreaks="1" fitToPage="1" printArea="1" topLeftCell="A2">
      <selection activeCell="E12" activeCellId="1" sqref="E7:E9 E12:E13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paperSize="9" scale="86" orientation="landscape" r:id="rId1"/>
    </customSheetView>
    <customSheetView guid="{6222734F-EF03-4A42-A0AF-7421F8747AA6}" scale="99" showPageBreaks="1" fitToPage="1" printArea="1" topLeftCell="A2">
      <selection activeCell="C14" sqref="C14"/>
      <rowBreaks count="1" manualBreakCount="1">
        <brk id="27" min="1" max="8" man="1"/>
      </rowBreaks>
      <colBreaks count="1" manualBreakCount="1">
        <brk id="11" max="30" man="1"/>
      </colBreaks>
      <pageMargins left="0.17" right="0.17" top="0.75" bottom="0.75" header="0.3" footer="0.3"/>
      <pageSetup paperSize="9" scale="86" orientation="landscape" r:id="rId2"/>
    </customSheetView>
    <customSheetView guid="{AF620B39-788E-4983-8793-E9B224213D26}" fitToPage="1">
      <selection activeCell="B8" sqref="B8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paperSize="9" scale="70" orientation="landscape" r:id="rId3"/>
    </customSheetView>
  </customSheetViews>
  <mergeCells count="1">
    <mergeCell ref="A5:G5"/>
  </mergeCells>
  <conditionalFormatting sqref="J7:J16">
    <cfRule type="containsText" dxfId="28" priority="1" operator="containsText" text="No Post">
      <formula>NOT(ISERROR(SEARCH("No Post",J7)))</formula>
    </cfRule>
  </conditionalFormatting>
  <pageMargins left="0.17" right="0.17" top="0.75" bottom="0.75" header="0.3" footer="0.3"/>
  <pageSetup paperSize="9" scale="86" orientation="landscape" r:id="rId4"/>
  <rowBreaks count="1" manualBreakCount="1">
    <brk id="27" min="1" max="8" man="1"/>
  </rowBreaks>
  <colBreaks count="1" manualBreakCount="1">
    <brk id="11" max="30" man="1"/>
  </colBrea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8"/>
  <sheetViews>
    <sheetView zoomScaleNormal="100" zoomScaleSheetLayoutView="100" workbookViewId="0">
      <selection activeCell="L15" sqref="L15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7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2" width="11.44140625" style="4" bestFit="1" customWidth="1"/>
    <col min="13" max="16384" width="9.109375" style="4"/>
  </cols>
  <sheetData>
    <row r="2" spans="1:12" x14ac:dyDescent="0.35">
      <c r="E2" s="18" t="s">
        <v>0</v>
      </c>
      <c r="F2" s="30"/>
      <c r="G2" s="5"/>
      <c r="H2" s="5"/>
    </row>
    <row r="4" spans="1:12" s="1" customFormat="1" thickBot="1" x14ac:dyDescent="0.4">
      <c r="F4" s="31"/>
    </row>
    <row r="5" spans="1:12" s="2" customFormat="1" ht="24" thickBot="1" x14ac:dyDescent="0.5">
      <c r="A5" s="218" t="s">
        <v>15</v>
      </c>
      <c r="B5" s="219"/>
      <c r="C5" s="219"/>
      <c r="D5" s="219"/>
      <c r="E5" s="219"/>
      <c r="F5" s="219"/>
      <c r="G5" s="219"/>
      <c r="H5" s="219"/>
      <c r="I5" s="219"/>
      <c r="J5" s="6" t="s">
        <v>18</v>
      </c>
      <c r="K5" s="3" t="str">
        <f ca="1">CONCATENATE((MID(CELL("filename",K5),FIND("]",CELL("filename",K5))+1,255)),"/05/2026")</f>
        <v>4/05/2026</v>
      </c>
    </row>
    <row r="6" spans="1:12" x14ac:dyDescent="0.35">
      <c r="A6" s="38"/>
      <c r="B6" s="129"/>
      <c r="C6" s="129"/>
      <c r="D6" s="39" t="s">
        <v>1</v>
      </c>
      <c r="E6" s="39" t="s">
        <v>2</v>
      </c>
      <c r="F6" s="40" t="s">
        <v>21</v>
      </c>
      <c r="G6" s="39" t="s">
        <v>16</v>
      </c>
      <c r="H6" s="39" t="s">
        <v>17</v>
      </c>
      <c r="I6" s="39" t="s">
        <v>3</v>
      </c>
      <c r="J6" s="41" t="s">
        <v>20</v>
      </c>
      <c r="K6" s="42" t="s">
        <v>4</v>
      </c>
    </row>
    <row r="7" spans="1:12" x14ac:dyDescent="0.35">
      <c r="A7" s="52">
        <v>1</v>
      </c>
      <c r="B7" s="52"/>
      <c r="C7" s="52"/>
      <c r="D7" s="127">
        <v>621</v>
      </c>
      <c r="E7" s="52" t="s">
        <v>52</v>
      </c>
      <c r="F7" s="60">
        <v>46150</v>
      </c>
      <c r="G7" s="52">
        <v>2</v>
      </c>
      <c r="H7" s="52"/>
      <c r="I7" s="52"/>
      <c r="J7" s="127" t="s">
        <v>89</v>
      </c>
      <c r="K7" s="52" t="s">
        <v>50</v>
      </c>
      <c r="L7" s="73" t="str">
        <f>IF(OR(NOT(ISERROR(MATCH(RIGHT(D7,3)+0,#REF!,0))),NOT(ISERROR(MATCH(LEFT(D7,3)+0,#REF!,0)))),"No Post","")</f>
        <v/>
      </c>
    </row>
    <row r="8" spans="1:12" x14ac:dyDescent="0.35">
      <c r="A8" s="52">
        <v>2</v>
      </c>
      <c r="B8" s="52"/>
      <c r="C8" s="52"/>
      <c r="D8" s="142" t="s">
        <v>22</v>
      </c>
      <c r="E8" s="142" t="s">
        <v>59</v>
      </c>
      <c r="F8" s="143">
        <v>46147</v>
      </c>
      <c r="G8" s="142" t="s">
        <v>162</v>
      </c>
      <c r="H8" s="139"/>
      <c r="I8" s="139"/>
      <c r="J8" s="139">
        <v>3329178</v>
      </c>
      <c r="K8" s="139" t="s">
        <v>58</v>
      </c>
      <c r="L8" s="73" t="str">
        <f>IF(OR(NOT(ISERROR(MATCH(RIGHT(D8,3)+0,#REF!,0))),NOT(ISERROR(MATCH(LEFT(D8,3)+0,#REF!,0)))),"No Post","")</f>
        <v/>
      </c>
    </row>
    <row r="9" spans="1:12" x14ac:dyDescent="0.35">
      <c r="A9" s="52">
        <v>4</v>
      </c>
      <c r="B9" s="144"/>
      <c r="C9" s="144"/>
      <c r="D9" s="127" t="s">
        <v>176</v>
      </c>
      <c r="E9" s="52" t="s">
        <v>156</v>
      </c>
      <c r="F9" s="60">
        <v>46146</v>
      </c>
      <c r="G9" s="52">
        <v>2</v>
      </c>
      <c r="H9" s="52"/>
      <c r="I9" s="52"/>
      <c r="J9" s="127" t="s">
        <v>89</v>
      </c>
      <c r="K9" s="52" t="s">
        <v>93</v>
      </c>
      <c r="L9" s="73" t="str">
        <f>IF(OR(NOT(ISERROR(MATCH(RIGHT(D9,3)+0,#REF!,0))),NOT(ISERROR(MATCH(LEFT(D9,3)+0,#REF!,0)))),"No Post","")</f>
        <v/>
      </c>
    </row>
    <row r="10" spans="1:12" x14ac:dyDescent="0.35">
      <c r="A10" s="52">
        <v>5</v>
      </c>
      <c r="B10" s="52"/>
      <c r="C10" s="52"/>
      <c r="D10" s="127" t="s">
        <v>178</v>
      </c>
      <c r="E10" s="52" t="s">
        <v>158</v>
      </c>
      <c r="F10" s="60">
        <v>46146</v>
      </c>
      <c r="G10" s="52">
        <v>2</v>
      </c>
      <c r="H10" s="52"/>
      <c r="I10" s="52"/>
      <c r="J10" s="127" t="s">
        <v>89</v>
      </c>
      <c r="K10" s="52" t="s">
        <v>157</v>
      </c>
      <c r="L10" s="73" t="str">
        <f>IF(OR(NOT(ISERROR(MATCH(RIGHT(D10,3)+0,#REF!,0))),NOT(ISERROR(MATCH(LEFT(D10,3)+0,#REF!,0)))),"No Post","")</f>
        <v/>
      </c>
    </row>
    <row r="11" spans="1:12" x14ac:dyDescent="0.35">
      <c r="A11" s="52">
        <v>6</v>
      </c>
      <c r="B11" s="144"/>
      <c r="C11" s="144"/>
      <c r="D11" s="85">
        <v>866</v>
      </c>
      <c r="E11" s="44" t="s">
        <v>107</v>
      </c>
      <c r="F11" s="46">
        <v>46150</v>
      </c>
      <c r="G11" s="44">
        <v>2</v>
      </c>
      <c r="H11" s="44"/>
      <c r="I11" s="44"/>
      <c r="J11" s="85" t="s">
        <v>108</v>
      </c>
      <c r="K11" s="44" t="s">
        <v>109</v>
      </c>
      <c r="L11" s="73" t="str">
        <f>IF(OR(NOT(ISERROR(MATCH(RIGHT(D11,3)+0,#REF!,0))),NOT(ISERROR(MATCH(LEFT(D11,3)+0,#REF!,0)))),"No Post","")</f>
        <v/>
      </c>
    </row>
    <row r="12" spans="1:12" x14ac:dyDescent="0.35">
      <c r="A12" s="52">
        <v>7</v>
      </c>
      <c r="B12" s="144"/>
      <c r="C12" s="144"/>
      <c r="D12" s="127">
        <v>614</v>
      </c>
      <c r="E12" s="52" t="s">
        <v>170</v>
      </c>
      <c r="F12" s="60">
        <v>46147</v>
      </c>
      <c r="G12" s="52">
        <v>2</v>
      </c>
      <c r="H12" s="52">
        <v>1</v>
      </c>
      <c r="I12" s="52"/>
      <c r="J12" s="127" t="s">
        <v>89</v>
      </c>
      <c r="K12" s="52" t="s">
        <v>93</v>
      </c>
      <c r="L12" s="73" t="s">
        <v>181</v>
      </c>
    </row>
    <row r="13" spans="1:12" x14ac:dyDescent="0.35">
      <c r="A13" s="52">
        <v>8</v>
      </c>
      <c r="B13" s="52"/>
      <c r="C13" s="52"/>
      <c r="D13" s="127" t="s">
        <v>177</v>
      </c>
      <c r="E13" s="52" t="s">
        <v>159</v>
      </c>
      <c r="F13" s="60">
        <v>46146</v>
      </c>
      <c r="G13" s="52">
        <v>2</v>
      </c>
      <c r="H13" s="52"/>
      <c r="I13" s="52"/>
      <c r="J13" s="127" t="s">
        <v>89</v>
      </c>
      <c r="K13" s="52" t="s">
        <v>157</v>
      </c>
      <c r="L13" s="73" t="str">
        <f>IF(OR(NOT(ISERROR(MATCH(RIGHT(D13,3)+0,#REF!,0))),NOT(ISERROR(MATCH(LEFT(D13,3)+0,#REF!,0)))),"No Post","")</f>
        <v/>
      </c>
    </row>
    <row r="14" spans="1:12" x14ac:dyDescent="0.35">
      <c r="A14" s="52">
        <v>9</v>
      </c>
      <c r="B14" s="144"/>
      <c r="C14" s="144"/>
      <c r="D14" s="139">
        <v>876</v>
      </c>
      <c r="E14" s="139" t="s">
        <v>171</v>
      </c>
      <c r="F14" s="140">
        <v>46149</v>
      </c>
      <c r="G14" s="139">
        <v>2</v>
      </c>
      <c r="H14" s="139"/>
      <c r="I14" s="139"/>
      <c r="J14" s="141" t="s">
        <v>89</v>
      </c>
      <c r="K14" s="139" t="s">
        <v>139</v>
      </c>
      <c r="L14" s="73" t="str">
        <f>IF(OR(NOT(ISERROR(MATCH(RIGHT(D14,3)+0,#REF!,0))),NOT(ISERROR(MATCH(LEFT(D14,3)+0,#REF!,0)))),"No Post","")</f>
        <v/>
      </c>
    </row>
    <row r="15" spans="1:12" x14ac:dyDescent="0.35">
      <c r="A15" s="52">
        <v>10</v>
      </c>
      <c r="B15" s="52"/>
      <c r="C15" s="52"/>
      <c r="D15" s="52"/>
      <c r="E15" s="52"/>
      <c r="F15" s="60"/>
      <c r="G15" s="52"/>
      <c r="H15" s="52"/>
      <c r="I15" s="52"/>
      <c r="J15" s="52"/>
      <c r="K15" s="52"/>
      <c r="L15" s="73" t="str">
        <f>IF(OR(NOT(ISERROR(MATCH(RIGHT(D15,3)+0,#REF!,0))),NOT(ISERROR(MATCH(LEFT(D15,3)+0,#REF!,0)))),"No Post","")</f>
        <v/>
      </c>
    </row>
    <row r="16" spans="1:12" ht="20.25" customHeight="1" x14ac:dyDescent="0.35">
      <c r="A16" s="47"/>
      <c r="B16" s="47"/>
      <c r="C16" s="47"/>
      <c r="D16" s="47"/>
      <c r="E16" s="47" t="str">
        <f>"Remaning: "&amp;IFERROR(MID(A5, SEARCH("MAX", A5) + LEN("MAX"), SEARCH("PAX", A5) - SEARCH("MAX", A5) - LEN("MAX")), "")+0-SUM(G16:H16)</f>
        <v>Remaning: 5</v>
      </c>
      <c r="F16" s="48" t="s">
        <v>19</v>
      </c>
      <c r="G16" s="49">
        <f>SUM(G7:G15)</f>
        <v>14</v>
      </c>
      <c r="H16" s="49">
        <f>SUM(H7:H15)</f>
        <v>1</v>
      </c>
      <c r="I16" s="47"/>
      <c r="J16" s="47"/>
      <c r="K16" s="47"/>
    </row>
    <row r="17" spans="4:12" ht="20.25" customHeight="1" x14ac:dyDescent="0.35">
      <c r="D17" s="8" t="s">
        <v>5</v>
      </c>
      <c r="E17" s="8"/>
      <c r="F17" s="33"/>
      <c r="G17" s="8"/>
      <c r="H17" s="8"/>
      <c r="I17" s="8"/>
    </row>
    <row r="18" spans="4:12" ht="20.25" customHeight="1" x14ac:dyDescent="0.35">
      <c r="D18" s="15" t="s">
        <v>6</v>
      </c>
      <c r="E18" s="9"/>
      <c r="F18" s="34"/>
      <c r="G18" s="9"/>
      <c r="H18" s="9"/>
      <c r="I18" s="9"/>
    </row>
    <row r="19" spans="4:12" ht="20.25" customHeight="1" x14ac:dyDescent="0.35">
      <c r="D19" s="15" t="s">
        <v>7</v>
      </c>
      <c r="E19" s="9"/>
      <c r="F19" s="34"/>
      <c r="G19" s="9"/>
      <c r="H19" s="9"/>
      <c r="I19" s="9"/>
      <c r="L19" s="145"/>
    </row>
    <row r="20" spans="4:12" ht="20.25" customHeight="1" x14ac:dyDescent="0.35">
      <c r="D20" s="15" t="s">
        <v>8</v>
      </c>
      <c r="E20" s="9"/>
      <c r="F20" s="34"/>
      <c r="G20" s="9"/>
      <c r="H20" s="9"/>
      <c r="I20" s="9"/>
    </row>
    <row r="21" spans="4:12" x14ac:dyDescent="0.35">
      <c r="D21" s="15" t="s">
        <v>9</v>
      </c>
      <c r="E21" s="9"/>
      <c r="F21" s="34"/>
      <c r="G21" s="9"/>
      <c r="H21" s="9"/>
      <c r="I21" s="9"/>
    </row>
    <row r="22" spans="4:12" x14ac:dyDescent="0.35">
      <c r="D22" s="15" t="s">
        <v>10</v>
      </c>
      <c r="E22" s="9"/>
      <c r="F22" s="34"/>
      <c r="G22" s="9"/>
      <c r="H22" s="9"/>
      <c r="I22" s="9"/>
    </row>
    <row r="23" spans="4:12" x14ac:dyDescent="0.35">
      <c r="D23" s="15" t="s">
        <v>11</v>
      </c>
      <c r="E23" s="9"/>
      <c r="F23" s="34"/>
      <c r="G23" s="9"/>
      <c r="H23" s="9"/>
      <c r="I23" s="9"/>
    </row>
    <row r="24" spans="4:12" s="11" customFormat="1" ht="15.6" x14ac:dyDescent="0.3">
      <c r="D24" s="16" t="s">
        <v>12</v>
      </c>
      <c r="E24" s="10"/>
      <c r="F24" s="35"/>
      <c r="G24" s="10"/>
      <c r="H24" s="10"/>
    </row>
    <row r="25" spans="4:12" s="11" customFormat="1" ht="15.6" x14ac:dyDescent="0.3">
      <c r="D25" s="16" t="s">
        <v>13</v>
      </c>
      <c r="E25" s="10"/>
      <c r="F25" s="35"/>
      <c r="G25" s="10"/>
      <c r="H25" s="10"/>
    </row>
    <row r="26" spans="4:12" s="13" customFormat="1" ht="20.25" customHeight="1" x14ac:dyDescent="0.35">
      <c r="D26" s="17" t="s">
        <v>14</v>
      </c>
      <c r="E26" s="12"/>
      <c r="F26" s="36"/>
    </row>
    <row r="27" spans="4:12" s="8" customFormat="1" ht="14.4" x14ac:dyDescent="0.3">
      <c r="D27" s="14"/>
      <c r="E27" s="9"/>
      <c r="F27" s="34"/>
      <c r="G27" s="9"/>
      <c r="H27" s="9"/>
      <c r="I27" s="9"/>
    </row>
    <row r="28" spans="4:12" x14ac:dyDescent="0.35">
      <c r="D28" s="9"/>
      <c r="E28" s="9"/>
      <c r="F28" s="34"/>
      <c r="G28" s="9"/>
      <c r="H28" s="9"/>
      <c r="I28" s="9"/>
    </row>
    <row r="29" spans="4:12" x14ac:dyDescent="0.35">
      <c r="D29" s="8"/>
      <c r="E29" s="8"/>
      <c r="F29" s="33"/>
      <c r="G29" s="8"/>
      <c r="H29" s="8"/>
      <c r="I29" s="8"/>
    </row>
    <row r="30" spans="4:12" x14ac:dyDescent="0.35">
      <c r="D30" s="9"/>
      <c r="E30" s="9"/>
      <c r="F30" s="34"/>
      <c r="G30" s="9"/>
      <c r="H30" s="9"/>
      <c r="I30" s="9"/>
    </row>
    <row r="31" spans="4:12" x14ac:dyDescent="0.35">
      <c r="D31" s="9"/>
      <c r="E31" s="9"/>
      <c r="F31" s="34"/>
      <c r="G31" s="9"/>
      <c r="H31" s="9"/>
      <c r="I31" s="9"/>
    </row>
    <row r="32" spans="4:12" x14ac:dyDescent="0.35">
      <c r="D32" s="9"/>
      <c r="E32" s="9"/>
      <c r="F32" s="34"/>
      <c r="G32" s="9"/>
      <c r="H32" s="9"/>
      <c r="I32" s="9"/>
    </row>
    <row r="33" spans="4:9" x14ac:dyDescent="0.35">
      <c r="D33" s="9"/>
      <c r="E33" s="9"/>
      <c r="F33" s="34"/>
      <c r="G33" s="9"/>
      <c r="H33" s="9"/>
      <c r="I33" s="9"/>
    </row>
    <row r="34" spans="4:9" x14ac:dyDescent="0.35">
      <c r="D34" s="9"/>
      <c r="E34" s="9"/>
      <c r="F34" s="34"/>
      <c r="G34" s="9"/>
      <c r="H34" s="9"/>
      <c r="I34" s="9"/>
    </row>
    <row r="35" spans="4:9" x14ac:dyDescent="0.35">
      <c r="D35" s="9"/>
      <c r="E35" s="9"/>
      <c r="F35" s="34"/>
      <c r="G35" s="9"/>
      <c r="H35" s="9"/>
      <c r="I35" s="9"/>
    </row>
    <row r="36" spans="4:9" x14ac:dyDescent="0.35">
      <c r="D36" s="14"/>
      <c r="E36" s="9"/>
      <c r="F36" s="34"/>
      <c r="G36" s="9"/>
      <c r="H36" s="9"/>
      <c r="I36" s="9"/>
    </row>
    <row r="37" spans="4:9" x14ac:dyDescent="0.35">
      <c r="D37" s="9"/>
      <c r="E37" s="9"/>
      <c r="F37" s="34"/>
      <c r="G37" s="9"/>
      <c r="H37" s="9"/>
      <c r="I37" s="9"/>
    </row>
    <row r="39" spans="4:9" x14ac:dyDescent="0.35">
      <c r="D39" s="1"/>
      <c r="E39" s="1"/>
      <c r="F39" s="31"/>
      <c r="G39" s="1"/>
      <c r="H39" s="1"/>
      <c r="I39" s="1"/>
    </row>
    <row r="54" spans="4:9" x14ac:dyDescent="0.35">
      <c r="D54" s="9"/>
      <c r="E54" s="9"/>
      <c r="F54" s="34"/>
      <c r="G54" s="9"/>
      <c r="H54" s="9"/>
      <c r="I54" s="9"/>
    </row>
    <row r="55" spans="4:9" x14ac:dyDescent="0.35">
      <c r="D55" s="9"/>
      <c r="E55" s="9"/>
      <c r="F55" s="34"/>
      <c r="G55" s="9"/>
      <c r="H55" s="9"/>
      <c r="I55" s="9"/>
    </row>
    <row r="56" spans="4:9" x14ac:dyDescent="0.35">
      <c r="D56" s="9"/>
      <c r="E56" s="9"/>
      <c r="F56" s="34"/>
      <c r="G56" s="9"/>
      <c r="H56" s="9"/>
      <c r="I56" s="9"/>
    </row>
    <row r="57" spans="4:9" x14ac:dyDescent="0.35">
      <c r="D57" s="14"/>
      <c r="E57" s="9"/>
      <c r="F57" s="34"/>
      <c r="G57" s="9"/>
      <c r="H57" s="9"/>
      <c r="I57" s="9"/>
    </row>
    <row r="58" spans="4:9" x14ac:dyDescent="0.35">
      <c r="D58" s="9"/>
      <c r="E58" s="9"/>
      <c r="F58" s="34"/>
      <c r="G58" s="9"/>
      <c r="H58" s="9"/>
      <c r="I58" s="9"/>
    </row>
  </sheetData>
  <customSheetViews>
    <customSheetView guid="{B3797D0B-1E44-402B-AD05-6509081B1712}" showPageBreaks="1" printArea="1">
      <selection activeCell="L15" sqref="L15"/>
      <rowBreaks count="1" manualBreakCount="1">
        <brk id="26" min="3" max="10" man="1"/>
      </rowBreaks>
      <colBreaks count="1" manualBreakCount="1">
        <brk id="13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L15" sqref="L15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I8" sqref="I8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I5"/>
  </mergeCells>
  <conditionalFormatting sqref="L7:L15">
    <cfRule type="containsText" dxfId="27" priority="1" operator="containsText" text="No Post">
      <formula>NOT(ISERROR(SEARCH("No Post",L7)))</formula>
    </cfRule>
  </conditionalFormatting>
  <pageMargins left="0.17" right="0.17" top="0.75" bottom="0.75" header="0.3" footer="0.3"/>
  <pageSetup scale="64" orientation="landscape" r:id="rId4"/>
  <rowBreaks count="1" manualBreakCount="1">
    <brk id="37" min="1" max="8" man="1"/>
  </rowBreaks>
  <colBreaks count="1" manualBreakCount="1">
    <brk id="11" max="30" man="1"/>
  </colBrea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6"/>
  <sheetViews>
    <sheetView topLeftCell="A4" zoomScaleNormal="100" zoomScaleSheetLayoutView="100" workbookViewId="0">
      <selection activeCell="G7" sqref="G7:G19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7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0"/>
      <c r="G2" s="5"/>
      <c r="H2" s="5"/>
    </row>
    <row r="4" spans="1:12" s="1" customFormat="1" thickBot="1" x14ac:dyDescent="0.4">
      <c r="F4" s="31"/>
    </row>
    <row r="5" spans="1:12" s="2" customFormat="1" ht="24" thickBot="1" x14ac:dyDescent="0.5">
      <c r="A5" s="218" t="s">
        <v>15</v>
      </c>
      <c r="B5" s="219"/>
      <c r="C5" s="219"/>
      <c r="D5" s="219"/>
      <c r="E5" s="219"/>
      <c r="F5" s="219"/>
      <c r="G5" s="219"/>
      <c r="H5" s="219"/>
      <c r="I5" s="219"/>
      <c r="J5" s="6" t="s">
        <v>18</v>
      </c>
      <c r="K5" s="3" t="str">
        <f ca="1">CONCATENATE((MID(CELL("filename",K5),FIND("]",CELL("filename",K5))+1,255)),"/05/2026")</f>
        <v>5/05/2026</v>
      </c>
    </row>
    <row r="6" spans="1:12" x14ac:dyDescent="0.35">
      <c r="A6" s="38"/>
      <c r="B6" s="129"/>
      <c r="C6" s="129"/>
      <c r="D6" s="39" t="s">
        <v>1</v>
      </c>
      <c r="E6" s="39" t="s">
        <v>2</v>
      </c>
      <c r="F6" s="40" t="s">
        <v>21</v>
      </c>
      <c r="G6" s="39" t="s">
        <v>16</v>
      </c>
      <c r="H6" s="39" t="s">
        <v>17</v>
      </c>
      <c r="I6" s="39" t="s">
        <v>3</v>
      </c>
      <c r="J6" s="41" t="s">
        <v>20</v>
      </c>
      <c r="K6" s="42" t="s">
        <v>4</v>
      </c>
    </row>
    <row r="7" spans="1:12" x14ac:dyDescent="0.35">
      <c r="A7" s="52">
        <v>1</v>
      </c>
      <c r="B7" s="52"/>
      <c r="C7" s="154"/>
      <c r="D7" s="85">
        <v>302</v>
      </c>
      <c r="E7" s="44" t="s">
        <v>122</v>
      </c>
      <c r="F7" s="46">
        <v>46152</v>
      </c>
      <c r="G7" s="44">
        <v>2</v>
      </c>
      <c r="H7" s="44"/>
      <c r="I7" s="44"/>
      <c r="J7" s="85" t="s">
        <v>92</v>
      </c>
      <c r="K7" s="44" t="s">
        <v>84</v>
      </c>
      <c r="L7" s="73" t="s">
        <v>97</v>
      </c>
    </row>
    <row r="8" spans="1:12" x14ac:dyDescent="0.35">
      <c r="A8" s="52">
        <v>2</v>
      </c>
      <c r="B8" s="52"/>
      <c r="C8" s="154"/>
      <c r="D8" s="84">
        <v>319</v>
      </c>
      <c r="E8" s="146" t="s">
        <v>45</v>
      </c>
      <c r="F8" s="46">
        <v>46149</v>
      </c>
      <c r="G8" s="44">
        <v>1</v>
      </c>
      <c r="H8" s="44"/>
      <c r="I8" s="44"/>
      <c r="J8" s="152" t="s">
        <v>89</v>
      </c>
      <c r="K8" s="44" t="s">
        <v>44</v>
      </c>
      <c r="L8" s="73" t="str">
        <f>IF(OR(NOT(ISERROR(MATCH(RIGHT(D8,3)+0,#REF!,0))),NOT(ISERROR(MATCH(LEFT(D8,3)+0,#REF!,0)))),"No Post","")</f>
        <v/>
      </c>
    </row>
    <row r="9" spans="1:12" x14ac:dyDescent="0.35">
      <c r="A9" s="52">
        <v>3</v>
      </c>
      <c r="B9" s="52"/>
      <c r="C9" s="154"/>
      <c r="D9" s="151">
        <v>617</v>
      </c>
      <c r="E9" s="44" t="s">
        <v>160</v>
      </c>
      <c r="F9" s="46">
        <v>46124</v>
      </c>
      <c r="G9" s="44">
        <v>3</v>
      </c>
      <c r="H9" s="44"/>
      <c r="I9" s="44"/>
      <c r="J9" s="151" t="s">
        <v>193</v>
      </c>
      <c r="K9" s="44" t="s">
        <v>116</v>
      </c>
      <c r="L9" s="73" t="str">
        <f>IF(OR(NOT(ISERROR(MATCH(RIGHT(D9,3)+0,#REF!,0))),NOT(ISERROR(MATCH(LEFT(D9,3)+0,#REF!,0)))),"No Post","")</f>
        <v/>
      </c>
    </row>
    <row r="10" spans="1:12" x14ac:dyDescent="0.35">
      <c r="A10" s="52">
        <v>4</v>
      </c>
      <c r="B10" s="52"/>
      <c r="C10" s="154"/>
      <c r="D10" s="90">
        <v>668</v>
      </c>
      <c r="E10" s="44" t="s">
        <v>180</v>
      </c>
      <c r="F10" s="46">
        <v>46148</v>
      </c>
      <c r="G10" s="44">
        <v>2</v>
      </c>
      <c r="H10" s="44"/>
      <c r="I10" s="44"/>
      <c r="J10" s="90" t="s">
        <v>101</v>
      </c>
      <c r="K10" s="44" t="s">
        <v>84</v>
      </c>
      <c r="L10" s="73" t="s">
        <v>97</v>
      </c>
    </row>
    <row r="11" spans="1:12" x14ac:dyDescent="0.35">
      <c r="A11" s="52">
        <v>5</v>
      </c>
      <c r="B11" s="52"/>
      <c r="C11" s="154"/>
      <c r="D11" s="84">
        <v>689</v>
      </c>
      <c r="E11" s="146" t="s">
        <v>39</v>
      </c>
      <c r="F11" s="46">
        <v>46150</v>
      </c>
      <c r="G11" s="44">
        <v>2</v>
      </c>
      <c r="H11" s="44"/>
      <c r="I11" s="44"/>
      <c r="J11" s="152" t="s">
        <v>89</v>
      </c>
      <c r="K11" s="44" t="s">
        <v>31</v>
      </c>
      <c r="L11" s="73" t="str">
        <f>IF(OR(NOT(ISERROR(MATCH(RIGHT(D11,3)+0,#REF!,0))),NOT(ISERROR(MATCH(LEFT(D11,3)+0,#REF!,0)))),"No Post","")</f>
        <v/>
      </c>
    </row>
    <row r="12" spans="1:12" x14ac:dyDescent="0.35">
      <c r="A12" s="52">
        <v>6</v>
      </c>
      <c r="B12" s="52"/>
      <c r="C12" s="154"/>
      <c r="D12" s="84">
        <v>843</v>
      </c>
      <c r="E12" s="44" t="s">
        <v>51</v>
      </c>
      <c r="F12" s="46">
        <v>46149</v>
      </c>
      <c r="G12" s="44">
        <v>2</v>
      </c>
      <c r="H12" s="44"/>
      <c r="I12" s="44"/>
      <c r="J12" s="84" t="s">
        <v>89</v>
      </c>
      <c r="K12" s="44" t="s">
        <v>50</v>
      </c>
      <c r="L12" s="73" t="str">
        <f>IF(OR(NOT(ISERROR(MATCH(RIGHT(D20,3)+0,#REF!,0))),NOT(ISERROR(MATCH(LEFT(D20,3)+0,#REF!,0)))),"No Post","")</f>
        <v/>
      </c>
    </row>
    <row r="13" spans="1:12" x14ac:dyDescent="0.35">
      <c r="A13" s="52">
        <v>7</v>
      </c>
      <c r="B13" s="52"/>
      <c r="C13" s="154"/>
      <c r="D13" s="84">
        <v>857</v>
      </c>
      <c r="E13" s="44" t="s">
        <v>60</v>
      </c>
      <c r="F13" s="46">
        <v>46149</v>
      </c>
      <c r="G13" s="44" t="s">
        <v>152</v>
      </c>
      <c r="H13" s="44"/>
      <c r="I13" s="44"/>
      <c r="J13" s="84" t="s">
        <v>89</v>
      </c>
      <c r="K13" s="44" t="s">
        <v>58</v>
      </c>
      <c r="L13" s="73" t="str">
        <f>IF(OR(NOT(ISERROR(MATCH(RIGHT(D13,3)+0,#REF!,0))),NOT(ISERROR(MATCH(LEFT(D13,3)+0,#REF!,0)))),"No Post","")</f>
        <v/>
      </c>
    </row>
    <row r="14" spans="1:12" x14ac:dyDescent="0.35">
      <c r="A14" s="52">
        <v>8</v>
      </c>
      <c r="B14" s="52"/>
      <c r="C14" s="154"/>
      <c r="D14" s="84">
        <v>885</v>
      </c>
      <c r="E14" s="44" t="s">
        <v>183</v>
      </c>
      <c r="F14" s="46">
        <v>46150</v>
      </c>
      <c r="G14" s="44">
        <v>2</v>
      </c>
      <c r="H14" s="44"/>
      <c r="I14" s="44"/>
      <c r="J14" s="84" t="s">
        <v>89</v>
      </c>
      <c r="K14" s="44" t="s">
        <v>182</v>
      </c>
      <c r="L14" s="73" t="str">
        <f>IF(OR(NOT(ISERROR(MATCH(RIGHT(D14,3)+0,#REF!,0))),NOT(ISERROR(MATCH(LEFT(D14,3)+0,#REF!,0)))),"No Post","")</f>
        <v/>
      </c>
    </row>
    <row r="15" spans="1:12" x14ac:dyDescent="0.35">
      <c r="A15" s="52">
        <v>9</v>
      </c>
      <c r="B15" s="52"/>
      <c r="C15" s="155"/>
      <c r="D15" s="90">
        <v>892</v>
      </c>
      <c r="E15" s="44" t="s">
        <v>179</v>
      </c>
      <c r="F15" s="46">
        <v>46150</v>
      </c>
      <c r="G15" s="44">
        <v>2</v>
      </c>
      <c r="H15" s="44"/>
      <c r="I15" s="44"/>
      <c r="J15" s="90" t="s">
        <v>101</v>
      </c>
      <c r="K15" s="44" t="s">
        <v>84</v>
      </c>
      <c r="L15" s="73" t="s">
        <v>97</v>
      </c>
    </row>
    <row r="16" spans="1:12" x14ac:dyDescent="0.35">
      <c r="A16" s="52">
        <v>10</v>
      </c>
      <c r="B16" s="52"/>
      <c r="C16" s="154"/>
      <c r="D16" s="84" t="s">
        <v>163</v>
      </c>
      <c r="E16" s="44" t="s">
        <v>154</v>
      </c>
      <c r="F16" s="46">
        <v>46145</v>
      </c>
      <c r="G16" s="44">
        <v>2</v>
      </c>
      <c r="H16" s="44"/>
      <c r="I16" s="44"/>
      <c r="J16" s="84" t="s">
        <v>89</v>
      </c>
      <c r="K16" s="44" t="s">
        <v>151</v>
      </c>
      <c r="L16" s="73" t="str">
        <f>IF(OR(NOT(ISERROR(MATCH(RIGHT(D16,3)+0,#REF!,0))),NOT(ISERROR(MATCH(LEFT(D16,3)+0,#REF!,0)))),"No Post","")</f>
        <v/>
      </c>
    </row>
    <row r="17" spans="1:12" ht="18.600000000000001" customHeight="1" x14ac:dyDescent="0.35">
      <c r="A17" s="52">
        <v>11</v>
      </c>
      <c r="B17" s="52"/>
      <c r="C17" s="155"/>
      <c r="D17" s="84" t="s">
        <v>178</v>
      </c>
      <c r="E17" s="44" t="s">
        <v>158</v>
      </c>
      <c r="F17" s="46">
        <v>46146</v>
      </c>
      <c r="G17" s="44">
        <v>2</v>
      </c>
      <c r="H17" s="44"/>
      <c r="I17" s="44"/>
      <c r="J17" s="84" t="s">
        <v>89</v>
      </c>
      <c r="K17" s="44" t="s">
        <v>157</v>
      </c>
      <c r="L17" s="73" t="str">
        <f>IF(OR(NOT(ISERROR(MATCH(RIGHT(D17,3)+0,#REF!,0))),NOT(ISERROR(MATCH(LEFT(D17,3)+0,#REF!,0)))),"No Post","")</f>
        <v/>
      </c>
    </row>
    <row r="18" spans="1:12" ht="18.600000000000001" customHeight="1" x14ac:dyDescent="0.35">
      <c r="A18" s="52">
        <v>12</v>
      </c>
      <c r="B18" s="52"/>
      <c r="C18" s="154"/>
      <c r="D18" s="84" t="s">
        <v>177</v>
      </c>
      <c r="E18" s="44" t="s">
        <v>159</v>
      </c>
      <c r="F18" s="46">
        <v>46146</v>
      </c>
      <c r="G18" s="44">
        <v>2</v>
      </c>
      <c r="H18" s="44"/>
      <c r="I18" s="44"/>
      <c r="J18" s="84" t="s">
        <v>89</v>
      </c>
      <c r="K18" s="44" t="s">
        <v>157</v>
      </c>
      <c r="L18" s="73" t="str">
        <f>IF(OR(NOT(ISERROR(MATCH(RIGHT(D18,3)+0,#REF!,0))),NOT(ISERROR(MATCH(LEFT(D18,3)+0,#REF!,0)))),"No Post","")</f>
        <v/>
      </c>
    </row>
    <row r="19" spans="1:12" ht="18.600000000000001" customHeight="1" x14ac:dyDescent="0.35">
      <c r="A19" s="52">
        <v>13</v>
      </c>
      <c r="B19" s="52"/>
      <c r="C19" s="155"/>
      <c r="D19" s="84" t="s">
        <v>194</v>
      </c>
      <c r="E19" s="44" t="s">
        <v>167</v>
      </c>
      <c r="F19" s="46">
        <v>46147</v>
      </c>
      <c r="G19" s="44">
        <v>2</v>
      </c>
      <c r="H19" s="44"/>
      <c r="I19" s="44"/>
      <c r="J19" s="84" t="s">
        <v>89</v>
      </c>
      <c r="K19" s="44" t="s">
        <v>166</v>
      </c>
      <c r="L19" s="73" t="str">
        <f>IF(OR(NOT(ISERROR(MATCH(RIGHT(D19,3)+0,#REF!,0))),NOT(ISERROR(MATCH(LEFT(D19,3)+0,#REF!,0)))),"No Post","")</f>
        <v/>
      </c>
    </row>
    <row r="20" spans="1:12" ht="18.600000000000001" customHeight="1" x14ac:dyDescent="0.35">
      <c r="A20" s="52">
        <v>14</v>
      </c>
      <c r="B20" s="52"/>
      <c r="C20" s="52"/>
      <c r="D20" s="147" t="s">
        <v>22</v>
      </c>
      <c r="E20" s="21" t="s">
        <v>70</v>
      </c>
      <c r="F20" s="46"/>
      <c r="G20" s="147" t="s">
        <v>190</v>
      </c>
      <c r="H20" s="44"/>
      <c r="I20" s="44"/>
      <c r="J20" s="44" t="s">
        <v>74</v>
      </c>
      <c r="K20" s="44" t="s">
        <v>71</v>
      </c>
      <c r="L20" s="73" t="str">
        <f>IF(OR(NOT(ISERROR(MATCH(RIGHT(D20,3)+0,#REF!,0))),NOT(ISERROR(MATCH(LEFT(D20,3)+0,#REF!,0)))),"No Post","")</f>
        <v/>
      </c>
    </row>
    <row r="21" spans="1:12" ht="18.600000000000001" customHeight="1" x14ac:dyDescent="0.35">
      <c r="A21" s="52">
        <v>15</v>
      </c>
      <c r="B21" s="52"/>
      <c r="C21" s="52"/>
      <c r="D21" s="147">
        <v>819</v>
      </c>
      <c r="E21" s="44" t="s">
        <v>153</v>
      </c>
      <c r="F21" s="46">
        <v>46149</v>
      </c>
      <c r="G21" s="147" t="s">
        <v>152</v>
      </c>
      <c r="H21" s="44"/>
      <c r="I21" s="44"/>
      <c r="J21" s="44"/>
      <c r="K21" s="44" t="s">
        <v>116</v>
      </c>
      <c r="L21" s="73" t="str">
        <f>IF(OR(NOT(ISERROR(MATCH(RIGHT(D21,3)+0,#REF!,0))),NOT(ISERROR(MATCH(LEFT(D21,3)+0,#REF!,0)))),"No Post","")</f>
        <v/>
      </c>
    </row>
    <row r="22" spans="1:12" ht="18.600000000000001" customHeight="1" x14ac:dyDescent="0.35">
      <c r="A22" s="109">
        <v>16</v>
      </c>
      <c r="B22" s="109"/>
      <c r="C22" s="109"/>
      <c r="D22" s="103"/>
      <c r="E22" s="103"/>
      <c r="F22" s="104"/>
      <c r="G22" s="103"/>
      <c r="H22" s="103"/>
      <c r="I22" s="103"/>
      <c r="J22" s="103"/>
      <c r="K22" s="103"/>
      <c r="L22" s="73" t="str">
        <f>IF(OR(NOT(ISERROR(MATCH(RIGHT(#REF!,3)+0,#REF!,0))),NOT(ISERROR(MATCH(LEFT(#REF!,3)+0,#REF!,0)))),"No Post","")</f>
        <v/>
      </c>
    </row>
    <row r="23" spans="1:12" ht="18.600000000000001" customHeight="1" x14ac:dyDescent="0.35">
      <c r="A23" s="105"/>
      <c r="B23" s="126"/>
      <c r="C23" s="126"/>
      <c r="D23" s="106"/>
      <c r="E23" s="148"/>
      <c r="F23" s="107" t="s">
        <v>131</v>
      </c>
      <c r="G23" s="106"/>
      <c r="H23" s="106"/>
      <c r="I23" s="106"/>
      <c r="J23" s="148"/>
      <c r="K23" s="149"/>
      <c r="L23" s="73" t="str">
        <f>IF(OR(NOT(ISERROR(MATCH(RIGHT(D23,3)+0,#REF!,0))),NOT(ISERROR(MATCH(LEFT(D23,3)+0,#REF!,0)))),"No Post","")</f>
        <v/>
      </c>
    </row>
    <row r="24" spans="1:12" ht="20.25" customHeight="1" x14ac:dyDescent="0.35">
      <c r="A24" s="47"/>
      <c r="B24" s="47"/>
      <c r="C24" s="47"/>
      <c r="D24" s="47"/>
      <c r="E24" s="47" t="str">
        <f>"Remaning: "&amp;IFERROR(MID(A5, SEARCH("MAX", A5) + LEN("MAX"), SEARCH("PAX", A5) - SEARCH("MAX", A5) - LEN("MAX")), "")+0-SUM(G24:H24)</f>
        <v>Remaning: -4</v>
      </c>
      <c r="F24" s="48" t="s">
        <v>19</v>
      </c>
      <c r="G24" s="49">
        <f>SUM(G7:G23)</f>
        <v>24</v>
      </c>
      <c r="H24" s="49">
        <f>SUM(H17:H23)</f>
        <v>0</v>
      </c>
      <c r="I24" s="47"/>
      <c r="J24" s="47"/>
      <c r="K24" s="47"/>
    </row>
    <row r="25" spans="1:12" ht="20.25" customHeight="1" x14ac:dyDescent="0.35">
      <c r="D25" s="8" t="s">
        <v>5</v>
      </c>
      <c r="E25" s="8"/>
      <c r="F25" s="33"/>
      <c r="G25" s="8"/>
      <c r="H25" s="8"/>
      <c r="I25" s="8"/>
    </row>
    <row r="26" spans="1:12" ht="20.25" customHeight="1" x14ac:dyDescent="0.35">
      <c r="D26" s="15" t="s">
        <v>6</v>
      </c>
      <c r="E26" s="9"/>
      <c r="F26" s="34"/>
      <c r="G26" s="9"/>
      <c r="H26" s="9"/>
      <c r="I26" s="9"/>
    </row>
    <row r="27" spans="1:12" ht="20.25" customHeight="1" x14ac:dyDescent="0.35">
      <c r="D27" s="15" t="s">
        <v>7</v>
      </c>
      <c r="E27" s="9"/>
      <c r="F27" s="34"/>
      <c r="G27" s="9"/>
      <c r="H27" s="9"/>
      <c r="I27" s="9"/>
    </row>
    <row r="28" spans="1:12" ht="20.25" customHeight="1" x14ac:dyDescent="0.35">
      <c r="D28" s="15" t="s">
        <v>8</v>
      </c>
      <c r="E28" s="9"/>
      <c r="F28" s="34"/>
      <c r="G28" s="9"/>
      <c r="H28" s="9"/>
      <c r="I28" s="9"/>
    </row>
    <row r="29" spans="1:12" x14ac:dyDescent="0.35">
      <c r="D29" s="15" t="s">
        <v>9</v>
      </c>
      <c r="E29" s="9"/>
      <c r="F29" s="34"/>
      <c r="G29" s="9"/>
      <c r="H29" s="9"/>
      <c r="I29" s="9"/>
    </row>
    <row r="30" spans="1:12" x14ac:dyDescent="0.35">
      <c r="D30" s="15" t="s">
        <v>10</v>
      </c>
      <c r="E30" s="9"/>
      <c r="F30" s="34"/>
      <c r="G30" s="9"/>
      <c r="H30" s="9"/>
      <c r="I30" s="9"/>
    </row>
    <row r="31" spans="1:12" x14ac:dyDescent="0.35">
      <c r="D31" s="15" t="s">
        <v>11</v>
      </c>
      <c r="E31" s="9"/>
      <c r="F31" s="34"/>
      <c r="G31" s="9"/>
      <c r="H31" s="9"/>
      <c r="I31" s="9"/>
    </row>
    <row r="32" spans="1:12" s="11" customFormat="1" ht="15.6" x14ac:dyDescent="0.3">
      <c r="D32" s="16" t="s">
        <v>12</v>
      </c>
      <c r="E32" s="10"/>
      <c r="F32" s="35"/>
      <c r="G32" s="10"/>
      <c r="H32" s="10"/>
    </row>
    <row r="33" spans="4:9" s="11" customFormat="1" ht="15.6" x14ac:dyDescent="0.3">
      <c r="D33" s="16" t="s">
        <v>13</v>
      </c>
      <c r="E33" s="10"/>
      <c r="F33" s="35"/>
      <c r="G33" s="10"/>
      <c r="H33" s="10"/>
    </row>
    <row r="34" spans="4:9" s="13" customFormat="1" ht="20.25" customHeight="1" x14ac:dyDescent="0.35">
      <c r="D34" s="17" t="s">
        <v>14</v>
      </c>
      <c r="E34" s="12"/>
      <c r="F34" s="36"/>
    </row>
    <row r="35" spans="4:9" s="8" customFormat="1" ht="14.4" x14ac:dyDescent="0.3">
      <c r="D35" s="14"/>
      <c r="E35" s="9"/>
      <c r="F35" s="34"/>
      <c r="G35" s="9"/>
      <c r="H35" s="9"/>
      <c r="I35" s="9"/>
    </row>
    <row r="36" spans="4:9" x14ac:dyDescent="0.35">
      <c r="D36" s="9"/>
      <c r="E36" s="9"/>
      <c r="F36" s="34"/>
      <c r="G36" s="9"/>
      <c r="H36" s="9"/>
      <c r="I36" s="9"/>
    </row>
    <row r="37" spans="4:9" x14ac:dyDescent="0.35">
      <c r="D37" s="8"/>
      <c r="E37" s="8"/>
      <c r="F37" s="33"/>
      <c r="G37" s="8"/>
      <c r="H37" s="8"/>
      <c r="I37" s="8"/>
    </row>
    <row r="38" spans="4:9" x14ac:dyDescent="0.35">
      <c r="D38" s="9"/>
      <c r="E38" s="9"/>
      <c r="F38" s="34"/>
      <c r="G38" s="9"/>
      <c r="H38" s="9"/>
      <c r="I38" s="9"/>
    </row>
    <row r="39" spans="4:9" x14ac:dyDescent="0.35">
      <c r="D39" s="9"/>
      <c r="E39" s="9"/>
      <c r="F39" s="34"/>
      <c r="G39" s="9"/>
      <c r="H39" s="9"/>
      <c r="I39" s="9"/>
    </row>
    <row r="40" spans="4:9" x14ac:dyDescent="0.35">
      <c r="D40" s="9"/>
      <c r="E40" s="9"/>
      <c r="F40" s="34"/>
      <c r="G40" s="9"/>
      <c r="H40" s="9"/>
      <c r="I40" s="9"/>
    </row>
    <row r="41" spans="4:9" x14ac:dyDescent="0.35">
      <c r="D41" s="9"/>
      <c r="E41" s="9"/>
      <c r="F41" s="34"/>
      <c r="G41" s="9"/>
      <c r="H41" s="9"/>
      <c r="I41" s="9"/>
    </row>
    <row r="42" spans="4:9" x14ac:dyDescent="0.35">
      <c r="D42" s="9"/>
      <c r="E42" s="9"/>
      <c r="F42" s="34"/>
      <c r="G42" s="9"/>
      <c r="H42" s="9"/>
      <c r="I42" s="9"/>
    </row>
    <row r="43" spans="4:9" x14ac:dyDescent="0.35">
      <c r="D43" s="9"/>
      <c r="E43" s="9"/>
      <c r="F43" s="34"/>
      <c r="G43" s="9"/>
      <c r="H43" s="9"/>
      <c r="I43" s="9"/>
    </row>
    <row r="44" spans="4:9" x14ac:dyDescent="0.35">
      <c r="D44" s="14"/>
      <c r="E44" s="9"/>
      <c r="F44" s="34"/>
      <c r="G44" s="9"/>
      <c r="H44" s="9"/>
      <c r="I44" s="9"/>
    </row>
    <row r="45" spans="4:9" x14ac:dyDescent="0.35">
      <c r="D45" s="9"/>
      <c r="E45" s="9"/>
      <c r="F45" s="34"/>
      <c r="G45" s="9"/>
      <c r="H45" s="9"/>
      <c r="I45" s="9"/>
    </row>
    <row r="47" spans="4:9" x14ac:dyDescent="0.35">
      <c r="D47" s="1"/>
      <c r="E47" s="1"/>
      <c r="F47" s="31"/>
      <c r="G47" s="1"/>
      <c r="H47" s="1"/>
      <c r="I47" s="1"/>
    </row>
    <row r="62" spans="4:9" x14ac:dyDescent="0.35">
      <c r="D62" s="9"/>
      <c r="E62" s="9"/>
      <c r="F62" s="34"/>
      <c r="G62" s="9"/>
      <c r="H62" s="9"/>
      <c r="I62" s="9"/>
    </row>
    <row r="63" spans="4:9" x14ac:dyDescent="0.35">
      <c r="D63" s="9"/>
      <c r="E63" s="9"/>
      <c r="F63" s="34"/>
      <c r="G63" s="9"/>
      <c r="H63" s="9"/>
      <c r="I63" s="9"/>
    </row>
    <row r="64" spans="4:9" x14ac:dyDescent="0.35">
      <c r="D64" s="9"/>
      <c r="E64" s="9"/>
      <c r="F64" s="34"/>
      <c r="G64" s="9"/>
      <c r="H64" s="9"/>
      <c r="I64" s="9"/>
    </row>
    <row r="65" spans="4:9" x14ac:dyDescent="0.35">
      <c r="D65" s="14"/>
      <c r="E65" s="9"/>
      <c r="F65" s="34"/>
      <c r="G65" s="9"/>
      <c r="H65" s="9"/>
      <c r="I65" s="9"/>
    </row>
    <row r="66" spans="4:9" x14ac:dyDescent="0.35">
      <c r="D66" s="9"/>
      <c r="E66" s="9"/>
      <c r="F66" s="34"/>
      <c r="G66" s="9"/>
      <c r="H66" s="9"/>
      <c r="I66" s="9"/>
    </row>
  </sheetData>
  <sortState ref="D7:L19">
    <sortCondition ref="D7"/>
  </sortState>
  <customSheetViews>
    <customSheetView guid="{B3797D0B-1E44-402B-AD05-6509081B1712}" showPageBreaks="1" printArea="1" topLeftCell="A4">
      <selection activeCell="E11" sqref="E11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 topLeftCell="A4">
      <selection activeCell="G7" sqref="G7:G19"/>
      <rowBreaks count="1" manualBreakCount="1">
        <brk id="34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C13" sqref="C13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I5"/>
  </mergeCells>
  <conditionalFormatting sqref="L7:L23">
    <cfRule type="containsText" dxfId="26" priority="1" operator="containsText" text="No Post">
      <formula>NOT(ISERROR(SEARCH("No Post",L7)))</formula>
    </cfRule>
  </conditionalFormatting>
  <pageMargins left="0.17" right="0.17" top="0.75" bottom="0.75" header="0.3" footer="0.3"/>
  <pageSetup scale="64" orientation="landscape" r:id="rId4"/>
  <rowBreaks count="1" manualBreakCount="1">
    <brk id="34" min="1" max="8" man="1"/>
  </rowBreaks>
  <colBreaks count="1" manualBreakCount="1">
    <brk id="11" max="30" man="1"/>
  </colBrea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81"/>
  <sheetViews>
    <sheetView topLeftCell="A16" zoomScale="85" zoomScaleNormal="85" zoomScaleSheetLayoutView="100" workbookViewId="0">
      <selection activeCell="D19" sqref="D19:K19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7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0"/>
      <c r="G2" s="5"/>
      <c r="H2" s="5"/>
    </row>
    <row r="4" spans="1:12" s="1" customFormat="1" thickBot="1" x14ac:dyDescent="0.4">
      <c r="F4" s="31"/>
    </row>
    <row r="5" spans="1:12" s="2" customFormat="1" ht="24" thickBot="1" x14ac:dyDescent="0.5">
      <c r="A5" s="218" t="s">
        <v>15</v>
      </c>
      <c r="B5" s="219"/>
      <c r="C5" s="219"/>
      <c r="D5" s="219"/>
      <c r="E5" s="219"/>
      <c r="F5" s="219"/>
      <c r="G5" s="219"/>
      <c r="H5" s="219"/>
      <c r="I5" s="219"/>
      <c r="J5" s="6" t="s">
        <v>18</v>
      </c>
      <c r="K5" s="3" t="str">
        <f ca="1">CONCATENATE((MID(CELL("filename",K5),FIND("]",CELL("filename",K5))+1,255)),"/05/2026")</f>
        <v>6/05/2026</v>
      </c>
    </row>
    <row r="6" spans="1:12" x14ac:dyDescent="0.35">
      <c r="A6" s="38"/>
      <c r="B6" s="129"/>
      <c r="C6" s="129"/>
      <c r="D6" s="39" t="s">
        <v>1</v>
      </c>
      <c r="E6" s="39" t="s">
        <v>2</v>
      </c>
      <c r="F6" s="40" t="s">
        <v>21</v>
      </c>
      <c r="G6" s="39" t="s">
        <v>16</v>
      </c>
      <c r="H6" s="39" t="s">
        <v>17</v>
      </c>
      <c r="I6" s="39" t="s">
        <v>3</v>
      </c>
      <c r="J6" s="41" t="s">
        <v>20</v>
      </c>
      <c r="K6" s="42" t="s">
        <v>4</v>
      </c>
    </row>
    <row r="7" spans="1:12" x14ac:dyDescent="0.35">
      <c r="A7" s="52">
        <v>1</v>
      </c>
      <c r="B7" s="52"/>
      <c r="C7" s="52"/>
      <c r="D7" s="87"/>
      <c r="E7" s="147" t="s">
        <v>133</v>
      </c>
      <c r="F7" s="46"/>
      <c r="G7" s="44"/>
      <c r="H7" s="44"/>
      <c r="I7" s="44"/>
      <c r="J7" s="87"/>
      <c r="K7" s="44"/>
      <c r="L7" s="73" t="str">
        <f>IF(OR(NOT(ISERROR(MATCH(RIGHT(D7,3)+0,#REF!,0))),NOT(ISERROR(MATCH(LEFT(D7,3)+0,#REF!,0)))),"No Post","")</f>
        <v/>
      </c>
    </row>
    <row r="8" spans="1:12" x14ac:dyDescent="0.35">
      <c r="A8" s="52"/>
      <c r="B8" s="52"/>
      <c r="C8" s="52"/>
      <c r="D8" s="52"/>
      <c r="E8" s="52"/>
      <c r="F8" s="52"/>
      <c r="G8" s="52"/>
      <c r="H8" s="52"/>
      <c r="I8" s="52"/>
      <c r="J8" s="52"/>
      <c r="K8" s="44"/>
      <c r="L8" s="73"/>
    </row>
    <row r="9" spans="1:12" x14ac:dyDescent="0.35">
      <c r="A9" s="52">
        <v>2</v>
      </c>
      <c r="B9" s="52"/>
      <c r="C9" s="52"/>
      <c r="D9" s="152">
        <v>304</v>
      </c>
      <c r="E9" s="52" t="s">
        <v>49</v>
      </c>
      <c r="F9" s="60">
        <v>46150</v>
      </c>
      <c r="G9" s="52">
        <v>2</v>
      </c>
      <c r="H9" s="52"/>
      <c r="I9" s="52"/>
      <c r="J9" s="152" t="s">
        <v>89</v>
      </c>
      <c r="K9" s="52" t="s">
        <v>50</v>
      </c>
      <c r="L9" s="73" t="str">
        <f>IF(OR(NOT(ISERROR(MATCH(RIGHT(D9,3)+0,#REF!,0))),NOT(ISERROR(MATCH(LEFT(D9,3)+0,#REF!,0)))),"No Post","")</f>
        <v/>
      </c>
    </row>
    <row r="10" spans="1:12" x14ac:dyDescent="0.35">
      <c r="A10" s="52">
        <v>3</v>
      </c>
      <c r="B10" s="52"/>
      <c r="C10" s="52"/>
      <c r="D10" s="85">
        <v>307</v>
      </c>
      <c r="E10" s="44" t="s">
        <v>197</v>
      </c>
      <c r="F10" s="46"/>
      <c r="G10" s="44" t="s">
        <v>162</v>
      </c>
      <c r="H10" s="44"/>
      <c r="I10" s="44" t="s">
        <v>204</v>
      </c>
      <c r="J10" s="85" t="s">
        <v>92</v>
      </c>
      <c r="K10" s="45" t="s">
        <v>196</v>
      </c>
      <c r="L10" s="73" t="str">
        <f>IF(OR(NOT(ISERROR(MATCH(RIGHT(D10,3)+0,#REF!,0))),NOT(ISERROR(MATCH(LEFT(D10,3)+0,#REF!,0)))),"No Post","")</f>
        <v/>
      </c>
    </row>
    <row r="11" spans="1:12" x14ac:dyDescent="0.35">
      <c r="A11" s="52">
        <v>4</v>
      </c>
      <c r="B11" s="153"/>
      <c r="C11" s="153"/>
      <c r="D11" s="152">
        <v>317</v>
      </c>
      <c r="E11" s="52" t="s">
        <v>169</v>
      </c>
      <c r="F11" s="60">
        <v>46151</v>
      </c>
      <c r="G11" s="52">
        <v>2</v>
      </c>
      <c r="H11" s="52"/>
      <c r="I11" s="52"/>
      <c r="J11" s="152" t="s">
        <v>89</v>
      </c>
      <c r="K11" s="52" t="s">
        <v>168</v>
      </c>
      <c r="L11" s="73" t="str">
        <f>IF(OR(NOT(ISERROR(MATCH(RIGHT(D11,3)+0,#REF!,0))),NOT(ISERROR(MATCH(LEFT(D11,3)+0,#REF!,0)))),"No Post","")</f>
        <v/>
      </c>
    </row>
    <row r="12" spans="1:12" x14ac:dyDescent="0.35">
      <c r="A12" s="52"/>
      <c r="B12" s="153"/>
      <c r="C12" s="153"/>
      <c r="D12" s="152">
        <v>301</v>
      </c>
      <c r="E12" s="52"/>
      <c r="F12" s="60"/>
      <c r="G12" s="52">
        <v>2</v>
      </c>
      <c r="H12" s="52"/>
      <c r="I12" s="52"/>
      <c r="J12" s="152"/>
      <c r="K12" s="52"/>
      <c r="L12" s="73"/>
    </row>
    <row r="13" spans="1:12" x14ac:dyDescent="0.35">
      <c r="A13" s="52">
        <v>5</v>
      </c>
      <c r="B13" s="153"/>
      <c r="C13" s="153"/>
      <c r="D13" s="152">
        <v>319</v>
      </c>
      <c r="E13" s="146" t="s">
        <v>45</v>
      </c>
      <c r="F13" s="46">
        <v>46149</v>
      </c>
      <c r="G13" s="44">
        <v>1</v>
      </c>
      <c r="H13" s="44"/>
      <c r="I13" s="44"/>
      <c r="J13" s="152" t="s">
        <v>89</v>
      </c>
      <c r="K13" s="44" t="s">
        <v>44</v>
      </c>
      <c r="L13" s="73" t="str">
        <f>IF(OR(NOT(ISERROR(MATCH(RIGHT(D13,3)+0,#REF!,0))),NOT(ISERROR(MATCH(LEFT(D13,3)+0,#REF!,0)))),"No Post","")</f>
        <v/>
      </c>
    </row>
    <row r="14" spans="1:12" x14ac:dyDescent="0.35">
      <c r="A14" s="52">
        <v>6</v>
      </c>
      <c r="B14" s="153"/>
      <c r="C14" s="153"/>
      <c r="D14" s="90">
        <v>329</v>
      </c>
      <c r="E14" s="52" t="s">
        <v>205</v>
      </c>
      <c r="F14" s="60">
        <v>46151</v>
      </c>
      <c r="G14" s="52">
        <v>2</v>
      </c>
      <c r="H14" s="52"/>
      <c r="I14" s="52"/>
      <c r="J14" s="90" t="s">
        <v>207</v>
      </c>
      <c r="K14" s="52" t="s">
        <v>195</v>
      </c>
      <c r="L14" s="73" t="str">
        <f>IF(OR(NOT(ISERROR(MATCH(RIGHT(D14,3)+0,#REF!,0))),NOT(ISERROR(MATCH(LEFT(D14,3)+0,#REF!,0)))),"No Post","")</f>
        <v/>
      </c>
    </row>
    <row r="15" spans="1:12" x14ac:dyDescent="0.35">
      <c r="A15" s="52">
        <v>7</v>
      </c>
      <c r="B15" s="153"/>
      <c r="C15" s="153"/>
      <c r="D15" s="152" t="s">
        <v>214</v>
      </c>
      <c r="E15" s="52" t="s">
        <v>184</v>
      </c>
      <c r="F15" s="60">
        <v>46148</v>
      </c>
      <c r="G15" s="52">
        <v>2</v>
      </c>
      <c r="H15" s="52"/>
      <c r="I15" s="52"/>
      <c r="J15" s="152" t="s">
        <v>89</v>
      </c>
      <c r="K15" s="52" t="s">
        <v>93</v>
      </c>
      <c r="L15" s="73" t="str">
        <f>IF(OR(NOT(ISERROR(MATCH(RIGHT(D15,3)+0,#REF!,0))),NOT(ISERROR(MATCH(LEFT(D15,3)+0,#REF!,0)))),"No Post","")</f>
        <v/>
      </c>
    </row>
    <row r="16" spans="1:12" x14ac:dyDescent="0.35">
      <c r="A16" s="52">
        <v>8</v>
      </c>
      <c r="B16" s="52"/>
      <c r="C16" s="153"/>
      <c r="D16" s="90" t="s">
        <v>213</v>
      </c>
      <c r="E16" s="44" t="s">
        <v>180</v>
      </c>
      <c r="F16" s="46">
        <v>46148</v>
      </c>
      <c r="G16" s="44">
        <v>2</v>
      </c>
      <c r="H16" s="44"/>
      <c r="I16" s="44"/>
      <c r="J16" s="90" t="s">
        <v>101</v>
      </c>
      <c r="K16" s="44" t="s">
        <v>84</v>
      </c>
      <c r="L16" s="73" t="str">
        <f>IF(OR(NOT(ISERROR(MATCH(RIGHT(D16,3)+0,#REF!,0))),NOT(ISERROR(MATCH(LEFT(D16,3)+0,#REF!,0)))),"No Post","")</f>
        <v/>
      </c>
    </row>
    <row r="17" spans="1:12" x14ac:dyDescent="0.35">
      <c r="A17" s="52">
        <v>9</v>
      </c>
      <c r="B17" s="52"/>
      <c r="C17" s="52"/>
      <c r="D17" s="152">
        <v>669</v>
      </c>
      <c r="E17" s="52" t="s">
        <v>38</v>
      </c>
      <c r="F17" s="60">
        <v>46151</v>
      </c>
      <c r="G17" s="52" t="s">
        <v>152</v>
      </c>
      <c r="H17" s="52"/>
      <c r="I17" s="52"/>
      <c r="J17" s="152" t="s">
        <v>89</v>
      </c>
      <c r="K17" s="52" t="s">
        <v>24</v>
      </c>
      <c r="L17" s="73" t="str">
        <f>IF(OR(NOT(ISERROR(MATCH(RIGHT(D17,3)+0,#REF!,0))),NOT(ISERROR(MATCH(LEFT(D17,3)+0,#REF!,0)))),"No Post","")</f>
        <v/>
      </c>
    </row>
    <row r="18" spans="1:12" s="161" customFormat="1" x14ac:dyDescent="0.35">
      <c r="A18" s="93"/>
      <c r="B18" s="93"/>
      <c r="C18" s="93"/>
      <c r="D18" s="84"/>
      <c r="E18" s="44"/>
      <c r="F18" s="46"/>
      <c r="G18" s="44"/>
      <c r="H18" s="44"/>
      <c r="I18" s="44"/>
      <c r="J18" s="84"/>
      <c r="K18" s="44"/>
      <c r="L18" s="160"/>
    </row>
    <row r="19" spans="1:12" x14ac:dyDescent="0.35">
      <c r="A19" s="52">
        <v>10</v>
      </c>
      <c r="B19" s="52"/>
      <c r="C19" s="52"/>
      <c r="D19" s="90">
        <v>670</v>
      </c>
      <c r="E19" s="44" t="s">
        <v>198</v>
      </c>
      <c r="F19" s="46"/>
      <c r="G19" s="44">
        <v>2</v>
      </c>
      <c r="H19" s="44"/>
      <c r="I19" s="44"/>
      <c r="J19" s="90" t="s">
        <v>207</v>
      </c>
      <c r="K19" s="45" t="s">
        <v>113</v>
      </c>
      <c r="L19" s="73" t="str">
        <f>IF(OR(NOT(ISERROR(MATCH(RIGHT(D19,3)+0,#REF!,0))),NOT(ISERROR(MATCH(LEFT(D19,3)+0,#REF!,0)))),"No Post","")</f>
        <v/>
      </c>
    </row>
    <row r="20" spans="1:12" x14ac:dyDescent="0.35">
      <c r="A20" s="52"/>
      <c r="B20" s="52"/>
      <c r="C20" s="52"/>
      <c r="D20" s="45"/>
      <c r="E20" s="147" t="s">
        <v>135</v>
      </c>
      <c r="F20" s="46"/>
      <c r="G20" s="44"/>
      <c r="H20" s="44"/>
      <c r="I20" s="44"/>
      <c r="J20" s="45"/>
      <c r="K20" s="45"/>
      <c r="L20" s="73" t="str">
        <f>IF(OR(NOT(ISERROR(MATCH(RIGHT(D20,3)+0,#REF!,0))),NOT(ISERROR(MATCH(LEFT(D20,3)+0,#REF!,0)))),"No Post","")</f>
        <v/>
      </c>
    </row>
    <row r="21" spans="1:12" ht="18.600000000000001" customHeight="1" x14ac:dyDescent="0.35">
      <c r="A21" s="52">
        <v>11</v>
      </c>
      <c r="B21" s="153"/>
      <c r="C21" s="153"/>
      <c r="D21" s="85">
        <v>671</v>
      </c>
      <c r="E21" s="44" t="s">
        <v>200</v>
      </c>
      <c r="F21" s="46"/>
      <c r="G21" s="44">
        <v>2</v>
      </c>
      <c r="H21" s="44"/>
      <c r="I21" s="44"/>
      <c r="J21" s="85" t="s">
        <v>92</v>
      </c>
      <c r="K21" s="45" t="s">
        <v>196</v>
      </c>
      <c r="L21" s="73" t="str">
        <f>IF(OR(NOT(ISERROR(MATCH(RIGHT(D21,3)+0,#REF!,0))),NOT(ISERROR(MATCH(LEFT(D21,3)+0,#REF!,0)))),"No Post","")</f>
        <v/>
      </c>
    </row>
    <row r="22" spans="1:12" ht="18.600000000000001" customHeight="1" x14ac:dyDescent="0.35">
      <c r="A22" s="52">
        <v>12</v>
      </c>
      <c r="B22" s="52"/>
      <c r="C22" s="52"/>
      <c r="D22" s="85">
        <v>673</v>
      </c>
      <c r="E22" s="44" t="s">
        <v>201</v>
      </c>
      <c r="F22" s="46"/>
      <c r="G22" s="44">
        <v>2</v>
      </c>
      <c r="H22" s="44"/>
      <c r="I22" s="44"/>
      <c r="J22" s="85" t="s">
        <v>92</v>
      </c>
      <c r="K22" s="45" t="s">
        <v>196</v>
      </c>
      <c r="L22" s="73" t="str">
        <f>IF(OR(NOT(ISERROR(MATCH(RIGHT(D22,3)+0,#REF!,0))),NOT(ISERROR(MATCH(LEFT(D22,3)+0,#REF!,0)))),"No Post","")</f>
        <v/>
      </c>
    </row>
    <row r="23" spans="1:12" ht="18.600000000000001" customHeight="1" x14ac:dyDescent="0.35">
      <c r="A23" s="52">
        <v>13</v>
      </c>
      <c r="B23" s="153"/>
      <c r="C23" s="153"/>
      <c r="D23" s="85">
        <v>302</v>
      </c>
      <c r="E23" s="44" t="s">
        <v>122</v>
      </c>
      <c r="F23" s="46">
        <v>46152</v>
      </c>
      <c r="G23" s="44">
        <v>2</v>
      </c>
      <c r="H23" s="44"/>
      <c r="I23" s="44"/>
      <c r="J23" s="85" t="s">
        <v>92</v>
      </c>
      <c r="K23" s="44" t="s">
        <v>84</v>
      </c>
      <c r="L23" s="73" t="str">
        <f>IF(OR(NOT(ISERROR(MATCH(RIGHT(D23,3)+0,#REF!,0))),NOT(ISERROR(MATCH(LEFT(D23,3)+0,#REF!,0)))),"No Post","")</f>
        <v/>
      </c>
    </row>
    <row r="24" spans="1:12" ht="18.600000000000001" customHeight="1" x14ac:dyDescent="0.35">
      <c r="A24" s="52">
        <v>14</v>
      </c>
      <c r="B24" s="153"/>
      <c r="C24" s="153"/>
      <c r="D24" s="152" t="s">
        <v>212</v>
      </c>
      <c r="E24" s="146" t="s">
        <v>39</v>
      </c>
      <c r="F24" s="46">
        <v>46150</v>
      </c>
      <c r="G24" s="44">
        <v>2</v>
      </c>
      <c r="H24" s="44"/>
      <c r="I24" s="44"/>
      <c r="J24" s="152" t="s">
        <v>89</v>
      </c>
      <c r="K24" s="44" t="s">
        <v>31</v>
      </c>
      <c r="L24" s="73" t="str">
        <f>IF(OR(NOT(ISERROR(MATCH(RIGHT(D24,3)+0,#REF!,0))),NOT(ISERROR(MATCH(LEFT(D24,3)+0,#REF!,0)))),"No Post","")</f>
        <v/>
      </c>
    </row>
    <row r="25" spans="1:12" ht="18.600000000000001" customHeight="1" x14ac:dyDescent="0.35">
      <c r="A25" s="52">
        <v>15</v>
      </c>
      <c r="B25" s="153"/>
      <c r="C25" s="153"/>
      <c r="D25" s="152" t="s">
        <v>211</v>
      </c>
      <c r="E25" s="52" t="s">
        <v>189</v>
      </c>
      <c r="F25" s="60">
        <v>46148</v>
      </c>
      <c r="G25" s="52">
        <v>1</v>
      </c>
      <c r="H25" s="52"/>
      <c r="I25" s="52"/>
      <c r="J25" s="152" t="s">
        <v>89</v>
      </c>
      <c r="K25" s="52" t="s">
        <v>116</v>
      </c>
      <c r="L25" s="73" t="str">
        <f>IF(OR(NOT(ISERROR(MATCH(RIGHT(D25,3)+0,#REF!,0))),NOT(ISERROR(MATCH(LEFT(D25,3)+0,#REF!,0)))),"No Post","")</f>
        <v/>
      </c>
    </row>
    <row r="26" spans="1:12" ht="18.600000000000001" customHeight="1" x14ac:dyDescent="0.35">
      <c r="A26" s="52">
        <v>16</v>
      </c>
      <c r="B26" s="52"/>
      <c r="C26" s="52"/>
      <c r="D26" s="85">
        <v>811</v>
      </c>
      <c r="E26" s="52" t="s">
        <v>172</v>
      </c>
      <c r="F26" s="60">
        <v>46157</v>
      </c>
      <c r="G26" s="52" t="s">
        <v>152</v>
      </c>
      <c r="H26" s="52"/>
      <c r="I26" s="52"/>
      <c r="J26" s="85" t="s">
        <v>92</v>
      </c>
      <c r="K26" s="52" t="s">
        <v>116</v>
      </c>
      <c r="L26" s="73" t="str">
        <f>IF(OR(NOT(ISERROR(MATCH(RIGHT(D26,3)+0,#REF!,0))),NOT(ISERROR(MATCH(LEFT(D26,3)+0,#REF!,0)))),"No Post","")</f>
        <v/>
      </c>
    </row>
    <row r="27" spans="1:12" ht="18.600000000000001" customHeight="1" x14ac:dyDescent="0.35">
      <c r="A27" s="52">
        <v>17</v>
      </c>
      <c r="B27" s="52"/>
      <c r="C27" s="52"/>
      <c r="D27" s="85">
        <v>819</v>
      </c>
      <c r="E27" s="52" t="s">
        <v>153</v>
      </c>
      <c r="F27" s="60">
        <v>46149</v>
      </c>
      <c r="G27" s="52" t="s">
        <v>152</v>
      </c>
      <c r="H27" s="52"/>
      <c r="I27" s="52"/>
      <c r="J27" s="85" t="s">
        <v>92</v>
      </c>
      <c r="K27" s="52" t="s">
        <v>116</v>
      </c>
      <c r="L27" s="73" t="str">
        <f>IF(OR(NOT(ISERROR(MATCH(RIGHT(D27,3)+0,#REF!,0))),NOT(ISERROR(MATCH(LEFT(D27,3)+0,#REF!,0)))),"No Post","")</f>
        <v/>
      </c>
    </row>
    <row r="28" spans="1:12" ht="18.600000000000001" customHeight="1" x14ac:dyDescent="0.35">
      <c r="A28" s="52">
        <v>18</v>
      </c>
      <c r="B28" s="153"/>
      <c r="C28" s="153"/>
      <c r="D28" s="84">
        <v>843</v>
      </c>
      <c r="E28" s="44" t="s">
        <v>51</v>
      </c>
      <c r="F28" s="46">
        <v>46149</v>
      </c>
      <c r="G28" s="44">
        <v>2</v>
      </c>
      <c r="H28" s="44"/>
      <c r="I28" s="44"/>
      <c r="J28" s="84" t="s">
        <v>89</v>
      </c>
      <c r="K28" s="44" t="s">
        <v>50</v>
      </c>
      <c r="L28" s="73" t="str">
        <f>IF(OR(NOT(ISERROR(MATCH(RIGHT(D28,3)+0,#REF!,0))),NOT(ISERROR(MATCH(LEFT(D28,3)+0,#REF!,0)))),"No Post","")</f>
        <v/>
      </c>
    </row>
    <row r="29" spans="1:12" ht="18.600000000000001" customHeight="1" x14ac:dyDescent="0.35">
      <c r="A29" s="52">
        <v>19</v>
      </c>
      <c r="B29" s="52"/>
      <c r="C29" s="52"/>
      <c r="D29" s="85">
        <v>845</v>
      </c>
      <c r="E29" s="44" t="s">
        <v>206</v>
      </c>
      <c r="F29" s="46">
        <v>46149</v>
      </c>
      <c r="G29" s="44">
        <v>2</v>
      </c>
      <c r="H29" s="44"/>
      <c r="I29" s="44"/>
      <c r="J29" s="85" t="s">
        <v>208</v>
      </c>
      <c r="K29" s="45" t="s">
        <v>116</v>
      </c>
      <c r="L29" s="73" t="str">
        <f>IF(OR(NOT(ISERROR(MATCH(RIGHT(D29,3)+0,#REF!,0))),NOT(ISERROR(MATCH(LEFT(D29,3)+0,#REF!,0)))),"No Post","")</f>
        <v/>
      </c>
    </row>
    <row r="30" spans="1:12" ht="18.600000000000001" customHeight="1" x14ac:dyDescent="0.35">
      <c r="A30" s="52">
        <v>20</v>
      </c>
      <c r="B30" s="153"/>
      <c r="C30" s="153"/>
      <c r="D30" s="84">
        <v>857</v>
      </c>
      <c r="E30" s="44" t="s">
        <v>60</v>
      </c>
      <c r="F30" s="46">
        <v>46149</v>
      </c>
      <c r="G30" s="44">
        <v>2</v>
      </c>
      <c r="H30" s="44"/>
      <c r="I30" s="44"/>
      <c r="J30" s="84" t="s">
        <v>89</v>
      </c>
      <c r="K30" s="44" t="s">
        <v>58</v>
      </c>
      <c r="L30" s="73" t="str">
        <f>IF(OR(NOT(ISERROR(MATCH(RIGHT(D30,3)+0,#REF!,0))),NOT(ISERROR(MATCH(LEFT(D30,3)+0,#REF!,0)))),"No Post","")</f>
        <v/>
      </c>
    </row>
    <row r="31" spans="1:12" ht="18.600000000000001" customHeight="1" x14ac:dyDescent="0.35">
      <c r="A31" s="52">
        <v>21</v>
      </c>
      <c r="B31" s="153"/>
      <c r="C31" s="153"/>
      <c r="D31" s="84">
        <v>878</v>
      </c>
      <c r="E31" s="52" t="s">
        <v>185</v>
      </c>
      <c r="F31" s="60">
        <v>46149</v>
      </c>
      <c r="G31" s="52">
        <v>2</v>
      </c>
      <c r="H31" s="52"/>
      <c r="I31" s="52"/>
      <c r="J31" s="84" t="s">
        <v>89</v>
      </c>
      <c r="K31" s="52" t="s">
        <v>175</v>
      </c>
      <c r="L31" s="73" t="str">
        <f>IF(OR(NOT(ISERROR(MATCH(RIGHT(D31,3)+0,#REF!,0))),NOT(ISERROR(MATCH(LEFT(D31,3)+0,#REF!,0)))),"No Post","")</f>
        <v/>
      </c>
    </row>
    <row r="32" spans="1:12" ht="18.600000000000001" customHeight="1" x14ac:dyDescent="0.35">
      <c r="A32" s="52">
        <v>22</v>
      </c>
      <c r="B32" s="153"/>
      <c r="C32" s="153"/>
      <c r="D32" s="84">
        <v>880</v>
      </c>
      <c r="E32" s="44" t="s">
        <v>203</v>
      </c>
      <c r="F32" s="46">
        <v>46151</v>
      </c>
      <c r="G32" s="44">
        <v>2</v>
      </c>
      <c r="H32" s="44"/>
      <c r="I32" s="44"/>
      <c r="J32" s="84" t="s">
        <v>89</v>
      </c>
      <c r="K32" s="45" t="s">
        <v>202</v>
      </c>
      <c r="L32" s="73" t="str">
        <f>IF(OR(NOT(ISERROR(MATCH(RIGHT(D32,3)+0,#REF!,0))),NOT(ISERROR(MATCH(LEFT(D32,3)+0,#REF!,0)))),"No Post","")</f>
        <v/>
      </c>
    </row>
    <row r="33" spans="1:12" ht="18.600000000000001" customHeight="1" x14ac:dyDescent="0.35">
      <c r="A33" s="52">
        <v>23</v>
      </c>
      <c r="B33" s="52"/>
      <c r="C33" s="153"/>
      <c r="D33" s="90">
        <v>892</v>
      </c>
      <c r="E33" s="44" t="s">
        <v>179</v>
      </c>
      <c r="F33" s="46">
        <v>46150</v>
      </c>
      <c r="G33" s="44">
        <v>2</v>
      </c>
      <c r="H33" s="44"/>
      <c r="I33" s="44"/>
      <c r="J33" s="90" t="s">
        <v>101</v>
      </c>
      <c r="K33" s="44" t="s">
        <v>84</v>
      </c>
      <c r="L33" s="73" t="str">
        <f>IF(OR(NOT(ISERROR(MATCH(RIGHT(D33,3)+0,#REF!,0))),NOT(ISERROR(MATCH(LEFT(D33,3)+0,#REF!,0)))),"No Post","")</f>
        <v/>
      </c>
    </row>
    <row r="34" spans="1:12" ht="18.600000000000001" customHeight="1" x14ac:dyDescent="0.35">
      <c r="A34" s="52">
        <v>24</v>
      </c>
      <c r="B34" s="52"/>
      <c r="C34" s="52"/>
      <c r="D34" s="84" t="s">
        <v>163</v>
      </c>
      <c r="E34" s="44" t="s">
        <v>154</v>
      </c>
      <c r="F34" s="46">
        <v>46145</v>
      </c>
      <c r="G34" s="44">
        <v>2</v>
      </c>
      <c r="H34" s="44"/>
      <c r="I34" s="44"/>
      <c r="J34" s="84" t="s">
        <v>89</v>
      </c>
      <c r="K34" s="44" t="s">
        <v>151</v>
      </c>
      <c r="L34" s="73" t="str">
        <f>IF(OR(NOT(ISERROR(MATCH(RIGHT(D34,3)+0,#REF!,0))),NOT(ISERROR(MATCH(LEFT(D34,3)+0,#REF!,0)))),"No Post","")</f>
        <v/>
      </c>
    </row>
    <row r="35" spans="1:12" ht="18.600000000000001" customHeight="1" x14ac:dyDescent="0.35">
      <c r="A35" s="52"/>
      <c r="B35" s="153"/>
      <c r="C35" s="153"/>
      <c r="D35" s="84">
        <v>885</v>
      </c>
      <c r="E35" s="44" t="s">
        <v>183</v>
      </c>
      <c r="F35" s="46">
        <v>46150</v>
      </c>
      <c r="G35" s="44">
        <v>2</v>
      </c>
      <c r="H35" s="44"/>
      <c r="I35" s="44"/>
      <c r="J35" s="84" t="s">
        <v>89</v>
      </c>
      <c r="K35" s="44" t="s">
        <v>182</v>
      </c>
      <c r="L35" s="73"/>
    </row>
    <row r="36" spans="1:12" s="24" customFormat="1" ht="18.600000000000001" customHeight="1" x14ac:dyDescent="0.4">
      <c r="A36" s="52">
        <v>25</v>
      </c>
      <c r="B36" s="153"/>
      <c r="C36" s="153"/>
      <c r="D36" s="84" t="s">
        <v>194</v>
      </c>
      <c r="E36" s="44" t="s">
        <v>167</v>
      </c>
      <c r="F36" s="46">
        <v>46147</v>
      </c>
      <c r="G36" s="44">
        <v>2</v>
      </c>
      <c r="H36" s="44"/>
      <c r="I36" s="44"/>
      <c r="J36" s="84" t="s">
        <v>89</v>
      </c>
      <c r="K36" s="44" t="s">
        <v>166</v>
      </c>
      <c r="L36" s="73" t="str">
        <f>IF(OR(NOT(ISERROR(MATCH(RIGHT(D36,3)+0,#REF!,0))),NOT(ISERROR(MATCH(LEFT(D36,3)+0,#REF!,0)))),"No Post","")</f>
        <v/>
      </c>
    </row>
    <row r="37" spans="1:12" s="24" customFormat="1" ht="18.600000000000001" customHeight="1" x14ac:dyDescent="0.4">
      <c r="A37" s="156"/>
      <c r="B37" s="156"/>
      <c r="C37" s="156"/>
      <c r="D37" s="157"/>
      <c r="E37" s="158"/>
      <c r="F37" s="159"/>
      <c r="G37" s="157"/>
      <c r="H37" s="157"/>
      <c r="I37" s="157"/>
      <c r="J37" s="158"/>
      <c r="K37" s="158"/>
      <c r="L37" s="73"/>
    </row>
    <row r="38" spans="1:12" s="24" customFormat="1" ht="18.600000000000001" customHeight="1" x14ac:dyDescent="0.4">
      <c r="A38" s="156"/>
      <c r="B38" s="156"/>
      <c r="C38" s="156"/>
      <c r="D38" s="157"/>
      <c r="E38" s="158"/>
      <c r="F38" s="159"/>
      <c r="G38" s="157"/>
      <c r="H38" s="157"/>
      <c r="I38" s="157"/>
      <c r="J38" s="158"/>
      <c r="K38" s="158"/>
      <c r="L38" s="73"/>
    </row>
    <row r="39" spans="1:12" ht="20.25" customHeight="1" x14ac:dyDescent="0.35">
      <c r="A39" s="47"/>
      <c r="B39" s="47"/>
      <c r="C39" s="47"/>
      <c r="D39" s="47"/>
      <c r="E39" s="47" t="str">
        <f>"Remaning: "&amp;IFERROR(MID(A5, SEARCH("MAX", A5) + LEN("MAX"), SEARCH("PAX", A5) - SEARCH("MAX", A5) - LEN("MAX")), "")+0-SUM(G39:H39)</f>
        <v>Remaning: -22</v>
      </c>
      <c r="F39" s="48" t="s">
        <v>19</v>
      </c>
      <c r="G39" s="49">
        <f>SUM(G7:G36)</f>
        <v>42</v>
      </c>
      <c r="H39" s="49">
        <f>SUM(H21:H36)</f>
        <v>0</v>
      </c>
      <c r="I39" s="47"/>
      <c r="J39" s="47"/>
      <c r="K39" s="47"/>
    </row>
    <row r="40" spans="1:12" ht="20.25" customHeight="1" x14ac:dyDescent="0.35">
      <c r="D40" s="8" t="s">
        <v>5</v>
      </c>
      <c r="E40" s="8"/>
      <c r="F40" s="33"/>
      <c r="G40" s="8"/>
      <c r="H40" s="8"/>
      <c r="I40" s="8"/>
    </row>
    <row r="41" spans="1:12" ht="20.25" customHeight="1" x14ac:dyDescent="0.35">
      <c r="D41" s="15" t="s">
        <v>6</v>
      </c>
      <c r="E41" s="9"/>
      <c r="F41" s="34"/>
      <c r="G41" s="9"/>
      <c r="H41" s="9"/>
      <c r="I41" s="9"/>
    </row>
    <row r="42" spans="1:12" ht="20.25" customHeight="1" x14ac:dyDescent="0.35">
      <c r="D42" s="15" t="s">
        <v>7</v>
      </c>
      <c r="E42" s="9"/>
      <c r="F42" s="34"/>
      <c r="G42" s="9"/>
      <c r="H42" s="9"/>
      <c r="I42" s="9"/>
    </row>
    <row r="43" spans="1:12" ht="20.25" customHeight="1" x14ac:dyDescent="0.35">
      <c r="D43" s="15" t="s">
        <v>8</v>
      </c>
      <c r="E43" s="9"/>
      <c r="F43" s="34"/>
      <c r="G43" s="9"/>
      <c r="H43" s="9"/>
      <c r="I43" s="9"/>
    </row>
    <row r="44" spans="1:12" x14ac:dyDescent="0.35">
      <c r="D44" s="15" t="s">
        <v>9</v>
      </c>
      <c r="E44" s="9"/>
      <c r="F44" s="34"/>
      <c r="G44" s="9"/>
      <c r="H44" s="9"/>
      <c r="I44" s="9"/>
    </row>
    <row r="45" spans="1:12" x14ac:dyDescent="0.35">
      <c r="D45" s="15" t="s">
        <v>10</v>
      </c>
      <c r="E45" s="9"/>
      <c r="F45" s="34"/>
      <c r="G45" s="9"/>
      <c r="H45" s="9"/>
      <c r="I45" s="9"/>
    </row>
    <row r="46" spans="1:12" x14ac:dyDescent="0.35">
      <c r="D46" s="15" t="s">
        <v>11</v>
      </c>
      <c r="E46" s="9"/>
      <c r="F46" s="34"/>
      <c r="G46" s="9"/>
      <c r="H46" s="9"/>
      <c r="I46" s="9"/>
    </row>
    <row r="47" spans="1:12" s="11" customFormat="1" ht="15.6" x14ac:dyDescent="0.3">
      <c r="D47" s="16" t="s">
        <v>12</v>
      </c>
      <c r="E47" s="10"/>
      <c r="F47" s="35"/>
      <c r="G47" s="10"/>
      <c r="H47" s="10"/>
    </row>
    <row r="48" spans="1:12" s="11" customFormat="1" ht="15.6" x14ac:dyDescent="0.3">
      <c r="D48" s="16" t="s">
        <v>13</v>
      </c>
      <c r="E48" s="10"/>
      <c r="F48" s="35"/>
      <c r="G48" s="10"/>
      <c r="H48" s="10"/>
    </row>
    <row r="49" spans="4:9" s="13" customFormat="1" ht="20.25" customHeight="1" x14ac:dyDescent="0.35">
      <c r="D49" s="17" t="s">
        <v>14</v>
      </c>
      <c r="E49" s="12"/>
      <c r="F49" s="36"/>
    </row>
    <row r="50" spans="4:9" s="8" customFormat="1" ht="14.4" x14ac:dyDescent="0.3">
      <c r="D50" s="14"/>
      <c r="E50" s="9"/>
      <c r="F50" s="34"/>
      <c r="G50" s="9"/>
      <c r="H50" s="9"/>
      <c r="I50" s="9"/>
    </row>
    <row r="51" spans="4:9" x14ac:dyDescent="0.35">
      <c r="D51" s="9"/>
      <c r="E51" s="9"/>
      <c r="F51" s="34"/>
      <c r="G51" s="9"/>
      <c r="H51" s="9"/>
      <c r="I51" s="9"/>
    </row>
    <row r="52" spans="4:9" x14ac:dyDescent="0.35">
      <c r="D52" s="8"/>
      <c r="E52" s="8"/>
      <c r="F52" s="33"/>
      <c r="G52" s="8"/>
      <c r="H52" s="8"/>
      <c r="I52" s="8"/>
    </row>
    <row r="53" spans="4:9" x14ac:dyDescent="0.35">
      <c r="D53" s="9"/>
      <c r="E53" s="9"/>
      <c r="F53" s="34"/>
      <c r="G53" s="9"/>
      <c r="H53" s="9"/>
      <c r="I53" s="9"/>
    </row>
    <row r="54" spans="4:9" x14ac:dyDescent="0.35">
      <c r="D54" s="9"/>
      <c r="E54" s="9"/>
      <c r="F54" s="34"/>
      <c r="G54" s="9"/>
      <c r="H54" s="9"/>
      <c r="I54" s="9"/>
    </row>
    <row r="55" spans="4:9" x14ac:dyDescent="0.35">
      <c r="D55" s="9"/>
      <c r="E55" s="9"/>
      <c r="F55" s="34"/>
      <c r="G55" s="9"/>
      <c r="H55" s="9"/>
      <c r="I55" s="9"/>
    </row>
    <row r="56" spans="4:9" x14ac:dyDescent="0.35">
      <c r="D56" s="9"/>
      <c r="E56" s="9"/>
      <c r="F56" s="34"/>
      <c r="G56" s="9"/>
      <c r="H56" s="9"/>
      <c r="I56" s="9"/>
    </row>
    <row r="57" spans="4:9" x14ac:dyDescent="0.35">
      <c r="D57" s="9"/>
      <c r="E57" s="9"/>
      <c r="F57" s="34"/>
      <c r="G57" s="9"/>
      <c r="H57" s="9"/>
      <c r="I57" s="9"/>
    </row>
    <row r="58" spans="4:9" x14ac:dyDescent="0.35">
      <c r="D58" s="9"/>
      <c r="E58" s="9"/>
      <c r="F58" s="34"/>
      <c r="G58" s="9"/>
      <c r="H58" s="9"/>
      <c r="I58" s="9"/>
    </row>
    <row r="59" spans="4:9" x14ac:dyDescent="0.35">
      <c r="D59" s="14"/>
      <c r="E59" s="9"/>
      <c r="F59" s="34"/>
      <c r="G59" s="9"/>
      <c r="H59" s="9"/>
      <c r="I59" s="9"/>
    </row>
    <row r="60" spans="4:9" x14ac:dyDescent="0.35">
      <c r="D60" s="9"/>
      <c r="E60" s="9"/>
      <c r="F60" s="34"/>
      <c r="G60" s="9"/>
      <c r="H60" s="9"/>
      <c r="I60" s="9"/>
    </row>
    <row r="62" spans="4:9" x14ac:dyDescent="0.35">
      <c r="D62" s="1"/>
      <c r="E62" s="1"/>
      <c r="F62" s="31"/>
      <c r="G62" s="1"/>
      <c r="H62" s="1"/>
      <c r="I62" s="1"/>
    </row>
    <row r="77" spans="4:9" x14ac:dyDescent="0.35">
      <c r="D77" s="9"/>
      <c r="E77" s="9"/>
      <c r="F77" s="34"/>
      <c r="G77" s="9"/>
      <c r="H77" s="9"/>
      <c r="I77" s="9"/>
    </row>
    <row r="78" spans="4:9" x14ac:dyDescent="0.35">
      <c r="D78" s="9"/>
      <c r="E78" s="9"/>
      <c r="F78" s="34"/>
      <c r="G78" s="9"/>
      <c r="H78" s="9"/>
      <c r="I78" s="9"/>
    </row>
    <row r="79" spans="4:9" x14ac:dyDescent="0.35">
      <c r="D79" s="9"/>
      <c r="E79" s="9"/>
      <c r="F79" s="34"/>
      <c r="G79" s="9"/>
      <c r="H79" s="9"/>
      <c r="I79" s="9"/>
    </row>
    <row r="80" spans="4:9" x14ac:dyDescent="0.35">
      <c r="D80" s="14"/>
      <c r="E80" s="9"/>
      <c r="F80" s="34"/>
      <c r="G80" s="9"/>
      <c r="H80" s="9"/>
      <c r="I80" s="9"/>
    </row>
    <row r="81" spans="4:9" x14ac:dyDescent="0.35">
      <c r="D81" s="9"/>
      <c r="E81" s="9"/>
      <c r="F81" s="34"/>
      <c r="G81" s="9"/>
      <c r="H81" s="9"/>
      <c r="I81" s="9"/>
    </row>
  </sheetData>
  <customSheetViews>
    <customSheetView guid="{B3797D0B-1E44-402B-AD05-6509081B1712}" showPageBreaks="1" printArea="1" topLeftCell="A13">
      <selection activeCell="C28" sqref="C28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cale="85" showPageBreaks="1" printArea="1" topLeftCell="A16">
      <selection activeCell="D19" sqref="D19:K19"/>
      <rowBreaks count="1" manualBreakCount="1">
        <brk id="49" min="3" max="10" man="1"/>
      </rowBreaks>
      <colBreaks count="1" manualBreakCount="1">
        <brk id="13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B11" sqref="B11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I5"/>
  </mergeCells>
  <conditionalFormatting sqref="L7:L38">
    <cfRule type="containsText" dxfId="25" priority="1" operator="containsText" text="No Post">
      <formula>NOT(ISERROR(SEARCH("No Post",L7)))</formula>
    </cfRule>
  </conditionalFormatting>
  <pageMargins left="0.17" right="0.17" top="0.75" bottom="0.75" header="0.3" footer="0.3"/>
  <pageSetup scale="64" orientation="landscape" r:id="rId4"/>
  <rowBreaks count="1" manualBreakCount="1">
    <brk id="49" min="3" max="10" man="1"/>
  </rowBreaks>
  <colBreaks count="1" manualBreakCount="1">
    <brk id="13" max="30" man="1"/>
  </colBrea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9"/>
  <sheetViews>
    <sheetView zoomScaleNormal="100" zoomScaleSheetLayoutView="100" workbookViewId="0">
      <selection activeCell="K12" sqref="K12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7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2" width="9.109375" style="4"/>
    <col min="13" max="13" width="10.44140625" style="4" customWidth="1"/>
    <col min="14" max="16384" width="9.109375" style="4"/>
  </cols>
  <sheetData>
    <row r="2" spans="1:13" x14ac:dyDescent="0.35">
      <c r="E2" s="18" t="s">
        <v>0</v>
      </c>
      <c r="F2" s="30"/>
      <c r="G2" s="5"/>
      <c r="H2" s="5"/>
    </row>
    <row r="4" spans="1:13" s="1" customFormat="1" thickBot="1" x14ac:dyDescent="0.4">
      <c r="F4" s="31"/>
    </row>
    <row r="5" spans="1:13" s="2" customFormat="1" ht="24" thickBot="1" x14ac:dyDescent="0.5">
      <c r="A5" s="218" t="s">
        <v>217</v>
      </c>
      <c r="B5" s="219"/>
      <c r="C5" s="219"/>
      <c r="D5" s="219"/>
      <c r="E5" s="219"/>
      <c r="F5" s="219"/>
      <c r="G5" s="219"/>
      <c r="H5" s="219"/>
      <c r="I5" s="219"/>
      <c r="J5" s="6" t="s">
        <v>18</v>
      </c>
      <c r="K5" s="3" t="str">
        <f ca="1">CONCATENATE((MID(CELL("filename",K5),FIND("]",CELL("filename",K5))+1,255)),"/05/2026")</f>
        <v>7/05/2026</v>
      </c>
    </row>
    <row r="6" spans="1:13" x14ac:dyDescent="0.35">
      <c r="A6" s="38"/>
      <c r="B6" s="129"/>
      <c r="C6" s="129"/>
      <c r="D6" s="39" t="s">
        <v>1</v>
      </c>
      <c r="E6" s="39" t="s">
        <v>2</v>
      </c>
      <c r="F6" s="40" t="s">
        <v>21</v>
      </c>
      <c r="G6" s="39" t="s">
        <v>16</v>
      </c>
      <c r="H6" s="39" t="s">
        <v>17</v>
      </c>
      <c r="I6" s="39" t="s">
        <v>3</v>
      </c>
      <c r="J6" s="41" t="s">
        <v>20</v>
      </c>
      <c r="K6" s="42" t="s">
        <v>4</v>
      </c>
    </row>
    <row r="7" spans="1:13" x14ac:dyDescent="0.35">
      <c r="A7" s="52">
        <v>1</v>
      </c>
      <c r="B7" s="52"/>
      <c r="C7" s="52"/>
      <c r="D7" s="85">
        <v>307</v>
      </c>
      <c r="E7" s="44" t="s">
        <v>197</v>
      </c>
      <c r="F7" s="46">
        <v>46151</v>
      </c>
      <c r="G7" s="44">
        <v>2</v>
      </c>
      <c r="H7" s="44"/>
      <c r="I7" s="44" t="s">
        <v>204</v>
      </c>
      <c r="J7" s="85" t="s">
        <v>92</v>
      </c>
      <c r="K7" s="44" t="s">
        <v>196</v>
      </c>
      <c r="L7" s="73" t="s">
        <v>97</v>
      </c>
      <c r="M7" s="166" t="s">
        <v>223</v>
      </c>
    </row>
    <row r="8" spans="1:13" x14ac:dyDescent="0.35">
      <c r="A8" s="52">
        <v>2</v>
      </c>
      <c r="B8" s="52"/>
      <c r="C8" s="52"/>
      <c r="D8" s="85" t="s">
        <v>220</v>
      </c>
      <c r="E8" s="157" t="s">
        <v>188</v>
      </c>
      <c r="F8" s="46">
        <v>46148</v>
      </c>
      <c r="G8" s="44">
        <v>2</v>
      </c>
      <c r="H8" s="44"/>
      <c r="I8" s="44" t="s">
        <v>204</v>
      </c>
      <c r="J8" s="85" t="s">
        <v>92</v>
      </c>
      <c r="K8" s="44" t="s">
        <v>187</v>
      </c>
      <c r="L8" s="73" t="s">
        <v>97</v>
      </c>
      <c r="M8" s="166" t="s">
        <v>223</v>
      </c>
    </row>
    <row r="9" spans="1:13" x14ac:dyDescent="0.35">
      <c r="A9" s="52">
        <v>3</v>
      </c>
      <c r="B9" s="52"/>
      <c r="C9" s="52"/>
      <c r="D9" s="151">
        <v>617</v>
      </c>
      <c r="E9" s="44" t="s">
        <v>160</v>
      </c>
      <c r="F9" s="46">
        <v>46124</v>
      </c>
      <c r="G9" s="44">
        <v>3</v>
      </c>
      <c r="H9" s="44"/>
      <c r="I9" s="44"/>
      <c r="J9" s="151" t="s">
        <v>193</v>
      </c>
      <c r="K9" s="44" t="s">
        <v>116</v>
      </c>
      <c r="L9" s="73" t="str">
        <f>IF(OR(NOT(ISERROR(MATCH(RIGHT(D9,3)+0,#REF!,0))),NOT(ISERROR(MATCH(LEFT(D9,3)+0,#REF!,0)))),"No Post","")</f>
        <v/>
      </c>
      <c r="M9" s="166" t="s">
        <v>223</v>
      </c>
    </row>
    <row r="10" spans="1:13" x14ac:dyDescent="0.35">
      <c r="A10" s="52">
        <v>4</v>
      </c>
      <c r="B10" s="52"/>
      <c r="C10" s="52"/>
      <c r="D10" s="90" t="s">
        <v>221</v>
      </c>
      <c r="E10" s="44" t="s">
        <v>186</v>
      </c>
      <c r="F10" s="46">
        <v>46148</v>
      </c>
      <c r="G10" s="44">
        <v>2</v>
      </c>
      <c r="H10" s="44"/>
      <c r="I10" s="44"/>
      <c r="J10" s="136" t="s">
        <v>207</v>
      </c>
      <c r="K10" s="44" t="s">
        <v>93</v>
      </c>
      <c r="L10" s="73" t="str">
        <f>IF(OR(NOT(ISERROR(MATCH(RIGHT(D10,3)+0,#REF!,0))),NOT(ISERROR(MATCH(LEFT(D10,3)+0,#REF!,0)))),"No Post","")</f>
        <v/>
      </c>
      <c r="M10" s="166" t="s">
        <v>223</v>
      </c>
    </row>
    <row r="11" spans="1:13" x14ac:dyDescent="0.35">
      <c r="A11" s="52">
        <v>5</v>
      </c>
      <c r="B11" s="52"/>
      <c r="C11" s="52"/>
      <c r="D11" s="152" t="s">
        <v>222</v>
      </c>
      <c r="E11" s="44" t="s">
        <v>38</v>
      </c>
      <c r="F11" s="46">
        <v>46151</v>
      </c>
      <c r="G11" s="44">
        <v>2</v>
      </c>
      <c r="H11" s="44"/>
      <c r="I11" s="44"/>
      <c r="J11" s="135" t="s">
        <v>89</v>
      </c>
      <c r="K11" s="44" t="s">
        <v>24</v>
      </c>
      <c r="L11" s="73" t="str">
        <f>IF(OR(NOT(ISERROR(MATCH(RIGHT(D11,3)+0,#REF!,0))),NOT(ISERROR(MATCH(LEFT(D11,3)+0,#REF!,0)))),"No Post","")</f>
        <v/>
      </c>
      <c r="M11" s="166" t="s">
        <v>223</v>
      </c>
    </row>
    <row r="12" spans="1:13" x14ac:dyDescent="0.35">
      <c r="A12" s="52">
        <v>6</v>
      </c>
      <c r="B12" s="52"/>
      <c r="C12" s="52"/>
      <c r="D12" s="84">
        <v>689</v>
      </c>
      <c r="E12" s="44" t="s">
        <v>215</v>
      </c>
      <c r="F12" s="46">
        <v>46150</v>
      </c>
      <c r="G12" s="44">
        <v>2</v>
      </c>
      <c r="H12" s="44"/>
      <c r="I12" s="44"/>
      <c r="J12" s="135" t="s">
        <v>89</v>
      </c>
      <c r="K12" s="44" t="s">
        <v>216</v>
      </c>
      <c r="L12" s="73" t="str">
        <f>IF(OR(NOT(ISERROR(MATCH(RIGHT(D12,3)+0,#REF!,0))),NOT(ISERROR(MATCH(LEFT(D12,3)+0,#REF!,0)))),"No Post","")</f>
        <v/>
      </c>
      <c r="M12" s="166" t="s">
        <v>223</v>
      </c>
    </row>
    <row r="13" spans="1:13" x14ac:dyDescent="0.35">
      <c r="A13" s="52">
        <v>7</v>
      </c>
      <c r="B13" s="52"/>
      <c r="C13" s="52"/>
      <c r="D13" s="151">
        <v>818</v>
      </c>
      <c r="E13" s="44" t="s">
        <v>37</v>
      </c>
      <c r="F13" s="46">
        <v>46153</v>
      </c>
      <c r="G13" s="44">
        <v>2</v>
      </c>
      <c r="H13" s="44"/>
      <c r="I13" s="44"/>
      <c r="J13" s="165" t="s">
        <v>193</v>
      </c>
      <c r="K13" s="44" t="s">
        <v>24</v>
      </c>
      <c r="L13" s="73" t="str">
        <f>IF(OR(NOT(ISERROR(MATCH(RIGHT(D13,3)+0,#REF!,0))),NOT(ISERROR(MATCH(LEFT(D13,3)+0,#REF!,0)))),"No Post","")</f>
        <v/>
      </c>
      <c r="M13" s="166" t="s">
        <v>223</v>
      </c>
    </row>
    <row r="14" spans="1:13" x14ac:dyDescent="0.35">
      <c r="A14" s="52">
        <v>8</v>
      </c>
      <c r="B14" s="52"/>
      <c r="C14" s="52"/>
      <c r="D14" s="90">
        <v>848</v>
      </c>
      <c r="E14" s="44" t="s">
        <v>210</v>
      </c>
      <c r="F14" s="46">
        <v>46152</v>
      </c>
      <c r="G14" s="44">
        <v>2</v>
      </c>
      <c r="H14" s="44"/>
      <c r="I14" s="44"/>
      <c r="J14" s="90" t="s">
        <v>101</v>
      </c>
      <c r="K14" s="44" t="s">
        <v>113</v>
      </c>
      <c r="L14" s="73" t="s">
        <v>97</v>
      </c>
      <c r="M14" s="166" t="s">
        <v>223</v>
      </c>
    </row>
    <row r="15" spans="1:13" x14ac:dyDescent="0.35">
      <c r="A15" s="52">
        <v>9</v>
      </c>
      <c r="B15" s="52"/>
      <c r="C15" s="52"/>
      <c r="D15" s="90">
        <v>869</v>
      </c>
      <c r="E15" s="44" t="s">
        <v>209</v>
      </c>
      <c r="F15" s="46">
        <v>46152</v>
      </c>
      <c r="G15" s="44">
        <v>2</v>
      </c>
      <c r="H15" s="44"/>
      <c r="I15" s="44"/>
      <c r="J15" s="90" t="s">
        <v>101</v>
      </c>
      <c r="K15" s="44" t="s">
        <v>113</v>
      </c>
      <c r="L15" s="73" t="s">
        <v>97</v>
      </c>
      <c r="M15" s="166" t="s">
        <v>223</v>
      </c>
    </row>
    <row r="16" spans="1:13" x14ac:dyDescent="0.35">
      <c r="A16" s="52">
        <v>10</v>
      </c>
      <c r="B16" s="52"/>
      <c r="C16" s="52"/>
      <c r="D16" s="163">
        <v>889</v>
      </c>
      <c r="E16" s="163" t="s">
        <v>40</v>
      </c>
      <c r="F16" s="164">
        <v>46151</v>
      </c>
      <c r="G16" s="163" t="s">
        <v>152</v>
      </c>
      <c r="H16" s="163"/>
      <c r="I16" s="163"/>
      <c r="J16" s="163" t="s">
        <v>89</v>
      </c>
      <c r="K16" s="44" t="s">
        <v>31</v>
      </c>
      <c r="L16" s="73" t="str">
        <f>IF(OR(NOT(ISERROR(MATCH(RIGHT(D17,3)+0,#REF!,0))),NOT(ISERROR(MATCH(LEFT(D17,3)+0,#REF!,0)))),"No Post","")</f>
        <v/>
      </c>
    </row>
    <row r="17" spans="1:12" ht="18.600000000000001" customHeight="1" x14ac:dyDescent="0.35">
      <c r="A17" s="52">
        <v>11</v>
      </c>
      <c r="B17" s="52"/>
      <c r="C17" s="52"/>
      <c r="D17" s="163">
        <v>885</v>
      </c>
      <c r="E17" s="163" t="s">
        <v>183</v>
      </c>
      <c r="F17" s="164">
        <v>46150</v>
      </c>
      <c r="G17" s="163" t="s">
        <v>190</v>
      </c>
      <c r="H17" s="163"/>
      <c r="I17" s="163"/>
      <c r="J17" s="163" t="s">
        <v>89</v>
      </c>
      <c r="K17" s="44" t="s">
        <v>182</v>
      </c>
      <c r="L17" s="73" t="str">
        <f>IF(OR(NOT(ISERROR(MATCH(RIGHT(D16,3)+0,#REF!,0))),NOT(ISERROR(MATCH(LEFT(D16,3)+0,#REF!,0)))),"No Post","")</f>
        <v/>
      </c>
    </row>
    <row r="18" spans="1:12" ht="18.600000000000001" customHeight="1" x14ac:dyDescent="0.35">
      <c r="A18" s="52">
        <v>12</v>
      </c>
      <c r="B18" s="52"/>
      <c r="C18" s="52"/>
      <c r="D18" s="44"/>
      <c r="E18" s="45"/>
      <c r="F18" s="46"/>
      <c r="G18" s="44"/>
      <c r="H18" s="44"/>
      <c r="I18" s="44"/>
      <c r="J18" s="45"/>
      <c r="K18" s="45"/>
      <c r="L18" s="73" t="str">
        <f>IF(OR(NOT(ISERROR(MATCH(RIGHT(#REF!,3)+0,#REF!,0))),NOT(ISERROR(MATCH(LEFT(#REF!,3)+0,#REF!,0)))),"No Post","")</f>
        <v/>
      </c>
    </row>
    <row r="19" spans="1:12" ht="18.600000000000001" customHeight="1" x14ac:dyDescent="0.35">
      <c r="A19" s="52">
        <v>13</v>
      </c>
      <c r="B19" s="52"/>
      <c r="C19" s="52"/>
      <c r="D19" s="44"/>
      <c r="E19" s="45"/>
      <c r="F19" s="46"/>
      <c r="G19" s="44"/>
      <c r="H19" s="44"/>
      <c r="I19" s="44"/>
      <c r="J19" s="45"/>
      <c r="K19" s="45"/>
      <c r="L19" s="73" t="str">
        <f>IF(OR(NOT(ISERROR(MATCH(RIGHT(D19,3)+0,#REF!,0))),NOT(ISERROR(MATCH(LEFT(D19,3)+0,#REF!,0)))),"No Post","")</f>
        <v/>
      </c>
    </row>
    <row r="20" spans="1:12" ht="18.600000000000001" customHeight="1" x14ac:dyDescent="0.35">
      <c r="A20" s="52">
        <v>14</v>
      </c>
      <c r="B20" s="52"/>
      <c r="C20" s="52"/>
      <c r="D20" s="44"/>
      <c r="E20" s="45"/>
      <c r="F20" s="46"/>
      <c r="G20" s="44"/>
      <c r="H20" s="44"/>
      <c r="I20" s="44"/>
      <c r="J20" s="45"/>
      <c r="K20" s="45"/>
      <c r="L20" s="73" t="str">
        <f>IF(OR(NOT(ISERROR(MATCH(RIGHT(D20,3)+0,#REF!,0))),NOT(ISERROR(MATCH(LEFT(D20,3)+0,#REF!,0)))),"No Post","")</f>
        <v/>
      </c>
    </row>
    <row r="21" spans="1:12" ht="18.600000000000001" customHeight="1" x14ac:dyDescent="0.35">
      <c r="A21" s="52">
        <v>15</v>
      </c>
      <c r="B21" s="52"/>
      <c r="C21" s="52"/>
      <c r="D21" s="44"/>
      <c r="E21" s="45"/>
      <c r="F21" s="46"/>
      <c r="G21" s="44"/>
      <c r="H21" s="44"/>
      <c r="I21" s="44"/>
      <c r="J21" s="45"/>
      <c r="K21" s="45"/>
      <c r="L21" s="73" t="str">
        <f>IF(OR(NOT(ISERROR(MATCH(RIGHT(D21,3)+0,#REF!,0))),NOT(ISERROR(MATCH(LEFT(D21,3)+0,#REF!,0)))),"No Post","")</f>
        <v/>
      </c>
    </row>
    <row r="22" spans="1:12" ht="18.600000000000001" customHeight="1" x14ac:dyDescent="0.35">
      <c r="A22" s="52">
        <v>16</v>
      </c>
      <c r="B22" s="52"/>
      <c r="C22" s="52"/>
      <c r="D22" s="44"/>
      <c r="E22" s="45"/>
      <c r="F22" s="46"/>
      <c r="G22" s="44"/>
      <c r="H22" s="44"/>
      <c r="I22" s="44"/>
      <c r="J22" s="45"/>
      <c r="K22" s="45"/>
      <c r="L22" s="73" t="str">
        <f>IF(OR(NOT(ISERROR(MATCH(RIGHT(D22,3)+0,#REF!,0))),NOT(ISERROR(MATCH(LEFT(D22,3)+0,#REF!,0)))),"No Post","")</f>
        <v/>
      </c>
    </row>
    <row r="23" spans="1:12" ht="18.600000000000001" customHeight="1" x14ac:dyDescent="0.35">
      <c r="A23" s="52">
        <v>17</v>
      </c>
      <c r="B23" s="52"/>
      <c r="C23" s="52"/>
      <c r="D23" s="44"/>
      <c r="E23" s="45"/>
      <c r="F23" s="46"/>
      <c r="G23" s="44"/>
      <c r="H23" s="44"/>
      <c r="I23" s="44"/>
      <c r="J23" s="45"/>
      <c r="K23" s="45"/>
      <c r="L23" s="73" t="str">
        <f>IF(OR(NOT(ISERROR(MATCH(RIGHT(D23,3)+0,#REF!,0))),NOT(ISERROR(MATCH(LEFT(D23,3)+0,#REF!,0)))),"No Post","")</f>
        <v/>
      </c>
    </row>
    <row r="24" spans="1:12" ht="18.600000000000001" customHeight="1" x14ac:dyDescent="0.35">
      <c r="A24" s="52">
        <v>18</v>
      </c>
      <c r="B24" s="52"/>
      <c r="C24" s="52"/>
      <c r="D24" s="44"/>
      <c r="E24" s="45"/>
      <c r="F24" s="46"/>
      <c r="G24" s="44"/>
      <c r="H24" s="44"/>
      <c r="I24" s="44"/>
      <c r="J24" s="45"/>
      <c r="K24" s="45"/>
      <c r="L24" s="73" t="str">
        <f>IF(OR(NOT(ISERROR(MATCH(RIGHT(D24,3)+0,#REF!,0))),NOT(ISERROR(MATCH(LEFT(D24,3)+0,#REF!,0)))),"No Post","")</f>
        <v/>
      </c>
    </row>
    <row r="25" spans="1:12" ht="18.600000000000001" customHeight="1" x14ac:dyDescent="0.35">
      <c r="A25" s="52">
        <v>19</v>
      </c>
      <c r="B25" s="52"/>
      <c r="C25" s="52"/>
      <c r="D25" s="44"/>
      <c r="E25" s="45"/>
      <c r="F25" s="46"/>
      <c r="G25" s="44"/>
      <c r="H25" s="44"/>
      <c r="I25" s="44"/>
      <c r="J25" s="45"/>
      <c r="K25" s="45"/>
      <c r="L25" s="73" t="str">
        <f>IF(OR(NOT(ISERROR(MATCH(RIGHT(D25,3)+0,#REF!,0))),NOT(ISERROR(MATCH(LEFT(D25,3)+0,#REF!,0)))),"No Post","")</f>
        <v/>
      </c>
    </row>
    <row r="26" spans="1:12" s="24" customFormat="1" ht="18.600000000000001" customHeight="1" x14ac:dyDescent="0.4">
      <c r="A26" s="52">
        <v>20</v>
      </c>
      <c r="B26" s="52"/>
      <c r="C26" s="52"/>
      <c r="D26" s="44"/>
      <c r="E26" s="45"/>
      <c r="F26" s="46"/>
      <c r="G26" s="44"/>
      <c r="H26" s="44"/>
      <c r="I26" s="44"/>
      <c r="J26" s="45"/>
      <c r="K26" s="45"/>
      <c r="L26" s="73" t="str">
        <f>IF(OR(NOT(ISERROR(MATCH(RIGHT(D26,3)+0,#REF!,0))),NOT(ISERROR(MATCH(LEFT(D26,3)+0,#REF!,0)))),"No Post","")</f>
        <v/>
      </c>
    </row>
    <row r="27" spans="1:12" ht="20.25" customHeight="1" x14ac:dyDescent="0.35">
      <c r="A27" s="47"/>
      <c r="B27" s="47"/>
      <c r="C27" s="47"/>
      <c r="D27" s="47"/>
      <c r="E27" s="47" t="str">
        <f>"Remaning: "&amp;IFERROR(MID(A5, SEARCH("MAX", A5) + LEN("MAX"), SEARCH("PAX", A5) - SEARCH("MAX", A5) - LEN("MAX")), "")+0-SUM(G27:H27)</f>
        <v>Remaning: 8</v>
      </c>
      <c r="F27" s="48" t="s">
        <v>19</v>
      </c>
      <c r="G27" s="49">
        <f>SUM(G7:G26)</f>
        <v>19</v>
      </c>
      <c r="H27" s="49">
        <f>SUM(H16:H26)</f>
        <v>0</v>
      </c>
      <c r="I27" s="47"/>
      <c r="J27" s="47"/>
      <c r="K27" s="47"/>
    </row>
    <row r="28" spans="1:12" ht="20.25" customHeight="1" x14ac:dyDescent="0.35">
      <c r="D28" s="8" t="s">
        <v>5</v>
      </c>
      <c r="E28" s="8"/>
      <c r="F28" s="33"/>
      <c r="G28" s="8"/>
      <c r="H28" s="8"/>
      <c r="I28" s="8"/>
    </row>
    <row r="29" spans="1:12" ht="20.25" customHeight="1" x14ac:dyDescent="0.35">
      <c r="D29" s="15" t="s">
        <v>6</v>
      </c>
      <c r="E29" s="9"/>
      <c r="F29" s="34"/>
      <c r="G29" s="9"/>
      <c r="H29" s="9"/>
      <c r="I29" s="9"/>
    </row>
    <row r="30" spans="1:12" ht="20.25" customHeight="1" x14ac:dyDescent="0.35">
      <c r="D30" s="15" t="s">
        <v>7</v>
      </c>
      <c r="E30" s="9"/>
      <c r="F30" s="34"/>
      <c r="G30" s="9"/>
      <c r="H30" s="9"/>
      <c r="I30" s="9"/>
    </row>
    <row r="31" spans="1:12" ht="20.25" customHeight="1" x14ac:dyDescent="0.35">
      <c r="D31" s="15" t="s">
        <v>8</v>
      </c>
      <c r="E31" s="9"/>
      <c r="F31" s="34"/>
      <c r="G31" s="9"/>
      <c r="H31" s="9"/>
      <c r="I31" s="9"/>
    </row>
    <row r="32" spans="1:12" x14ac:dyDescent="0.35">
      <c r="D32" s="15" t="s">
        <v>9</v>
      </c>
      <c r="E32" s="9"/>
      <c r="F32" s="34"/>
      <c r="G32" s="9"/>
      <c r="H32" s="9"/>
      <c r="I32" s="9"/>
    </row>
    <row r="33" spans="4:9" x14ac:dyDescent="0.35">
      <c r="D33" s="15" t="s">
        <v>10</v>
      </c>
      <c r="E33" s="9"/>
      <c r="F33" s="34"/>
      <c r="G33" s="9"/>
      <c r="H33" s="9"/>
      <c r="I33" s="9"/>
    </row>
    <row r="34" spans="4:9" x14ac:dyDescent="0.35">
      <c r="D34" s="15" t="s">
        <v>11</v>
      </c>
      <c r="E34" s="9"/>
      <c r="F34" s="34"/>
      <c r="G34" s="9"/>
      <c r="H34" s="9"/>
      <c r="I34" s="9"/>
    </row>
    <row r="35" spans="4:9" s="11" customFormat="1" ht="15.6" x14ac:dyDescent="0.3">
      <c r="D35" s="16" t="s">
        <v>12</v>
      </c>
      <c r="E35" s="10"/>
      <c r="F35" s="35"/>
      <c r="G35" s="10"/>
      <c r="H35" s="10"/>
    </row>
    <row r="36" spans="4:9" s="11" customFormat="1" ht="15.6" x14ac:dyDescent="0.3">
      <c r="D36" s="16" t="s">
        <v>13</v>
      </c>
      <c r="E36" s="10"/>
      <c r="F36" s="35"/>
      <c r="G36" s="10"/>
      <c r="H36" s="10"/>
    </row>
    <row r="37" spans="4:9" s="13" customFormat="1" ht="20.25" customHeight="1" x14ac:dyDescent="0.35">
      <c r="D37" s="17" t="s">
        <v>14</v>
      </c>
      <c r="E37" s="12"/>
      <c r="F37" s="36"/>
    </row>
    <row r="38" spans="4:9" s="8" customFormat="1" ht="14.4" x14ac:dyDescent="0.3">
      <c r="D38" s="14"/>
      <c r="E38" s="9"/>
      <c r="F38" s="34"/>
      <c r="G38" s="9"/>
      <c r="H38" s="9"/>
      <c r="I38" s="9"/>
    </row>
    <row r="39" spans="4:9" x14ac:dyDescent="0.35">
      <c r="D39" s="9"/>
      <c r="E39" s="9"/>
      <c r="F39" s="34"/>
      <c r="G39" s="9"/>
      <c r="H39" s="9"/>
      <c r="I39" s="9"/>
    </row>
    <row r="40" spans="4:9" x14ac:dyDescent="0.35">
      <c r="D40" s="8"/>
      <c r="E40" s="8"/>
      <c r="F40" s="33"/>
      <c r="G40" s="8"/>
      <c r="H40" s="8"/>
      <c r="I40" s="8"/>
    </row>
    <row r="41" spans="4:9" x14ac:dyDescent="0.35">
      <c r="D41" s="9"/>
      <c r="E41" s="9"/>
      <c r="F41" s="34"/>
      <c r="G41" s="9"/>
      <c r="H41" s="9"/>
      <c r="I41" s="9"/>
    </row>
    <row r="42" spans="4:9" x14ac:dyDescent="0.35">
      <c r="D42" s="9"/>
      <c r="E42" s="9"/>
      <c r="F42" s="34"/>
      <c r="G42" s="9"/>
      <c r="H42" s="9"/>
      <c r="I42" s="9"/>
    </row>
    <row r="43" spans="4:9" x14ac:dyDescent="0.35">
      <c r="D43" s="9"/>
      <c r="E43" s="9"/>
      <c r="F43" s="34"/>
      <c r="G43" s="9"/>
      <c r="H43" s="9"/>
      <c r="I43" s="9"/>
    </row>
    <row r="44" spans="4:9" x14ac:dyDescent="0.35">
      <c r="D44" s="9"/>
      <c r="E44" s="9"/>
      <c r="F44" s="34"/>
      <c r="G44" s="9"/>
      <c r="H44" s="9"/>
      <c r="I44" s="9"/>
    </row>
    <row r="45" spans="4:9" x14ac:dyDescent="0.35">
      <c r="D45" s="9"/>
      <c r="E45" s="9"/>
      <c r="F45" s="34"/>
      <c r="G45" s="9"/>
      <c r="H45" s="9"/>
      <c r="I45" s="9"/>
    </row>
    <row r="46" spans="4:9" x14ac:dyDescent="0.35">
      <c r="D46" s="9"/>
      <c r="E46" s="9"/>
      <c r="F46" s="34"/>
      <c r="G46" s="9"/>
      <c r="H46" s="9"/>
      <c r="I46" s="9"/>
    </row>
    <row r="47" spans="4:9" x14ac:dyDescent="0.35">
      <c r="D47" s="14"/>
      <c r="E47" s="9"/>
      <c r="F47" s="34"/>
      <c r="G47" s="9"/>
      <c r="H47" s="9"/>
      <c r="I47" s="9"/>
    </row>
    <row r="48" spans="4:9" x14ac:dyDescent="0.35">
      <c r="D48" s="9"/>
      <c r="E48" s="9"/>
      <c r="F48" s="34"/>
      <c r="G48" s="9"/>
      <c r="H48" s="9"/>
      <c r="I48" s="9"/>
    </row>
    <row r="50" spans="4:9" x14ac:dyDescent="0.35">
      <c r="D50" s="1"/>
      <c r="E50" s="1"/>
      <c r="F50" s="31"/>
      <c r="G50" s="1"/>
      <c r="H50" s="1"/>
      <c r="I50" s="1"/>
    </row>
    <row r="65" spans="4:9" x14ac:dyDescent="0.35">
      <c r="D65" s="9"/>
      <c r="E65" s="9"/>
      <c r="F65" s="34"/>
      <c r="G65" s="9"/>
      <c r="H65" s="9"/>
      <c r="I65" s="9"/>
    </row>
    <row r="66" spans="4:9" x14ac:dyDescent="0.35">
      <c r="D66" s="9"/>
      <c r="E66" s="9"/>
      <c r="F66" s="34"/>
      <c r="G66" s="9"/>
      <c r="H66" s="9"/>
      <c r="I66" s="9"/>
    </row>
    <row r="67" spans="4:9" x14ac:dyDescent="0.35">
      <c r="D67" s="9"/>
      <c r="E67" s="9"/>
      <c r="F67" s="34"/>
      <c r="G67" s="9"/>
      <c r="H67" s="9"/>
      <c r="I67" s="9"/>
    </row>
    <row r="68" spans="4:9" x14ac:dyDescent="0.35">
      <c r="D68" s="14"/>
      <c r="E68" s="9"/>
      <c r="F68" s="34"/>
      <c r="G68" s="9"/>
      <c r="H68" s="9"/>
      <c r="I68" s="9"/>
    </row>
    <row r="69" spans="4:9" x14ac:dyDescent="0.35">
      <c r="D69" s="9"/>
      <c r="E69" s="9"/>
      <c r="F69" s="34"/>
      <c r="G69" s="9"/>
      <c r="H69" s="9"/>
      <c r="I69" s="9"/>
    </row>
  </sheetData>
  <sortState ref="D7:K18">
    <sortCondition ref="D7"/>
  </sortState>
  <customSheetViews>
    <customSheetView guid="{B3797D0B-1E44-402B-AD05-6509081B1712}" showPageBreaks="1" printArea="1">
      <selection activeCell="C12" sqref="C12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K12" sqref="K12"/>
      <rowBreaks count="1" manualBreakCount="1">
        <brk id="37" min="3" max="10" man="1"/>
      </rowBreaks>
      <colBreaks count="1" manualBreakCount="1">
        <brk id="13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C12" sqref="C12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I5"/>
  </mergeCells>
  <conditionalFormatting sqref="L7:L26">
    <cfRule type="containsText" dxfId="24" priority="1" operator="containsText" text="No Post">
      <formula>NOT(ISERROR(SEARCH("No Post",L7)))</formula>
    </cfRule>
  </conditionalFormatting>
  <pageMargins left="0.17" right="0.17" top="0.75" bottom="0.75" header="0.3" footer="0.3"/>
  <pageSetup scale="64" orientation="landscape" r:id="rId4"/>
  <rowBreaks count="1" manualBreakCount="1">
    <brk id="37" min="3" max="10" man="1"/>
  </rowBreaks>
  <colBreaks count="1" manualBreakCount="1">
    <brk id="13" max="30" man="1"/>
  </colBrea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5"/>
  <sheetViews>
    <sheetView topLeftCell="A4" zoomScaleNormal="100" zoomScaleSheetLayoutView="100" workbookViewId="0">
      <selection activeCell="E7" sqref="E7:F20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1" x14ac:dyDescent="0.35">
      <c r="C2" s="18" t="s">
        <v>0</v>
      </c>
      <c r="D2" s="30"/>
      <c r="E2" s="5"/>
      <c r="F2" s="5"/>
    </row>
    <row r="4" spans="1:11" s="1" customFormat="1" thickBot="1" x14ac:dyDescent="0.4">
      <c r="D4" s="31"/>
    </row>
    <row r="5" spans="1:11" s="2" customFormat="1" ht="24" thickBot="1" x14ac:dyDescent="0.5">
      <c r="A5" s="218" t="s">
        <v>15</v>
      </c>
      <c r="B5" s="219"/>
      <c r="C5" s="219"/>
      <c r="D5" s="219"/>
      <c r="E5" s="219"/>
      <c r="F5" s="219"/>
      <c r="G5" s="219"/>
      <c r="H5" s="6" t="s">
        <v>18</v>
      </c>
      <c r="I5" s="3" t="str">
        <f ca="1">CONCATENATE((MID(CELL("filename",I5),FIND("]",CELL("filename",I5))+1,255)),"/05/2026")</f>
        <v>8/05/2026</v>
      </c>
    </row>
    <row r="6" spans="1:11" x14ac:dyDescent="0.35">
      <c r="A6" s="38"/>
      <c r="B6" s="39" t="s">
        <v>1</v>
      </c>
      <c r="C6" s="39" t="s">
        <v>2</v>
      </c>
      <c r="D6" s="40" t="s">
        <v>21</v>
      </c>
      <c r="E6" s="39" t="s">
        <v>16</v>
      </c>
      <c r="F6" s="39" t="s">
        <v>17</v>
      </c>
      <c r="G6" s="39" t="s">
        <v>3</v>
      </c>
      <c r="H6" s="41" t="s">
        <v>20</v>
      </c>
      <c r="I6" s="42" t="s">
        <v>4</v>
      </c>
    </row>
    <row r="7" spans="1:11" x14ac:dyDescent="0.35">
      <c r="A7" s="52">
        <v>1</v>
      </c>
      <c r="B7" s="85">
        <v>307</v>
      </c>
      <c r="C7" s="44" t="s">
        <v>197</v>
      </c>
      <c r="D7" s="46">
        <v>46151</v>
      </c>
      <c r="E7" s="44">
        <v>2</v>
      </c>
      <c r="F7" s="44"/>
      <c r="G7" s="44" t="s">
        <v>204</v>
      </c>
      <c r="H7" s="85" t="s">
        <v>92</v>
      </c>
      <c r="I7" s="44" t="s">
        <v>196</v>
      </c>
      <c r="J7" s="175" t="s">
        <v>97</v>
      </c>
      <c r="K7" s="130"/>
    </row>
    <row r="8" spans="1:11" x14ac:dyDescent="0.35">
      <c r="A8" s="52">
        <v>2</v>
      </c>
      <c r="B8" s="84">
        <v>308</v>
      </c>
      <c r="C8" s="44" t="s">
        <v>226</v>
      </c>
      <c r="D8" s="46">
        <v>46152</v>
      </c>
      <c r="E8" s="44" t="s">
        <v>162</v>
      </c>
      <c r="F8" s="44"/>
      <c r="G8" s="44"/>
      <c r="H8" s="84" t="s">
        <v>89</v>
      </c>
      <c r="I8" s="44" t="s">
        <v>227</v>
      </c>
      <c r="J8" s="175" t="str">
        <f>IF(OR(NOT(ISERROR(MATCH(RIGHT(B8,3)+0,#REF!,0))),NOT(ISERROR(MATCH(LEFT(B8,3)+0,#REF!,0)))),"No Post","")</f>
        <v/>
      </c>
      <c r="K8" s="167"/>
    </row>
    <row r="9" spans="1:11" x14ac:dyDescent="0.35">
      <c r="A9" s="52">
        <v>3</v>
      </c>
      <c r="B9" s="84">
        <v>337</v>
      </c>
      <c r="C9" s="44" t="s">
        <v>199</v>
      </c>
      <c r="D9" s="46">
        <v>46151</v>
      </c>
      <c r="E9" s="44">
        <v>2</v>
      </c>
      <c r="F9" s="44"/>
      <c r="G9" s="44"/>
      <c r="H9" s="84" t="s">
        <v>89</v>
      </c>
      <c r="I9" s="44" t="s">
        <v>113</v>
      </c>
      <c r="J9" s="175" t="str">
        <f>IF(OR(NOT(ISERROR(MATCH(RIGHT(B9,3)+0,#REF!,0))),NOT(ISERROR(MATCH(LEFT(B9,3)+0,#REF!,0)))),"No Post","")</f>
        <v/>
      </c>
      <c r="K9" s="167"/>
    </row>
    <row r="10" spans="1:11" x14ac:dyDescent="0.35">
      <c r="A10" s="52">
        <v>4</v>
      </c>
      <c r="B10" s="151">
        <v>617</v>
      </c>
      <c r="C10" s="44" t="s">
        <v>160</v>
      </c>
      <c r="D10" s="46">
        <v>46124</v>
      </c>
      <c r="E10" s="44" t="s">
        <v>282</v>
      </c>
      <c r="F10" s="44"/>
      <c r="G10" s="44"/>
      <c r="H10" s="151" t="s">
        <v>193</v>
      </c>
      <c r="I10" s="44" t="s">
        <v>116</v>
      </c>
      <c r="J10" s="175" t="str">
        <f>IF(OR(NOT(ISERROR(MATCH(RIGHT(B10,3)+0,#REF!,0))),NOT(ISERROR(MATCH(LEFT(B10,3)+0,#REF!,0)))),"No Post","")</f>
        <v/>
      </c>
      <c r="K10" s="167"/>
    </row>
    <row r="11" spans="1:11" x14ac:dyDescent="0.35">
      <c r="A11" s="52">
        <v>5</v>
      </c>
      <c r="B11" s="162">
        <v>691</v>
      </c>
      <c r="C11" s="44" t="s">
        <v>218</v>
      </c>
      <c r="D11" s="46">
        <v>46151</v>
      </c>
      <c r="E11" s="44" t="s">
        <v>162</v>
      </c>
      <c r="F11" s="44" t="s">
        <v>283</v>
      </c>
      <c r="G11" s="44"/>
      <c r="H11" s="162" t="s">
        <v>230</v>
      </c>
      <c r="I11" s="44" t="s">
        <v>93</v>
      </c>
      <c r="J11" s="175" t="str">
        <f>IF(OR(NOT(ISERROR(MATCH(RIGHT(B11,3)+0,#REF!,0))),NOT(ISERROR(MATCH(LEFT(B11,3)+0,#REF!,0)))),"No Post","")</f>
        <v/>
      </c>
      <c r="K11" s="130"/>
    </row>
    <row r="12" spans="1:11" x14ac:dyDescent="0.35">
      <c r="A12" s="52">
        <v>6</v>
      </c>
      <c r="B12" s="151">
        <v>818</v>
      </c>
      <c r="C12" s="157" t="s">
        <v>37</v>
      </c>
      <c r="D12" s="46">
        <v>46153</v>
      </c>
      <c r="E12" s="44" t="s">
        <v>162</v>
      </c>
      <c r="F12" s="44"/>
      <c r="G12" s="44"/>
      <c r="H12" s="151" t="s">
        <v>193</v>
      </c>
      <c r="I12" s="44" t="s">
        <v>24</v>
      </c>
      <c r="J12" s="175" t="str">
        <f>IF(OR(NOT(ISERROR(MATCH(RIGHT(B12,3)+0,#REF!,0))),NOT(ISERROR(MATCH(LEFT(B12,3)+0,#REF!,0)))),"No Post","")</f>
        <v/>
      </c>
      <c r="K12" s="167"/>
    </row>
    <row r="13" spans="1:11" x14ac:dyDescent="0.35">
      <c r="A13" s="52">
        <v>7</v>
      </c>
      <c r="B13" s="90">
        <v>848</v>
      </c>
      <c r="C13" s="44" t="s">
        <v>210</v>
      </c>
      <c r="D13" s="46">
        <v>46152</v>
      </c>
      <c r="E13" s="44">
        <v>2</v>
      </c>
      <c r="F13" s="44"/>
      <c r="G13" s="44"/>
      <c r="H13" s="90" t="s">
        <v>101</v>
      </c>
      <c r="I13" s="44" t="s">
        <v>113</v>
      </c>
      <c r="J13" s="175" t="s">
        <v>97</v>
      </c>
      <c r="K13" s="130"/>
    </row>
    <row r="14" spans="1:11" x14ac:dyDescent="0.35">
      <c r="A14" s="52">
        <v>8</v>
      </c>
      <c r="B14" s="90">
        <v>869</v>
      </c>
      <c r="C14" s="44" t="s">
        <v>209</v>
      </c>
      <c r="D14" s="46">
        <v>46152</v>
      </c>
      <c r="E14" s="44">
        <v>2</v>
      </c>
      <c r="F14" s="44"/>
      <c r="G14" s="44"/>
      <c r="H14" s="90" t="s">
        <v>101</v>
      </c>
      <c r="I14" s="44" t="s">
        <v>113</v>
      </c>
      <c r="J14" s="175" t="s">
        <v>97</v>
      </c>
      <c r="K14" s="167"/>
    </row>
    <row r="15" spans="1:11" x14ac:dyDescent="0.35">
      <c r="A15" s="52">
        <v>9</v>
      </c>
      <c r="B15" s="84">
        <v>889</v>
      </c>
      <c r="C15" s="21" t="s">
        <v>40</v>
      </c>
      <c r="D15" s="46">
        <v>46151</v>
      </c>
      <c r="E15" s="44" t="s">
        <v>247</v>
      </c>
      <c r="F15" s="44"/>
      <c r="G15" s="44"/>
      <c r="H15" s="84" t="s">
        <v>89</v>
      </c>
      <c r="I15" s="44" t="s">
        <v>31</v>
      </c>
      <c r="J15" s="175" t="str">
        <f>IF(OR(NOT(ISERROR(MATCH(RIGHT(B15,3)+0,#REF!,0))),NOT(ISERROR(MATCH(LEFT(B15,3)+0,#REF!,0)))),"No Post","")</f>
        <v/>
      </c>
      <c r="K15" s="167"/>
    </row>
    <row r="16" spans="1:11" x14ac:dyDescent="0.35">
      <c r="A16" s="52">
        <v>10</v>
      </c>
      <c r="B16" s="85" t="s">
        <v>220</v>
      </c>
      <c r="C16" s="44" t="s">
        <v>188</v>
      </c>
      <c r="D16" s="46">
        <v>46148</v>
      </c>
      <c r="E16" s="44" t="s">
        <v>247</v>
      </c>
      <c r="F16" s="44"/>
      <c r="G16" s="44" t="s">
        <v>204</v>
      </c>
      <c r="H16" s="85" t="s">
        <v>92</v>
      </c>
      <c r="I16" s="44" t="s">
        <v>187</v>
      </c>
      <c r="J16" s="175" t="s">
        <v>97</v>
      </c>
      <c r="K16" s="167"/>
    </row>
    <row r="17" spans="1:11" ht="18.600000000000001" customHeight="1" x14ac:dyDescent="0.35">
      <c r="A17" s="52">
        <v>11</v>
      </c>
      <c r="B17" s="84" t="s">
        <v>222</v>
      </c>
      <c r="C17" s="44" t="s">
        <v>38</v>
      </c>
      <c r="D17" s="46">
        <v>46151</v>
      </c>
      <c r="E17" s="44">
        <v>2</v>
      </c>
      <c r="F17" s="44"/>
      <c r="G17" s="44"/>
      <c r="H17" s="84" t="s">
        <v>89</v>
      </c>
      <c r="I17" s="44" t="s">
        <v>24</v>
      </c>
      <c r="J17" s="175" t="str">
        <f>IF(OR(NOT(ISERROR(MATCH(RIGHT(B17,3)+0,#REF!,0))),NOT(ISERROR(MATCH(LEFT(B17,3)+0,#REF!,0)))),"No Post","")</f>
        <v/>
      </c>
      <c r="K17" s="167"/>
    </row>
    <row r="18" spans="1:11" ht="18.600000000000001" customHeight="1" x14ac:dyDescent="0.35">
      <c r="A18" s="52">
        <v>12</v>
      </c>
      <c r="B18" s="84" t="s">
        <v>231</v>
      </c>
      <c r="C18" s="44" t="s">
        <v>224</v>
      </c>
      <c r="D18" s="46">
        <v>46150</v>
      </c>
      <c r="E18" s="44">
        <v>2</v>
      </c>
      <c r="F18" s="44"/>
      <c r="G18" s="44"/>
      <c r="H18" s="84" t="s">
        <v>89</v>
      </c>
      <c r="I18" s="44" t="s">
        <v>111</v>
      </c>
      <c r="J18" s="175" t="str">
        <f>IF(OR(NOT(ISERROR(MATCH(RIGHT(B18,3)+0,#REF!,0))),NOT(ISERROR(MATCH(LEFT(B18,3)+0,#REF!,0)))),"No Post","")</f>
        <v/>
      </c>
      <c r="K18" s="130"/>
    </row>
    <row r="19" spans="1:11" ht="18.600000000000001" customHeight="1" x14ac:dyDescent="0.35">
      <c r="A19" s="52">
        <v>13</v>
      </c>
      <c r="B19" s="84" t="s">
        <v>232</v>
      </c>
      <c r="C19" s="44" t="s">
        <v>225</v>
      </c>
      <c r="D19" s="46">
        <v>46150</v>
      </c>
      <c r="E19" s="44">
        <v>1</v>
      </c>
      <c r="F19" s="44">
        <v>1</v>
      </c>
      <c r="G19" s="44"/>
      <c r="H19" s="84" t="s">
        <v>89</v>
      </c>
      <c r="I19" s="44" t="s">
        <v>111</v>
      </c>
      <c r="J19" s="175" t="str">
        <f>IF(OR(NOT(ISERROR(MATCH(RIGHT(B19,3)+0,#REF!,0))),NOT(ISERROR(MATCH(LEFT(B19,3)+0,#REF!,0)))),"No Post","")</f>
        <v/>
      </c>
      <c r="K19" s="130"/>
    </row>
    <row r="20" spans="1:11" ht="18.600000000000001" customHeight="1" x14ac:dyDescent="0.35">
      <c r="A20" s="52">
        <v>14</v>
      </c>
      <c r="B20" s="84" t="s">
        <v>246</v>
      </c>
      <c r="C20" s="44" t="s">
        <v>215</v>
      </c>
      <c r="D20" s="46">
        <v>46150</v>
      </c>
      <c r="E20" s="44" t="s">
        <v>162</v>
      </c>
      <c r="F20" s="44"/>
      <c r="G20" s="44"/>
      <c r="H20" s="84" t="s">
        <v>89</v>
      </c>
      <c r="I20" s="44" t="s">
        <v>216</v>
      </c>
      <c r="J20" s="175" t="str">
        <f>IF(OR(NOT(ISERROR(MATCH(RIGHT(B20,3)+0,#REF!,0))),NOT(ISERROR(MATCH(LEFT(B20,3)+0,#REF!,0)))),"No Post","")</f>
        <v/>
      </c>
      <c r="K20" s="167"/>
    </row>
    <row r="21" spans="1:11" ht="18.600000000000001" customHeight="1" x14ac:dyDescent="0.35">
      <c r="A21" s="109">
        <v>15</v>
      </c>
      <c r="B21" s="103"/>
      <c r="C21" s="168"/>
      <c r="D21" s="104"/>
      <c r="E21" s="103"/>
      <c r="F21" s="103"/>
      <c r="G21" s="103"/>
      <c r="H21" s="168"/>
      <c r="I21" s="168"/>
      <c r="J21" s="73" t="str">
        <f>IF(OR(NOT(ISERROR(MATCH(RIGHT(B21,3)+0,#REF!,0))),NOT(ISERROR(MATCH(LEFT(B21,3)+0,#REF!,0)))),"No Post","")</f>
        <v/>
      </c>
    </row>
    <row r="22" spans="1:11" ht="18.600000000000001" customHeight="1" x14ac:dyDescent="0.35">
      <c r="A22" s="105"/>
      <c r="B22" s="106"/>
      <c r="C22" s="148"/>
      <c r="D22" s="107" t="s">
        <v>131</v>
      </c>
      <c r="E22" s="106"/>
      <c r="F22" s="106"/>
      <c r="G22" s="106"/>
      <c r="H22" s="148"/>
      <c r="I22" s="149"/>
      <c r="J22" s="73" t="str">
        <f>IF(OR(NOT(ISERROR(MATCH(RIGHT(B22,3)+0,#REF!,0))),NOT(ISERROR(MATCH(LEFT(B22,3)+0,#REF!,0)))),"No Post","")</f>
        <v/>
      </c>
    </row>
    <row r="23" spans="1:11" ht="20.25" customHeight="1" x14ac:dyDescent="0.35">
      <c r="A23" s="169"/>
      <c r="B23" s="170"/>
      <c r="C23" s="170" t="str">
        <f>"Remaning: "&amp;IFERROR(MID(A5, SEARCH("MAX", A5) + LEN("MAX"), SEARCH("PAX", A5) - SEARCH("MAX", A5) - LEN("MAX")), "")+0-SUM(E23:F23)</f>
        <v>Remaning: 6</v>
      </c>
      <c r="D23" s="171" t="s">
        <v>19</v>
      </c>
      <c r="E23" s="172">
        <f>SUM(E7:E22)</f>
        <v>13</v>
      </c>
      <c r="F23" s="172">
        <f>SUM(F7:F22)</f>
        <v>1</v>
      </c>
      <c r="G23" s="170"/>
      <c r="H23" s="170"/>
      <c r="I23" s="173"/>
    </row>
    <row r="24" spans="1:11" ht="20.25" customHeight="1" x14ac:dyDescent="0.35">
      <c r="B24" s="8" t="s">
        <v>5</v>
      </c>
      <c r="C24" s="8"/>
      <c r="D24" s="33"/>
      <c r="E24" s="8"/>
      <c r="F24" s="8"/>
      <c r="G24" s="8"/>
    </row>
    <row r="25" spans="1:11" ht="20.25" customHeight="1" x14ac:dyDescent="0.35">
      <c r="B25" s="15" t="s">
        <v>6</v>
      </c>
      <c r="C25" s="9"/>
      <c r="D25" s="34"/>
      <c r="E25" s="9"/>
      <c r="F25" s="9"/>
      <c r="G25" s="9"/>
    </row>
    <row r="26" spans="1:11" ht="20.25" customHeight="1" x14ac:dyDescent="0.35">
      <c r="B26" s="15" t="s">
        <v>7</v>
      </c>
      <c r="C26" s="9"/>
      <c r="D26" s="34"/>
      <c r="E26" s="9"/>
      <c r="F26" s="9"/>
      <c r="G26" s="9"/>
    </row>
    <row r="27" spans="1:11" ht="20.25" customHeight="1" x14ac:dyDescent="0.35">
      <c r="B27" s="15" t="s">
        <v>8</v>
      </c>
      <c r="C27" s="9"/>
      <c r="D27" s="34"/>
      <c r="E27" s="9"/>
      <c r="F27" s="9"/>
      <c r="G27" s="9"/>
    </row>
    <row r="28" spans="1:11" x14ac:dyDescent="0.35">
      <c r="B28" s="15" t="s">
        <v>9</v>
      </c>
      <c r="C28" s="9"/>
      <c r="D28" s="34"/>
      <c r="E28" s="9"/>
      <c r="F28" s="9"/>
      <c r="G28" s="9"/>
    </row>
    <row r="29" spans="1:11" x14ac:dyDescent="0.35">
      <c r="B29" s="15" t="s">
        <v>10</v>
      </c>
      <c r="C29" s="9"/>
      <c r="D29" s="34"/>
      <c r="E29" s="9"/>
      <c r="F29" s="9"/>
      <c r="G29" s="9"/>
    </row>
    <row r="30" spans="1:11" x14ac:dyDescent="0.35">
      <c r="B30" s="15" t="s">
        <v>11</v>
      </c>
      <c r="C30" s="9"/>
      <c r="D30" s="34"/>
      <c r="E30" s="9"/>
      <c r="F30" s="9"/>
      <c r="G30" s="9"/>
    </row>
    <row r="31" spans="1:11" s="11" customFormat="1" ht="15.6" x14ac:dyDescent="0.3">
      <c r="B31" s="16" t="s">
        <v>12</v>
      </c>
      <c r="C31" s="10"/>
      <c r="D31" s="35"/>
      <c r="E31" s="10"/>
      <c r="F31" s="10"/>
    </row>
    <row r="32" spans="1:11" s="11" customFormat="1" ht="15.6" x14ac:dyDescent="0.3">
      <c r="B32" s="16" t="s">
        <v>13</v>
      </c>
      <c r="C32" s="10"/>
      <c r="D32" s="35"/>
      <c r="E32" s="10"/>
      <c r="F32" s="10"/>
    </row>
    <row r="33" spans="2:7" s="13" customFormat="1" ht="20.25" customHeight="1" x14ac:dyDescent="0.35">
      <c r="B33" s="17" t="s">
        <v>14</v>
      </c>
      <c r="C33" s="12"/>
      <c r="D33" s="36"/>
    </row>
    <row r="34" spans="2:7" s="8" customFormat="1" ht="14.4" x14ac:dyDescent="0.3">
      <c r="B34" s="14"/>
      <c r="C34" s="9"/>
      <c r="D34" s="34"/>
      <c r="E34" s="9"/>
      <c r="F34" s="9"/>
      <c r="G34" s="9"/>
    </row>
    <row r="35" spans="2:7" x14ac:dyDescent="0.35">
      <c r="B35" s="9"/>
      <c r="C35" s="9"/>
      <c r="D35" s="34"/>
      <c r="E35" s="9"/>
      <c r="F35" s="9"/>
      <c r="G35" s="9"/>
    </row>
    <row r="36" spans="2:7" x14ac:dyDescent="0.35">
      <c r="B36" s="8"/>
      <c r="C36" s="8"/>
      <c r="D36" s="33"/>
      <c r="E36" s="8"/>
      <c r="F36" s="8"/>
      <c r="G36" s="8"/>
    </row>
    <row r="37" spans="2:7" x14ac:dyDescent="0.35">
      <c r="B37" s="9"/>
      <c r="C37" s="9"/>
      <c r="D37" s="34"/>
      <c r="E37" s="9"/>
      <c r="F37" s="9"/>
      <c r="G37" s="9"/>
    </row>
    <row r="38" spans="2:7" x14ac:dyDescent="0.35">
      <c r="B38" s="9"/>
      <c r="C38" s="9"/>
      <c r="D38" s="34"/>
      <c r="E38" s="9"/>
      <c r="F38" s="9"/>
      <c r="G38" s="9"/>
    </row>
    <row r="39" spans="2:7" x14ac:dyDescent="0.35">
      <c r="B39" s="9"/>
      <c r="C39" s="9"/>
      <c r="D39" s="34"/>
      <c r="E39" s="9"/>
      <c r="F39" s="9"/>
      <c r="G39" s="9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9"/>
      <c r="C41" s="9"/>
      <c r="D41" s="34"/>
      <c r="E41" s="9"/>
      <c r="F41" s="9"/>
      <c r="G41" s="9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14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6" spans="2:7" x14ac:dyDescent="0.35">
      <c r="B46" s="1"/>
      <c r="C46" s="1"/>
      <c r="D46" s="31"/>
      <c r="E46" s="1"/>
      <c r="F46" s="1"/>
      <c r="G46" s="1"/>
    </row>
    <row r="61" spans="2:7" x14ac:dyDescent="0.35">
      <c r="B61" s="9"/>
      <c r="C61" s="9"/>
      <c r="D61" s="34"/>
      <c r="E61" s="9"/>
      <c r="F61" s="9"/>
      <c r="G61" s="9"/>
    </row>
    <row r="62" spans="2:7" x14ac:dyDescent="0.35">
      <c r="B62" s="9"/>
      <c r="C62" s="9"/>
      <c r="D62" s="34"/>
      <c r="E62" s="9"/>
      <c r="F62" s="9"/>
      <c r="G62" s="9"/>
    </row>
    <row r="63" spans="2:7" x14ac:dyDescent="0.35">
      <c r="B63" s="9"/>
      <c r="C63" s="9"/>
      <c r="D63" s="34"/>
      <c r="E63" s="9"/>
      <c r="F63" s="9"/>
      <c r="G63" s="9"/>
    </row>
    <row r="64" spans="2:7" x14ac:dyDescent="0.35">
      <c r="B64" s="14"/>
      <c r="C64" s="9"/>
      <c r="D64" s="34"/>
      <c r="E64" s="9"/>
      <c r="F64" s="9"/>
      <c r="G64" s="9"/>
    </row>
    <row r="65" spans="2:7" x14ac:dyDescent="0.35">
      <c r="B65" s="9"/>
      <c r="C65" s="9"/>
      <c r="D65" s="34"/>
      <c r="E65" s="9"/>
      <c r="F65" s="9"/>
      <c r="G65" s="9"/>
    </row>
  </sheetData>
  <sortState ref="B7:J20">
    <sortCondition ref="B7"/>
  </sortState>
  <customSheetViews>
    <customSheetView guid="{B3797D0B-1E44-402B-AD05-6509081B1712}" showPageBreaks="1" printArea="1">
      <selection activeCell="C15" sqref="C15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 topLeftCell="A4">
      <selection activeCell="E7" sqref="E7:F20"/>
      <rowBreaks count="1" manualBreakCount="1">
        <brk id="33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B7" sqref="B7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2">
    <cfRule type="containsText" dxfId="23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3" min="1" max="8" man="1"/>
  </rowBreaks>
  <colBreaks count="1" manualBreakCount="1">
    <brk id="11" max="30" man="1"/>
  </colBrea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1"/>
  <sheetViews>
    <sheetView topLeftCell="A4" zoomScaleNormal="83" zoomScaleSheetLayoutView="100" workbookViewId="0">
      <selection activeCell="E24" sqref="E24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1" x14ac:dyDescent="0.35">
      <c r="C2" s="18" t="s">
        <v>0</v>
      </c>
      <c r="D2" s="30"/>
      <c r="E2" s="5"/>
      <c r="F2" s="5"/>
    </row>
    <row r="4" spans="1:11" s="1" customFormat="1" thickBot="1" x14ac:dyDescent="0.4">
      <c r="D4" s="31"/>
    </row>
    <row r="5" spans="1:11" s="2" customFormat="1" ht="24" thickBot="1" x14ac:dyDescent="0.5">
      <c r="A5" s="218" t="s">
        <v>15</v>
      </c>
      <c r="B5" s="219"/>
      <c r="C5" s="219"/>
      <c r="D5" s="219"/>
      <c r="E5" s="219"/>
      <c r="F5" s="219"/>
      <c r="G5" s="219"/>
      <c r="H5" s="6" t="s">
        <v>18</v>
      </c>
      <c r="I5" s="3" t="str">
        <f ca="1">CONCATENATE((MID(CELL("filename",I5),FIND("]",CELL("filename",I5))+1,255)),"/05/2026")</f>
        <v>9/05/2026</v>
      </c>
    </row>
    <row r="6" spans="1:11" x14ac:dyDescent="0.35">
      <c r="A6" s="112"/>
      <c r="B6" s="96" t="s">
        <v>1</v>
      </c>
      <c r="C6" s="96" t="s">
        <v>2</v>
      </c>
      <c r="D6" s="97" t="s">
        <v>21</v>
      </c>
      <c r="E6" s="96" t="s">
        <v>16</v>
      </c>
      <c r="F6" s="96" t="s">
        <v>17</v>
      </c>
      <c r="G6" s="96" t="s">
        <v>3</v>
      </c>
      <c r="H6" s="98" t="s">
        <v>20</v>
      </c>
      <c r="I6" s="99" t="s">
        <v>4</v>
      </c>
    </row>
    <row r="7" spans="1:11" x14ac:dyDescent="0.35">
      <c r="A7" s="182"/>
      <c r="B7" s="184"/>
      <c r="C7" s="188" t="s">
        <v>256</v>
      </c>
      <c r="D7" s="189" t="s">
        <v>133</v>
      </c>
      <c r="E7" s="184"/>
      <c r="F7" s="184"/>
      <c r="G7" s="184"/>
      <c r="H7" s="183"/>
      <c r="I7" s="185"/>
    </row>
    <row r="8" spans="1:11" x14ac:dyDescent="0.35">
      <c r="A8" s="41">
        <v>1</v>
      </c>
      <c r="B8" s="177">
        <v>300</v>
      </c>
      <c r="C8" s="95" t="s">
        <v>64</v>
      </c>
      <c r="D8" s="115">
        <v>46155</v>
      </c>
      <c r="E8" s="95" t="s">
        <v>152</v>
      </c>
      <c r="F8" s="95"/>
      <c r="G8" s="95"/>
      <c r="H8" s="151" t="s">
        <v>193</v>
      </c>
      <c r="I8" s="95" t="s">
        <v>65</v>
      </c>
      <c r="J8" s="196" t="str">
        <f>IF(OR(NOT(ISERROR(MATCH(RIGHT(B8,3)+0,#REF!,0))),NOT(ISERROR(MATCH(LEFT(B8,3)+0,#REF!,0)))),"No Post","")</f>
        <v/>
      </c>
    </row>
    <row r="9" spans="1:11" x14ac:dyDescent="0.35">
      <c r="A9" s="52">
        <v>2</v>
      </c>
      <c r="B9" s="84">
        <v>308</v>
      </c>
      <c r="C9" s="44" t="s">
        <v>226</v>
      </c>
      <c r="D9" s="46">
        <v>46152</v>
      </c>
      <c r="E9" s="44">
        <v>2</v>
      </c>
      <c r="F9" s="44"/>
      <c r="G9" s="44"/>
      <c r="H9" s="84" t="s">
        <v>89</v>
      </c>
      <c r="I9" s="44" t="s">
        <v>227</v>
      </c>
      <c r="J9" s="196" t="str">
        <f>IF(OR(NOT(ISERROR(MATCH(RIGHT(B9,3)+0,#REF!,0))),NOT(ISERROR(MATCH(LEFT(B9,3)+0,#REF!,0)))),"No Post","")</f>
        <v/>
      </c>
    </row>
    <row r="10" spans="1:11" x14ac:dyDescent="0.35">
      <c r="A10" s="52">
        <v>3</v>
      </c>
      <c r="B10" s="151">
        <v>617</v>
      </c>
      <c r="C10" s="44" t="s">
        <v>160</v>
      </c>
      <c r="D10" s="46">
        <v>46124</v>
      </c>
      <c r="E10" s="44" t="s">
        <v>259</v>
      </c>
      <c r="F10" s="44"/>
      <c r="G10" s="44"/>
      <c r="H10" s="151" t="s">
        <v>193</v>
      </c>
      <c r="I10" s="44" t="s">
        <v>116</v>
      </c>
      <c r="J10" s="196"/>
    </row>
    <row r="11" spans="1:11" x14ac:dyDescent="0.35">
      <c r="A11" s="52">
        <v>4</v>
      </c>
      <c r="B11" s="85">
        <v>620</v>
      </c>
      <c r="C11" s="44" t="s">
        <v>233</v>
      </c>
      <c r="D11" s="46">
        <v>46157</v>
      </c>
      <c r="E11" s="44" t="s">
        <v>152</v>
      </c>
      <c r="F11" s="44"/>
      <c r="G11" s="44" t="s">
        <v>234</v>
      </c>
      <c r="H11" s="85" t="s">
        <v>92</v>
      </c>
      <c r="I11" s="44" t="s">
        <v>93</v>
      </c>
      <c r="J11" s="196" t="str">
        <f>IF(OR(NOT(ISERROR(MATCH(RIGHT(B11,3)+0,#REF!,0))),NOT(ISERROR(MATCH(LEFT(B11,3)+0,#REF!,0)))),"No Post","")</f>
        <v/>
      </c>
    </row>
    <row r="12" spans="1:11" x14ac:dyDescent="0.35">
      <c r="A12" s="109">
        <v>5</v>
      </c>
      <c r="B12" s="178">
        <v>808</v>
      </c>
      <c r="C12" s="95" t="s">
        <v>248</v>
      </c>
      <c r="D12" s="115">
        <v>46153</v>
      </c>
      <c r="E12" s="95" t="s">
        <v>152</v>
      </c>
      <c r="F12" s="95"/>
      <c r="G12" s="95"/>
      <c r="H12" s="85" t="s">
        <v>92</v>
      </c>
      <c r="I12" s="95" t="s">
        <v>111</v>
      </c>
      <c r="J12" s="193" t="str">
        <f>IF(OR(NOT(ISERROR(MATCH(RIGHT(B12,3)+0,#REF!,0))),NOT(ISERROR(MATCH(LEFT(B12,3)+0,#REF!,0)))),"No Post","")</f>
        <v/>
      </c>
    </row>
    <row r="13" spans="1:11" x14ac:dyDescent="0.35">
      <c r="A13" s="182"/>
      <c r="B13" s="186"/>
      <c r="C13" s="191" t="s">
        <v>132</v>
      </c>
      <c r="D13" s="190" t="s">
        <v>135</v>
      </c>
      <c r="E13" s="186"/>
      <c r="F13" s="186"/>
      <c r="G13" s="186"/>
      <c r="H13" s="186"/>
      <c r="I13" s="187"/>
      <c r="J13" s="194"/>
    </row>
    <row r="14" spans="1:11" x14ac:dyDescent="0.35">
      <c r="A14" s="41">
        <v>6</v>
      </c>
      <c r="B14" s="85">
        <v>811</v>
      </c>
      <c r="C14" s="44" t="s">
        <v>172</v>
      </c>
      <c r="D14" s="46">
        <v>46157</v>
      </c>
      <c r="E14" s="44" t="s">
        <v>152</v>
      </c>
      <c r="F14" s="44"/>
      <c r="G14" s="44"/>
      <c r="H14" s="85" t="s">
        <v>92</v>
      </c>
      <c r="I14" s="44" t="s">
        <v>116</v>
      </c>
      <c r="J14" s="196"/>
    </row>
    <row r="15" spans="1:11" x14ac:dyDescent="0.35">
      <c r="A15" s="52">
        <v>7</v>
      </c>
      <c r="B15" s="151">
        <v>818</v>
      </c>
      <c r="C15" s="44" t="s">
        <v>37</v>
      </c>
      <c r="D15" s="46">
        <v>46153</v>
      </c>
      <c r="E15" s="44">
        <v>2</v>
      </c>
      <c r="F15" s="44"/>
      <c r="G15" s="44"/>
      <c r="H15" s="151" t="s">
        <v>193</v>
      </c>
      <c r="I15" s="44" t="s">
        <v>24</v>
      </c>
      <c r="J15" s="193"/>
    </row>
    <row r="16" spans="1:11" x14ac:dyDescent="0.35">
      <c r="A16" s="52">
        <v>8</v>
      </c>
      <c r="B16" s="85">
        <v>850</v>
      </c>
      <c r="C16" s="157" t="s">
        <v>235</v>
      </c>
      <c r="D16" s="46">
        <v>46158</v>
      </c>
      <c r="E16" s="44" t="s">
        <v>152</v>
      </c>
      <c r="F16" s="44"/>
      <c r="G16" s="44"/>
      <c r="H16" s="85" t="s">
        <v>92</v>
      </c>
      <c r="I16" s="44" t="s">
        <v>116</v>
      </c>
      <c r="J16" s="196"/>
      <c r="K16" s="4" t="s">
        <v>258</v>
      </c>
    </row>
    <row r="17" spans="1:11" x14ac:dyDescent="0.35">
      <c r="A17" s="52">
        <v>9</v>
      </c>
      <c r="B17" s="151">
        <v>856</v>
      </c>
      <c r="C17" s="44" t="s">
        <v>229</v>
      </c>
      <c r="D17" s="46">
        <v>46155</v>
      </c>
      <c r="E17" s="44" t="s">
        <v>152</v>
      </c>
      <c r="F17" s="44"/>
      <c r="G17" s="44"/>
      <c r="H17" s="151" t="s">
        <v>193</v>
      </c>
      <c r="I17" s="44" t="s">
        <v>228</v>
      </c>
      <c r="J17" s="196"/>
    </row>
    <row r="18" spans="1:11" x14ac:dyDescent="0.35">
      <c r="A18" s="52">
        <v>10</v>
      </c>
      <c r="B18" s="84">
        <v>868</v>
      </c>
      <c r="C18" s="44" t="s">
        <v>255</v>
      </c>
      <c r="D18" s="46">
        <v>46154</v>
      </c>
      <c r="E18" s="44">
        <v>2</v>
      </c>
      <c r="F18" s="44"/>
      <c r="G18" s="44"/>
      <c r="H18" s="84" t="s">
        <v>89</v>
      </c>
      <c r="I18" s="44" t="s">
        <v>228</v>
      </c>
      <c r="J18" s="193"/>
    </row>
    <row r="19" spans="1:11" ht="18.600000000000001" customHeight="1" x14ac:dyDescent="0.35">
      <c r="A19" s="52">
        <v>11</v>
      </c>
      <c r="B19" s="90">
        <v>869</v>
      </c>
      <c r="C19" s="44" t="s">
        <v>209</v>
      </c>
      <c r="D19" s="46">
        <v>46152</v>
      </c>
      <c r="E19" s="44">
        <v>2</v>
      </c>
      <c r="F19" s="44"/>
      <c r="G19" s="44"/>
      <c r="H19" s="179" t="s">
        <v>207</v>
      </c>
      <c r="I19" s="44" t="s">
        <v>113</v>
      </c>
      <c r="J19" s="196"/>
    </row>
    <row r="20" spans="1:11" ht="18.600000000000001" customHeight="1" x14ac:dyDescent="0.35">
      <c r="A20" s="52">
        <v>12</v>
      </c>
      <c r="B20" s="85">
        <v>875</v>
      </c>
      <c r="C20" s="44" t="s">
        <v>252</v>
      </c>
      <c r="D20" s="46">
        <v>46153</v>
      </c>
      <c r="E20" s="44" t="s">
        <v>152</v>
      </c>
      <c r="F20" s="44"/>
      <c r="G20" s="44" t="s">
        <v>91</v>
      </c>
      <c r="H20" s="85" t="s">
        <v>92</v>
      </c>
      <c r="I20" s="44" t="s">
        <v>116</v>
      </c>
      <c r="J20" s="196"/>
      <c r="K20" s="4" t="s">
        <v>258</v>
      </c>
    </row>
    <row r="21" spans="1:11" ht="18.600000000000001" customHeight="1" x14ac:dyDescent="0.35">
      <c r="A21" s="52">
        <v>13</v>
      </c>
      <c r="B21" s="90" t="s">
        <v>221</v>
      </c>
      <c r="C21" s="44" t="s">
        <v>186</v>
      </c>
      <c r="D21" s="46">
        <v>46152</v>
      </c>
      <c r="E21" s="44">
        <v>2</v>
      </c>
      <c r="F21" s="44"/>
      <c r="G21" s="44"/>
      <c r="H21" s="90" t="s">
        <v>207</v>
      </c>
      <c r="I21" s="44" t="s">
        <v>93</v>
      </c>
      <c r="J21" s="196"/>
    </row>
    <row r="22" spans="1:11" ht="18.600000000000001" customHeight="1" x14ac:dyDescent="0.35">
      <c r="A22" s="52">
        <v>14</v>
      </c>
      <c r="B22" s="90" t="s">
        <v>219</v>
      </c>
      <c r="C22" s="44" t="s">
        <v>198</v>
      </c>
      <c r="D22" s="46">
        <v>46152</v>
      </c>
      <c r="E22" s="44">
        <v>2</v>
      </c>
      <c r="F22" s="44"/>
      <c r="G22" s="44"/>
      <c r="H22" s="90" t="s">
        <v>207</v>
      </c>
      <c r="I22" s="44" t="s">
        <v>113</v>
      </c>
      <c r="J22" s="193"/>
    </row>
    <row r="23" spans="1:11" ht="18.600000000000001" customHeight="1" x14ac:dyDescent="0.35">
      <c r="A23" s="52">
        <v>15</v>
      </c>
      <c r="B23" s="84" t="s">
        <v>246</v>
      </c>
      <c r="C23" s="44" t="s">
        <v>215</v>
      </c>
      <c r="D23" s="46">
        <v>46152</v>
      </c>
      <c r="E23" s="44">
        <v>2</v>
      </c>
      <c r="F23" s="44"/>
      <c r="G23" s="44"/>
      <c r="H23" s="84" t="s">
        <v>89</v>
      </c>
      <c r="I23" s="44" t="s">
        <v>216</v>
      </c>
      <c r="J23" s="196"/>
    </row>
    <row r="24" spans="1:11" ht="18.600000000000001" customHeight="1" x14ac:dyDescent="0.35">
      <c r="A24" s="52">
        <v>16</v>
      </c>
      <c r="B24" s="176" t="s">
        <v>254</v>
      </c>
      <c r="C24" s="103" t="s">
        <v>218</v>
      </c>
      <c r="D24" s="104">
        <v>46153</v>
      </c>
      <c r="E24" s="103" t="s">
        <v>162</v>
      </c>
      <c r="F24" s="103">
        <v>1</v>
      </c>
      <c r="G24" s="103"/>
      <c r="H24" s="176" t="s">
        <v>230</v>
      </c>
      <c r="I24" s="103" t="s">
        <v>93</v>
      </c>
      <c r="J24" s="197"/>
    </row>
    <row r="25" spans="1:11" ht="18.600000000000001" customHeight="1" x14ac:dyDescent="0.35">
      <c r="A25" s="52">
        <v>17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IF(OR(NOT(ISERROR(MATCH(RIGHT(#REF!,3)+0,#REF!,0))),NOT(ISERROR(MATCH(LEFT(#REF!,3)+0,#REF!,0)))),"No Post","")</f>
        <v/>
      </c>
    </row>
    <row r="26" spans="1:11" ht="18.600000000000001" customHeight="1" x14ac:dyDescent="0.35">
      <c r="A26" s="52">
        <v>18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1" ht="18.600000000000001" customHeight="1" x14ac:dyDescent="0.35">
      <c r="A27" s="52">
        <v>19</v>
      </c>
      <c r="B27" s="44"/>
      <c r="C27" s="45"/>
      <c r="D27" s="46"/>
      <c r="E27" s="44"/>
      <c r="F27" s="44"/>
      <c r="G27" s="44"/>
      <c r="H27" s="45"/>
      <c r="I27" s="45"/>
      <c r="J27" s="73" t="str">
        <f>IF(OR(NOT(ISERROR(MATCH(RIGHT(B27,3)+0,#REF!,0))),NOT(ISERROR(MATCH(LEFT(B27,3)+0,#REF!,0)))),"No Post","")</f>
        <v/>
      </c>
    </row>
    <row r="28" spans="1:11" s="24" customFormat="1" ht="18.600000000000001" customHeight="1" x14ac:dyDescent="0.4">
      <c r="A28" s="52">
        <v>20</v>
      </c>
      <c r="B28" s="44"/>
      <c r="C28" s="45"/>
      <c r="D28" s="46"/>
      <c r="E28" s="44"/>
      <c r="F28" s="44"/>
      <c r="G28" s="44"/>
      <c r="H28" s="45"/>
      <c r="I28" s="45"/>
      <c r="J28" s="73" t="str">
        <f>IF(OR(NOT(ISERROR(MATCH(RIGHT(B28,3)+0,#REF!,0))),NOT(ISERROR(MATCH(LEFT(B28,3)+0,#REF!,0)))),"No Post","")</f>
        <v/>
      </c>
    </row>
    <row r="29" spans="1:11" ht="20.25" customHeight="1" x14ac:dyDescent="0.35">
      <c r="A29" s="169"/>
      <c r="B29" s="170"/>
      <c r="C29" s="52" t="str">
        <f>"Remaning: "&amp;IFERROR(MID(A5, SEARCH("MAX", A5) + LEN("MAX"), SEARCH("PAX", A5) - SEARCH("MAX", A5) - LEN("MAX")), "")+0-SUM(E29:F29)</f>
        <v>Remaning: 5</v>
      </c>
      <c r="D29" s="180" t="s">
        <v>19</v>
      </c>
      <c r="E29" s="181">
        <f>SUM(E8:E28)</f>
        <v>14</v>
      </c>
      <c r="F29" s="181">
        <f>SUM(F18:F28)</f>
        <v>1</v>
      </c>
      <c r="G29" s="170"/>
      <c r="H29" s="170"/>
      <c r="I29" s="173"/>
    </row>
    <row r="30" spans="1:11" ht="20.25" customHeight="1" x14ac:dyDescent="0.35">
      <c r="B30" s="8" t="s">
        <v>5</v>
      </c>
      <c r="C30" s="8"/>
      <c r="D30" s="33"/>
      <c r="E30" s="8"/>
      <c r="F30" s="8"/>
      <c r="G30" s="8"/>
    </row>
    <row r="31" spans="1:11" ht="20.25" customHeight="1" x14ac:dyDescent="0.35">
      <c r="B31" s="15" t="s">
        <v>6</v>
      </c>
      <c r="C31" s="9"/>
      <c r="D31" s="34"/>
      <c r="E31" s="9"/>
      <c r="F31" s="9"/>
      <c r="G31" s="9"/>
    </row>
    <row r="32" spans="1:11" ht="20.25" customHeight="1" x14ac:dyDescent="0.35">
      <c r="B32" s="15" t="s">
        <v>7</v>
      </c>
      <c r="C32" s="9"/>
      <c r="D32" s="34"/>
      <c r="E32" s="9"/>
      <c r="F32" s="9"/>
      <c r="G32" s="9"/>
    </row>
    <row r="33" spans="2:7" ht="20.25" customHeight="1" x14ac:dyDescent="0.35">
      <c r="B33" s="15" t="s">
        <v>8</v>
      </c>
      <c r="C33" s="9"/>
      <c r="D33" s="34"/>
      <c r="E33" s="9"/>
      <c r="F33" s="9"/>
      <c r="G33" s="9"/>
    </row>
    <row r="34" spans="2:7" x14ac:dyDescent="0.35">
      <c r="B34" s="15" t="s">
        <v>9</v>
      </c>
      <c r="C34" s="9"/>
      <c r="D34" s="34"/>
      <c r="E34" s="9"/>
      <c r="F34" s="9"/>
      <c r="G34" s="9"/>
    </row>
    <row r="35" spans="2:7" x14ac:dyDescent="0.35">
      <c r="B35" s="15" t="s">
        <v>10</v>
      </c>
      <c r="C35" s="9"/>
      <c r="D35" s="34"/>
      <c r="E35" s="9"/>
      <c r="F35" s="9"/>
      <c r="G35" s="9"/>
    </row>
    <row r="36" spans="2:7" x14ac:dyDescent="0.35">
      <c r="B36" s="15" t="s">
        <v>11</v>
      </c>
      <c r="C36" s="9"/>
      <c r="D36" s="34"/>
      <c r="E36" s="9"/>
      <c r="F36" s="9"/>
      <c r="G36" s="9"/>
    </row>
    <row r="37" spans="2:7" s="11" customFormat="1" ht="15.6" x14ac:dyDescent="0.3">
      <c r="B37" s="16" t="s">
        <v>12</v>
      </c>
      <c r="C37" s="10"/>
      <c r="D37" s="35"/>
      <c r="E37" s="10"/>
      <c r="F37" s="10"/>
    </row>
    <row r="38" spans="2:7" s="11" customFormat="1" ht="15.6" x14ac:dyDescent="0.3">
      <c r="B38" s="16" t="s">
        <v>13</v>
      </c>
      <c r="C38" s="10"/>
      <c r="D38" s="35"/>
      <c r="E38" s="10"/>
      <c r="F38" s="10"/>
    </row>
    <row r="39" spans="2:7" s="13" customFormat="1" ht="20.25" customHeight="1" x14ac:dyDescent="0.35">
      <c r="B39" s="17" t="s">
        <v>14</v>
      </c>
      <c r="C39" s="12"/>
      <c r="D39" s="36"/>
    </row>
    <row r="40" spans="2:7" s="8" customFormat="1" ht="14.4" x14ac:dyDescent="0.3">
      <c r="B40" s="14"/>
      <c r="C40" s="9"/>
      <c r="D40" s="34"/>
      <c r="E40" s="9"/>
      <c r="F40" s="9"/>
      <c r="G40" s="9"/>
    </row>
    <row r="41" spans="2:7" x14ac:dyDescent="0.35">
      <c r="B41" s="9"/>
      <c r="C41" s="9"/>
      <c r="D41" s="34"/>
      <c r="E41" s="9"/>
      <c r="F41" s="9"/>
      <c r="G41" s="9"/>
    </row>
    <row r="42" spans="2:7" x14ac:dyDescent="0.35">
      <c r="B42" s="8"/>
      <c r="C42" s="8"/>
      <c r="D42" s="33"/>
      <c r="E42" s="8"/>
      <c r="F42" s="8"/>
      <c r="G42" s="8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9"/>
      <c r="C48" s="9"/>
      <c r="D48" s="34"/>
      <c r="E48" s="9"/>
      <c r="F48" s="9"/>
      <c r="G48" s="9"/>
    </row>
    <row r="49" spans="2:7" x14ac:dyDescent="0.35">
      <c r="B49" s="14"/>
      <c r="C49" s="9"/>
      <c r="D49" s="34"/>
      <c r="E49" s="9"/>
      <c r="F49" s="9"/>
      <c r="G49" s="9"/>
    </row>
    <row r="50" spans="2:7" x14ac:dyDescent="0.35">
      <c r="B50" s="9"/>
      <c r="C50" s="9"/>
      <c r="D50" s="34"/>
      <c r="E50" s="9"/>
      <c r="F50" s="9"/>
      <c r="G50" s="9"/>
    </row>
    <row r="52" spans="2:7" x14ac:dyDescent="0.35">
      <c r="B52" s="1"/>
      <c r="C52" s="1"/>
      <c r="D52" s="31"/>
      <c r="E52" s="1"/>
      <c r="F52" s="1"/>
      <c r="G52" s="1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9"/>
      <c r="C69" s="9"/>
      <c r="D69" s="34"/>
      <c r="E69" s="9"/>
      <c r="F69" s="9"/>
      <c r="G69" s="9"/>
    </row>
    <row r="70" spans="2:7" x14ac:dyDescent="0.35">
      <c r="B70" s="14"/>
      <c r="C70" s="9"/>
      <c r="D70" s="34"/>
      <c r="E70" s="9"/>
      <c r="F70" s="9"/>
      <c r="G70" s="9"/>
    </row>
    <row r="71" spans="2:7" x14ac:dyDescent="0.35">
      <c r="B71" s="9"/>
      <c r="C71" s="9"/>
      <c r="D71" s="34"/>
      <c r="E71" s="9"/>
      <c r="F71" s="9"/>
      <c r="G71" s="9"/>
    </row>
  </sheetData>
  <sortState ref="B14:J24">
    <sortCondition ref="B14"/>
  </sortState>
  <customSheetViews>
    <customSheetView guid="{B3797D0B-1E44-402B-AD05-6509081B1712}" showPageBreaks="1" printArea="1">
      <selection activeCell="E8" sqref="E8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 topLeftCell="A4">
      <selection activeCell="E24" sqref="E24"/>
      <rowBreaks count="1" manualBreakCount="1">
        <brk id="39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E8" sqref="E8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25:J28 J8:J23">
    <cfRule type="containsText" dxfId="22" priority="1" operator="containsText" text="No Post">
      <formula>NOT(ISERROR(SEARCH("No Post",J8)))</formula>
    </cfRule>
  </conditionalFormatting>
  <pageMargins left="0.17" right="0.17" top="0.75" bottom="0.75" header="0.3" footer="0.3"/>
  <pageSetup scale="64" orientation="landscape" r:id="rId4"/>
  <rowBreaks count="1" manualBreakCount="1">
    <brk id="39" min="1" max="8" man="1"/>
  </rowBreaks>
  <colBreaks count="1" manualBreakCount="1">
    <brk id="11" max="30" man="1"/>
  </colBrea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9"/>
  <sheetViews>
    <sheetView topLeftCell="A4" zoomScaleNormal="100" zoomScaleSheetLayoutView="100" workbookViewId="0">
      <selection activeCell="B9" sqref="B9:I9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1" x14ac:dyDescent="0.35">
      <c r="C2" s="18" t="s">
        <v>0</v>
      </c>
      <c r="D2" s="30"/>
      <c r="E2" s="5"/>
      <c r="F2" s="5"/>
    </row>
    <row r="4" spans="1:11" s="1" customFormat="1" thickBot="1" x14ac:dyDescent="0.4">
      <c r="D4" s="31"/>
      <c r="I4" s="19"/>
    </row>
    <row r="5" spans="1:11" s="2" customFormat="1" ht="24" thickBot="1" x14ac:dyDescent="0.5">
      <c r="A5" s="218" t="s">
        <v>15</v>
      </c>
      <c r="B5" s="219"/>
      <c r="C5" s="219"/>
      <c r="D5" s="219"/>
      <c r="E5" s="219"/>
      <c r="F5" s="219"/>
      <c r="G5" s="219"/>
      <c r="H5" s="20" t="s">
        <v>18</v>
      </c>
      <c r="I5" s="3" t="str">
        <f ca="1">CONCATENATE((MID(CELL("filename",I5),FIND("]",CELL("filename",I5))+1,255)),"/05/2026")</f>
        <v>10/05/2026</v>
      </c>
    </row>
    <row r="6" spans="1:11" x14ac:dyDescent="0.35">
      <c r="A6" s="38"/>
      <c r="B6" s="39" t="s">
        <v>1</v>
      </c>
      <c r="C6" s="39" t="s">
        <v>2</v>
      </c>
      <c r="D6" s="40" t="s">
        <v>21</v>
      </c>
      <c r="E6" s="39" t="s">
        <v>16</v>
      </c>
      <c r="F6" s="39" t="s">
        <v>17</v>
      </c>
      <c r="G6" s="39" t="s">
        <v>3</v>
      </c>
      <c r="H6" s="41" t="s">
        <v>20</v>
      </c>
      <c r="I6" s="42" t="s">
        <v>4</v>
      </c>
    </row>
    <row r="7" spans="1:11" x14ac:dyDescent="0.35">
      <c r="A7" s="52">
        <v>1</v>
      </c>
      <c r="B7" s="52">
        <v>881</v>
      </c>
      <c r="C7" s="52" t="s">
        <v>36</v>
      </c>
      <c r="D7" s="60">
        <v>46154</v>
      </c>
      <c r="E7" s="52" t="s">
        <v>152</v>
      </c>
      <c r="F7" s="52"/>
      <c r="G7" s="52"/>
      <c r="H7" s="52">
        <v>2836971</v>
      </c>
      <c r="I7" s="52" t="s">
        <v>24</v>
      </c>
      <c r="J7" s="199" t="str">
        <f>IF(OR(NOT(ISERROR(MATCH(RIGHT(B7,3)+0,#REF!,0))),NOT(ISERROR(MATCH(LEFT(B7,3)+0,#REF!,0)))),"No Post","")</f>
        <v/>
      </c>
    </row>
    <row r="8" spans="1:11" x14ac:dyDescent="0.35">
      <c r="A8" s="52">
        <v>2</v>
      </c>
      <c r="B8" s="52">
        <v>814</v>
      </c>
      <c r="C8" s="52" t="s">
        <v>253</v>
      </c>
      <c r="D8" s="60">
        <v>46154</v>
      </c>
      <c r="E8" s="52">
        <v>2</v>
      </c>
      <c r="F8" s="52"/>
      <c r="G8" s="52"/>
      <c r="H8" s="52"/>
      <c r="I8" s="52" t="s">
        <v>196</v>
      </c>
      <c r="J8" s="199" t="str">
        <f>IF(OR(NOT(ISERROR(MATCH(RIGHT(B8,3)+0,#REF!,0))),NOT(ISERROR(MATCH(LEFT(B8,3)+0,#REF!,0)))),"No Post","")</f>
        <v/>
      </c>
    </row>
    <row r="9" spans="1:11" x14ac:dyDescent="0.35">
      <c r="A9" s="52">
        <v>3</v>
      </c>
      <c r="B9" s="85">
        <v>811</v>
      </c>
      <c r="C9" s="44" t="s">
        <v>172</v>
      </c>
      <c r="D9" s="46">
        <v>46157</v>
      </c>
      <c r="E9" s="44" t="s">
        <v>152</v>
      </c>
      <c r="F9" s="44"/>
      <c r="G9" s="44"/>
      <c r="H9" s="85" t="s">
        <v>92</v>
      </c>
      <c r="I9" s="44" t="s">
        <v>116</v>
      </c>
      <c r="J9" s="199" t="str">
        <f>IF(OR(NOT(ISERROR(MATCH(RIGHT(B9,3)+0,#REF!,0))),NOT(ISERROR(MATCH(LEFT(B9,3)+0,#REF!,0)))),"No Post","")</f>
        <v/>
      </c>
    </row>
    <row r="10" spans="1:11" x14ac:dyDescent="0.35">
      <c r="A10" s="52">
        <v>4</v>
      </c>
      <c r="B10" s="176" t="s">
        <v>254</v>
      </c>
      <c r="C10" s="103" t="s">
        <v>218</v>
      </c>
      <c r="D10" s="104">
        <v>46153</v>
      </c>
      <c r="E10" s="103">
        <v>2</v>
      </c>
      <c r="F10" s="103">
        <v>1</v>
      </c>
      <c r="G10" s="103"/>
      <c r="H10" s="176" t="s">
        <v>230</v>
      </c>
      <c r="I10" s="103" t="s">
        <v>93</v>
      </c>
      <c r="J10" s="199" t="str">
        <f>IF(OR(NOT(ISERROR(MATCH(RIGHT(B10,3)+0,#REF!,0))),NOT(ISERROR(MATCH(LEFT(B10,3)+0,#REF!,0)))),"No Post","")</f>
        <v/>
      </c>
    </row>
    <row r="11" spans="1:11" x14ac:dyDescent="0.35">
      <c r="A11" s="52">
        <v>5</v>
      </c>
      <c r="B11" s="85">
        <v>875</v>
      </c>
      <c r="C11" s="44" t="s">
        <v>252</v>
      </c>
      <c r="D11" s="46">
        <v>46153</v>
      </c>
      <c r="E11" s="44">
        <v>2</v>
      </c>
      <c r="F11" s="44"/>
      <c r="G11" s="44" t="s">
        <v>91</v>
      </c>
      <c r="H11" s="85" t="s">
        <v>92</v>
      </c>
      <c r="I11" s="44" t="s">
        <v>116</v>
      </c>
      <c r="J11" s="199" t="str">
        <f>IF(OR(NOT(ISERROR(MATCH(RIGHT(B11,3)+0,#REF!,0))),NOT(ISERROR(MATCH(LEFT(B11,3)+0,#REF!,0)))),"No Post","")</f>
        <v/>
      </c>
      <c r="K11" s="4" t="s">
        <v>258</v>
      </c>
    </row>
    <row r="12" spans="1:11" x14ac:dyDescent="0.35">
      <c r="A12" s="52">
        <v>6</v>
      </c>
      <c r="B12" s="85">
        <v>850</v>
      </c>
      <c r="C12" s="157" t="s">
        <v>235</v>
      </c>
      <c r="D12" s="46">
        <v>46158</v>
      </c>
      <c r="E12" s="44">
        <v>2</v>
      </c>
      <c r="F12" s="44"/>
      <c r="G12" s="44"/>
      <c r="H12" s="85" t="s">
        <v>92</v>
      </c>
      <c r="I12" s="44" t="s">
        <v>116</v>
      </c>
      <c r="J12" s="199" t="str">
        <f>IF(OR(NOT(ISERROR(MATCH(RIGHT(B12,3)+0,#REF!,0))),NOT(ISERROR(MATCH(LEFT(B12,3)+0,#REF!,0)))),"No Post","")</f>
        <v/>
      </c>
      <c r="K12" s="4" t="s">
        <v>258</v>
      </c>
    </row>
    <row r="13" spans="1:11" x14ac:dyDescent="0.35">
      <c r="A13" s="52">
        <v>7</v>
      </c>
      <c r="B13" s="151">
        <v>617</v>
      </c>
      <c r="C13" s="44" t="s">
        <v>160</v>
      </c>
      <c r="D13" s="46">
        <v>46124</v>
      </c>
      <c r="E13" s="44">
        <v>3</v>
      </c>
      <c r="F13" s="44"/>
      <c r="G13" s="44"/>
      <c r="H13" s="151" t="s">
        <v>193</v>
      </c>
      <c r="I13" s="44" t="s">
        <v>116</v>
      </c>
      <c r="J13" s="193" t="str">
        <f>IF(OR(NOT(ISERROR(MATCH(RIGHT(B13,3)+0,#REF!,0))),NOT(ISERROR(MATCH(LEFT(B13,3)+0,#REF!,0)))),"No Post","")</f>
        <v/>
      </c>
    </row>
    <row r="14" spans="1:11" x14ac:dyDescent="0.35">
      <c r="A14" s="52">
        <v>8</v>
      </c>
      <c r="B14" s="85">
        <v>620</v>
      </c>
      <c r="C14" s="44" t="s">
        <v>233</v>
      </c>
      <c r="D14" s="46">
        <v>46157</v>
      </c>
      <c r="E14" s="44">
        <v>2</v>
      </c>
      <c r="F14" s="44"/>
      <c r="G14" s="44" t="s">
        <v>234</v>
      </c>
      <c r="H14" s="85" t="s">
        <v>92</v>
      </c>
      <c r="I14" s="44" t="s">
        <v>93</v>
      </c>
      <c r="J14" s="193" t="str">
        <f>IF(OR(NOT(ISERROR(MATCH(RIGHT(B14,3)+0,#REF!,0))),NOT(ISERROR(MATCH(LEFT(B14,3)+0,#REF!,0)))),"No Post","")</f>
        <v/>
      </c>
    </row>
    <row r="15" spans="1:11" x14ac:dyDescent="0.35">
      <c r="A15" s="52">
        <v>9</v>
      </c>
      <c r="B15" s="151">
        <v>856</v>
      </c>
      <c r="C15" s="44" t="s">
        <v>229</v>
      </c>
      <c r="D15" s="46">
        <v>46155</v>
      </c>
      <c r="E15" s="44" t="s">
        <v>152</v>
      </c>
      <c r="F15" s="44"/>
      <c r="G15" s="44"/>
      <c r="H15" s="151" t="s">
        <v>193</v>
      </c>
      <c r="I15" s="44" t="s">
        <v>228</v>
      </c>
      <c r="J15" s="199" t="str">
        <f>IF(OR(NOT(ISERROR(MATCH(RIGHT(B15,3)+0,#REF!,0))),NOT(ISERROR(MATCH(LEFT(B15,3)+0,#REF!,0)))),"No Post","")</f>
        <v/>
      </c>
    </row>
    <row r="16" spans="1:11" x14ac:dyDescent="0.35">
      <c r="A16" s="52">
        <v>10</v>
      </c>
      <c r="B16" s="52" t="s">
        <v>267</v>
      </c>
      <c r="C16" s="52" t="s">
        <v>266</v>
      </c>
      <c r="D16" s="115">
        <v>46153</v>
      </c>
      <c r="E16" s="52">
        <v>2</v>
      </c>
      <c r="F16" s="95"/>
      <c r="G16" s="95"/>
      <c r="H16" s="85" t="s">
        <v>92</v>
      </c>
      <c r="I16" s="52" t="s">
        <v>265</v>
      </c>
      <c r="J16" s="199" t="str">
        <f>IF(OR(NOT(ISERROR(MATCH(RIGHT(B16,3)+0,#REF!,0))),NOT(ISERROR(MATCH(LEFT(B16,3)+0,#REF!,0)))),"No Post","")</f>
        <v/>
      </c>
    </row>
    <row r="17" spans="1:11" ht="18.600000000000001" customHeight="1" x14ac:dyDescent="0.35">
      <c r="A17" s="52">
        <v>11</v>
      </c>
      <c r="B17" s="178">
        <v>808</v>
      </c>
      <c r="C17" s="95" t="s">
        <v>248</v>
      </c>
      <c r="D17" s="115">
        <v>46153</v>
      </c>
      <c r="E17" s="95">
        <v>2</v>
      </c>
      <c r="F17" s="95"/>
      <c r="G17" s="95"/>
      <c r="H17" s="85" t="s">
        <v>92</v>
      </c>
      <c r="I17" s="95" t="s">
        <v>111</v>
      </c>
      <c r="J17" s="199" t="str">
        <f>IF(OR(NOT(ISERROR(MATCH(RIGHT(B17,3)+0,#REF!,0))),NOT(ISERROR(MATCH(LEFT(B17,3)+0,#REF!,0)))),"No Post","")</f>
        <v/>
      </c>
      <c r="K17" s="4" t="s">
        <v>258</v>
      </c>
    </row>
    <row r="18" spans="1:11" ht="18.600000000000001" customHeight="1" x14ac:dyDescent="0.35">
      <c r="A18" s="52">
        <v>12</v>
      </c>
      <c r="B18" s="84">
        <v>868</v>
      </c>
      <c r="C18" s="44" t="s">
        <v>255</v>
      </c>
      <c r="D18" s="46">
        <v>46154</v>
      </c>
      <c r="E18" s="44" t="s">
        <v>152</v>
      </c>
      <c r="F18" s="44"/>
      <c r="G18" s="44"/>
      <c r="H18" s="84" t="s">
        <v>89</v>
      </c>
      <c r="I18" s="44" t="s">
        <v>228</v>
      </c>
      <c r="J18" s="199" t="str">
        <f>IF(OR(NOT(ISERROR(MATCH(RIGHT(B18,3)+0,#REF!,0))),NOT(ISERROR(MATCH(LEFT(B18,3)+0,#REF!,0)))),"No Post","")</f>
        <v/>
      </c>
    </row>
    <row r="19" spans="1:11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1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1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1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1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1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1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1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1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18</v>
      </c>
      <c r="D27" s="48" t="s">
        <v>19</v>
      </c>
      <c r="E27" s="49">
        <f>SUM(E17:E26)</f>
        <v>2</v>
      </c>
      <c r="F27" s="49">
        <f>SUM(F17:F26)</f>
        <v>0</v>
      </c>
      <c r="G27" s="47"/>
      <c r="H27" s="47"/>
      <c r="I27" s="47"/>
    </row>
    <row r="28" spans="1:11" ht="20.25" customHeight="1" x14ac:dyDescent="0.35">
      <c r="B28" s="8" t="s">
        <v>5</v>
      </c>
      <c r="C28" s="8"/>
      <c r="D28" s="33"/>
      <c r="E28" s="8"/>
      <c r="F28" s="8"/>
      <c r="G28" s="8"/>
    </row>
    <row r="29" spans="1:11" ht="20.25" customHeight="1" x14ac:dyDescent="0.35">
      <c r="B29" s="15" t="s">
        <v>6</v>
      </c>
      <c r="C29" s="9"/>
      <c r="D29" s="34"/>
      <c r="E29" s="9"/>
      <c r="F29" s="9"/>
      <c r="G29" s="9"/>
    </row>
    <row r="30" spans="1:11" ht="20.25" customHeight="1" x14ac:dyDescent="0.35">
      <c r="B30" s="15" t="s">
        <v>7</v>
      </c>
      <c r="C30" s="9"/>
      <c r="D30" s="34"/>
      <c r="E30" s="9"/>
      <c r="F30" s="9"/>
      <c r="G30" s="9"/>
    </row>
    <row r="31" spans="1:11" ht="20.25" customHeight="1" x14ac:dyDescent="0.35">
      <c r="B31" s="15" t="s">
        <v>8</v>
      </c>
      <c r="C31" s="9"/>
      <c r="D31" s="34"/>
      <c r="E31" s="9"/>
      <c r="F31" s="9"/>
      <c r="G31" s="9"/>
    </row>
    <row r="32" spans="1:11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x14ac:dyDescent="0.35">
      <c r="B39" s="9"/>
      <c r="C39" s="9"/>
      <c r="D39" s="34"/>
      <c r="E39" s="9"/>
      <c r="F39" s="9"/>
      <c r="G39" s="9"/>
    </row>
    <row r="40" spans="2:7" x14ac:dyDescent="0.35">
      <c r="B40" s="8"/>
      <c r="C40" s="8"/>
      <c r="D40" s="33"/>
      <c r="E40" s="8"/>
      <c r="F40" s="8"/>
      <c r="G40" s="8"/>
    </row>
    <row r="41" spans="2:7" x14ac:dyDescent="0.35">
      <c r="B41" s="9"/>
      <c r="C41" s="9"/>
      <c r="D41" s="34"/>
      <c r="E41" s="9"/>
      <c r="F41" s="9"/>
      <c r="G41" s="9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14"/>
      <c r="C47" s="9"/>
      <c r="D47" s="34"/>
      <c r="E47" s="9"/>
      <c r="F47" s="9"/>
      <c r="G47" s="9"/>
    </row>
    <row r="48" spans="2:7" x14ac:dyDescent="0.35">
      <c r="B48" s="9"/>
      <c r="C48" s="9"/>
      <c r="D48" s="34"/>
      <c r="E48" s="9"/>
      <c r="F48" s="9"/>
      <c r="G48" s="9"/>
    </row>
    <row r="50" spans="2:7" x14ac:dyDescent="0.35">
      <c r="B50" s="1"/>
      <c r="C50" s="1"/>
      <c r="D50" s="31"/>
      <c r="E50" s="1"/>
      <c r="F50" s="1"/>
      <c r="G50" s="1"/>
    </row>
    <row r="65" spans="2:7" x14ac:dyDescent="0.35">
      <c r="B65" s="9"/>
      <c r="C65" s="9"/>
      <c r="D65" s="34"/>
      <c r="E65" s="9"/>
      <c r="F65" s="9"/>
      <c r="G65" s="9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14"/>
      <c r="C68" s="9"/>
      <c r="D68" s="34"/>
      <c r="E68" s="9"/>
      <c r="F68" s="9"/>
      <c r="G68" s="9"/>
    </row>
    <row r="69" spans="2:7" x14ac:dyDescent="0.35">
      <c r="B69" s="9"/>
      <c r="C69" s="9"/>
      <c r="D69" s="34"/>
      <c r="E69" s="9"/>
      <c r="F69" s="9"/>
      <c r="G69" s="9"/>
    </row>
  </sheetData>
  <customSheetViews>
    <customSheetView guid="{B3797D0B-1E44-402B-AD05-6509081B1712}" showPageBreaks="1" printArea="1">
      <selection activeCell="C10" sqref="C10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 topLeftCell="A4">
      <selection activeCell="B9" sqref="B9:I9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C10" sqref="C10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21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7" min="1" max="8" man="1"/>
  </rowBreaks>
  <colBreaks count="1" manualBreakCount="1">
    <brk id="11" max="30" man="1"/>
  </colBrea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2"/>
  <sheetViews>
    <sheetView zoomScaleNormal="100" zoomScaleSheetLayoutView="100" workbookViewId="0">
      <selection activeCell="B12" sqref="B12:I12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7.6640625" style="4" customWidth="1"/>
    <col min="4" max="4" width="17.10937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0" t="s">
        <v>15</v>
      </c>
      <c r="B5" s="221"/>
      <c r="C5" s="221"/>
      <c r="D5" s="221"/>
      <c r="E5" s="221"/>
      <c r="F5" s="221"/>
      <c r="G5" s="221"/>
      <c r="H5" s="22" t="s">
        <v>18</v>
      </c>
      <c r="I5" s="23" t="str">
        <f ca="1">CONCATENATE((MID(CELL("filename",I5),FIND("]",CELL("filename",I5))+1,255)),"/05/2026")</f>
        <v>11/05/2026</v>
      </c>
    </row>
    <row r="6" spans="1:10" x14ac:dyDescent="0.35">
      <c r="A6" s="52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2" t="s">
        <v>4</v>
      </c>
    </row>
    <row r="7" spans="1:10" x14ac:dyDescent="0.35">
      <c r="A7" s="52">
        <v>1</v>
      </c>
      <c r="B7" s="44">
        <v>679</v>
      </c>
      <c r="C7" s="44" t="s">
        <v>25</v>
      </c>
      <c r="D7" s="46">
        <v>46156</v>
      </c>
      <c r="E7" s="44" t="s">
        <v>247</v>
      </c>
      <c r="F7" s="44"/>
      <c r="G7" s="44"/>
      <c r="H7" s="200" t="s">
        <v>26</v>
      </c>
      <c r="I7" s="44" t="s">
        <v>27</v>
      </c>
      <c r="J7" s="198" t="s">
        <v>29</v>
      </c>
    </row>
    <row r="8" spans="1:10" x14ac:dyDescent="0.35">
      <c r="A8" s="52">
        <v>2</v>
      </c>
      <c r="B8" s="201">
        <v>343</v>
      </c>
      <c r="C8" s="202" t="s">
        <v>270</v>
      </c>
      <c r="D8" s="203">
        <v>46155</v>
      </c>
      <c r="E8" s="202" t="s">
        <v>162</v>
      </c>
      <c r="F8" s="202">
        <v>1</v>
      </c>
      <c r="G8" s="202"/>
      <c r="H8" s="202"/>
      <c r="I8" s="202" t="s">
        <v>84</v>
      </c>
      <c r="J8" s="198" t="str">
        <f>IF(OR(NOT(ISERROR(MATCH(RIGHT('12'!#REF!,3)+0,#REF!,0))),NOT(ISERROR(MATCH(LEFT('12'!#REF!,3)+0,#REF!,0)))),"No Post","")</f>
        <v/>
      </c>
    </row>
    <row r="9" spans="1:10" x14ac:dyDescent="0.35">
      <c r="A9" s="52">
        <v>3</v>
      </c>
      <c r="B9" s="44">
        <v>843</v>
      </c>
      <c r="C9" s="44" t="s">
        <v>257</v>
      </c>
      <c r="D9" s="46">
        <v>46155</v>
      </c>
      <c r="E9" s="44" t="s">
        <v>162</v>
      </c>
      <c r="F9" s="44"/>
      <c r="G9" s="44"/>
      <c r="H9" s="44"/>
      <c r="I9" s="44" t="s">
        <v>196</v>
      </c>
      <c r="J9" s="198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177">
        <v>300</v>
      </c>
      <c r="C10" s="95" t="s">
        <v>64</v>
      </c>
      <c r="D10" s="115">
        <v>46155</v>
      </c>
      <c r="E10" s="95" t="s">
        <v>152</v>
      </c>
      <c r="F10" s="95"/>
      <c r="G10" s="95"/>
      <c r="H10" s="151" t="s">
        <v>193</v>
      </c>
      <c r="I10" s="95" t="s">
        <v>65</v>
      </c>
      <c r="J10" s="198"/>
    </row>
    <row r="11" spans="1:10" x14ac:dyDescent="0.35">
      <c r="A11" s="52">
        <v>5</v>
      </c>
      <c r="B11" s="44">
        <v>604</v>
      </c>
      <c r="C11" s="44" t="s">
        <v>269</v>
      </c>
      <c r="D11" s="46">
        <v>46161</v>
      </c>
      <c r="E11" s="44">
        <v>2</v>
      </c>
      <c r="F11" s="44"/>
      <c r="G11" s="44"/>
      <c r="H11" s="44"/>
      <c r="I11" s="44" t="s">
        <v>228</v>
      </c>
      <c r="J11" s="192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44">
        <v>814</v>
      </c>
      <c r="C12" s="44" t="s">
        <v>253</v>
      </c>
      <c r="D12" s="46">
        <v>46154</v>
      </c>
      <c r="E12" s="44" t="s">
        <v>281</v>
      </c>
      <c r="F12" s="44"/>
      <c r="G12" s="44"/>
      <c r="H12" s="44"/>
      <c r="I12" s="44" t="s">
        <v>196</v>
      </c>
      <c r="J12" s="198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84">
        <v>868</v>
      </c>
      <c r="C13" s="44" t="s">
        <v>255</v>
      </c>
      <c r="D13" s="46">
        <v>46154</v>
      </c>
      <c r="E13" s="44" t="s">
        <v>162</v>
      </c>
      <c r="F13" s="44"/>
      <c r="G13" s="44"/>
      <c r="H13" s="84" t="s">
        <v>89</v>
      </c>
      <c r="I13" s="44" t="s">
        <v>228</v>
      </c>
      <c r="J13" s="198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151" t="s">
        <v>279</v>
      </c>
      <c r="C14" s="44" t="s">
        <v>229</v>
      </c>
      <c r="D14" s="46">
        <v>46155</v>
      </c>
      <c r="E14" s="44">
        <v>2</v>
      </c>
      <c r="F14" s="44"/>
      <c r="G14" s="44"/>
      <c r="H14" s="151" t="s">
        <v>193</v>
      </c>
      <c r="I14" s="44" t="s">
        <v>228</v>
      </c>
      <c r="J14" s="192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44">
        <v>881</v>
      </c>
      <c r="C15" s="44" t="s">
        <v>36</v>
      </c>
      <c r="D15" s="46">
        <v>46154</v>
      </c>
      <c r="E15" s="44">
        <v>2</v>
      </c>
      <c r="F15" s="44"/>
      <c r="G15" s="44"/>
      <c r="H15" s="44">
        <v>2836971</v>
      </c>
      <c r="I15" s="44" t="s">
        <v>24</v>
      </c>
      <c r="J15" s="192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44">
        <v>802</v>
      </c>
      <c r="C16" s="44" t="s">
        <v>275</v>
      </c>
      <c r="D16" s="46">
        <v>46154</v>
      </c>
      <c r="E16" s="44" t="s">
        <v>162</v>
      </c>
      <c r="F16" s="44"/>
      <c r="G16" s="44"/>
      <c r="H16" s="44"/>
      <c r="I16" s="44" t="s">
        <v>93</v>
      </c>
      <c r="J16" s="198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>
        <v>624</v>
      </c>
      <c r="C17" s="44" t="s">
        <v>273</v>
      </c>
      <c r="D17" s="46">
        <v>46154</v>
      </c>
      <c r="E17" s="44" t="s">
        <v>162</v>
      </c>
      <c r="F17" s="44"/>
      <c r="G17" s="44"/>
      <c r="H17" s="44"/>
      <c r="I17" s="44" t="s">
        <v>157</v>
      </c>
      <c r="J17" s="198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>
        <v>603</v>
      </c>
      <c r="C18" s="44" t="s">
        <v>274</v>
      </c>
      <c r="D18" s="46">
        <v>46161</v>
      </c>
      <c r="E18" s="44">
        <v>2</v>
      </c>
      <c r="F18" s="44"/>
      <c r="G18" s="44"/>
      <c r="H18" s="44"/>
      <c r="I18" s="44" t="s">
        <v>228</v>
      </c>
      <c r="J18" s="192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>
        <v>619</v>
      </c>
      <c r="C19" s="44" t="s">
        <v>276</v>
      </c>
      <c r="D19" s="46">
        <v>46154</v>
      </c>
      <c r="E19" s="44" t="s">
        <v>162</v>
      </c>
      <c r="F19" s="44"/>
      <c r="G19" s="44"/>
      <c r="H19" s="44"/>
      <c r="I19" s="44" t="s">
        <v>93</v>
      </c>
      <c r="J19" s="198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>
        <v>880</v>
      </c>
      <c r="C20" s="44" t="s">
        <v>277</v>
      </c>
      <c r="D20" s="46">
        <v>46156</v>
      </c>
      <c r="E20" s="44" t="s">
        <v>162</v>
      </c>
      <c r="F20" s="44"/>
      <c r="G20" s="44"/>
      <c r="H20" s="44"/>
      <c r="I20" s="44" t="s">
        <v>116</v>
      </c>
      <c r="J20" s="198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85">
        <v>850</v>
      </c>
      <c r="C21" s="157" t="s">
        <v>235</v>
      </c>
      <c r="D21" s="46">
        <v>46158</v>
      </c>
      <c r="E21" s="44">
        <v>2</v>
      </c>
      <c r="F21" s="44"/>
      <c r="G21" s="44"/>
      <c r="H21" s="85" t="s">
        <v>92</v>
      </c>
      <c r="I21" s="44" t="s">
        <v>116</v>
      </c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10</v>
      </c>
      <c r="D27" s="48" t="s">
        <v>19</v>
      </c>
      <c r="E27" s="49">
        <f>SUM(E7:E26)</f>
        <v>10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13" customFormat="1" ht="20.25" customHeight="1" x14ac:dyDescent="0.35">
      <c r="B39" s="17" t="s">
        <v>14</v>
      </c>
      <c r="C39" s="12"/>
      <c r="D39" s="36"/>
    </row>
    <row r="40" spans="2:7" s="8" customFormat="1" ht="14.4" x14ac:dyDescent="0.3">
      <c r="B40" s="14"/>
      <c r="C40" s="9"/>
      <c r="D40" s="34"/>
      <c r="E40" s="9"/>
      <c r="F40" s="9"/>
      <c r="G40" s="9"/>
    </row>
    <row r="41" spans="2:7" s="9" customFormat="1" ht="13.8" x14ac:dyDescent="0.3">
      <c r="D41" s="34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8"/>
      <c r="C43" s="8"/>
      <c r="D43" s="33"/>
      <c r="E43" s="8"/>
      <c r="F43" s="8"/>
      <c r="G43" s="8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9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0" spans="2:7" x14ac:dyDescent="0.35">
      <c r="B50" s="14"/>
      <c r="C50" s="9"/>
      <c r="D50" s="34"/>
      <c r="E50" s="9"/>
      <c r="F50" s="9"/>
      <c r="G50" s="9"/>
    </row>
    <row r="51" spans="2:7" x14ac:dyDescent="0.35">
      <c r="B51" s="9"/>
      <c r="C51" s="9"/>
      <c r="D51" s="34"/>
      <c r="E51" s="9"/>
      <c r="F51" s="9"/>
      <c r="G51" s="9"/>
    </row>
    <row r="53" spans="2:7" x14ac:dyDescent="0.35">
      <c r="B53" s="1"/>
      <c r="C53" s="1"/>
      <c r="D53" s="31"/>
      <c r="E53" s="1"/>
      <c r="F53" s="1"/>
      <c r="G53" s="1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9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  <row r="71" spans="2:7" x14ac:dyDescent="0.35">
      <c r="B71" s="14"/>
      <c r="C71" s="9"/>
      <c r="D71" s="34"/>
      <c r="E71" s="9"/>
      <c r="F71" s="9"/>
      <c r="G71" s="9"/>
    </row>
    <row r="72" spans="2:7" x14ac:dyDescent="0.35">
      <c r="B72" s="9"/>
      <c r="C72" s="9"/>
      <c r="D72" s="34"/>
      <c r="E72" s="9"/>
      <c r="F72" s="9"/>
      <c r="G72" s="9"/>
    </row>
  </sheetData>
  <customSheetViews>
    <customSheetView guid="{B3797D0B-1E44-402B-AD05-6509081B1712}" showPageBreaks="1" printArea="1">
      <selection activeCell="C21" sqref="C21"/>
      <rowBreaks count="1" manualBreakCount="1">
        <brk id="40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B12" sqref="B12:I12"/>
      <rowBreaks count="1" manualBreakCount="1">
        <brk id="40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C21" sqref="C21"/>
      <rowBreaks count="1" manualBreakCount="1">
        <brk id="40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20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40" min="1" max="8" man="1"/>
  </rowBreaks>
  <colBreaks count="1" manualBreakCount="1">
    <brk id="11" max="30" man="1"/>
  </colBrea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9"/>
  <sheetViews>
    <sheetView topLeftCell="A6" zoomScaleNormal="100" zoomScaleSheetLayoutView="100" workbookViewId="0">
      <selection activeCell="L12" sqref="L12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1" x14ac:dyDescent="0.35">
      <c r="C2" s="18" t="s">
        <v>0</v>
      </c>
      <c r="D2" s="30"/>
      <c r="E2" s="5"/>
      <c r="F2" s="5"/>
    </row>
    <row r="4" spans="1:11" s="1" customFormat="1" thickBot="1" x14ac:dyDescent="0.4">
      <c r="D4" s="31"/>
    </row>
    <row r="5" spans="1:11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12/05/2026</v>
      </c>
    </row>
    <row r="6" spans="1:11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1" x14ac:dyDescent="0.35">
      <c r="A7" s="52">
        <v>1</v>
      </c>
      <c r="B7" s="195"/>
      <c r="C7" s="71"/>
      <c r="D7" s="214"/>
      <c r="E7" s="71"/>
      <c r="F7" s="71"/>
      <c r="G7" s="71"/>
      <c r="H7" s="71"/>
      <c r="I7" s="71"/>
      <c r="J7" s="71"/>
    </row>
    <row r="8" spans="1:11" ht="19.8" x14ac:dyDescent="0.4">
      <c r="A8" s="52">
        <v>2</v>
      </c>
      <c r="B8" s="84">
        <v>868</v>
      </c>
      <c r="C8" s="44" t="s">
        <v>255</v>
      </c>
      <c r="D8" s="46">
        <v>46154</v>
      </c>
      <c r="E8" s="44" t="s">
        <v>247</v>
      </c>
      <c r="F8" s="44"/>
      <c r="G8" s="44"/>
      <c r="H8" s="84" t="s">
        <v>89</v>
      </c>
      <c r="I8" s="44" t="s">
        <v>228</v>
      </c>
      <c r="J8" s="211" t="str">
        <f>IF(OR(NOT(ISERROR(MATCH(RIGHT(#REF!,3)+0,#REF!,0))),NOT(ISERROR(MATCH(LEFT(#REF!,3)+0,#REF!,0)))),"No Post","")</f>
        <v/>
      </c>
      <c r="K8" s="213"/>
    </row>
    <row r="9" spans="1:11" x14ac:dyDescent="0.35">
      <c r="A9" s="52">
        <v>3</v>
      </c>
      <c r="B9" s="87">
        <v>343</v>
      </c>
      <c r="C9" s="209" t="s">
        <v>270</v>
      </c>
      <c r="D9" s="94">
        <v>46155</v>
      </c>
      <c r="E9" s="87" t="s">
        <v>247</v>
      </c>
      <c r="F9" s="87" t="s">
        <v>292</v>
      </c>
      <c r="G9" s="87"/>
      <c r="H9" s="210"/>
      <c r="I9" s="87" t="s">
        <v>84</v>
      </c>
      <c r="J9" s="205" t="str">
        <f>IF(OR(NOT(ISERROR(MATCH(RIGHT(B9,3)+0,#REF!,0))),NOT(ISERROR(MATCH(LEFT(B9,3)+0,#REF!,0)))),"No Post","")</f>
        <v/>
      </c>
    </row>
    <row r="10" spans="1:11" x14ac:dyDescent="0.35">
      <c r="A10" s="52">
        <v>4</v>
      </c>
      <c r="B10" s="44" t="s">
        <v>287</v>
      </c>
      <c r="C10" s="44" t="s">
        <v>276</v>
      </c>
      <c r="D10" s="46">
        <v>46154</v>
      </c>
      <c r="E10" s="44">
        <v>2</v>
      </c>
      <c r="F10" s="44"/>
      <c r="G10" s="44"/>
      <c r="H10" s="44"/>
      <c r="I10" s="44"/>
      <c r="J10" s="192">
        <v>0</v>
      </c>
    </row>
    <row r="11" spans="1:11" x14ac:dyDescent="0.35">
      <c r="A11" s="52">
        <v>5</v>
      </c>
      <c r="B11" s="44">
        <v>801</v>
      </c>
      <c r="C11" s="87" t="s">
        <v>33</v>
      </c>
      <c r="D11" s="46">
        <v>46156</v>
      </c>
      <c r="E11" s="44">
        <v>2</v>
      </c>
      <c r="F11" s="44"/>
      <c r="G11" s="44"/>
      <c r="H11" s="204">
        <v>32719303271931</v>
      </c>
      <c r="I11" s="44" t="s">
        <v>31</v>
      </c>
      <c r="J11" s="192">
        <v>0</v>
      </c>
    </row>
    <row r="12" spans="1:11" x14ac:dyDescent="0.35">
      <c r="A12" s="52">
        <v>6</v>
      </c>
      <c r="B12" s="95">
        <v>877</v>
      </c>
      <c r="C12" s="95" t="s">
        <v>284</v>
      </c>
      <c r="D12" s="115">
        <v>46156</v>
      </c>
      <c r="E12" s="95" t="s">
        <v>152</v>
      </c>
      <c r="F12" s="44"/>
      <c r="G12" s="44"/>
      <c r="H12" s="44"/>
      <c r="I12" s="44" t="s">
        <v>116</v>
      </c>
      <c r="J12" s="205" t="str">
        <f>IF(OR(NOT(ISERROR(MATCH(RIGHT(B12,3)+0,#REF!,0))),NOT(ISERROR(MATCH(LEFT(B12,3)+0,#REF!,0)))),"No Post","")</f>
        <v/>
      </c>
    </row>
    <row r="13" spans="1:11" x14ac:dyDescent="0.35">
      <c r="A13" s="52">
        <v>7</v>
      </c>
      <c r="B13" s="44">
        <v>869</v>
      </c>
      <c r="C13" s="44" t="s">
        <v>285</v>
      </c>
      <c r="D13" s="46">
        <v>46157</v>
      </c>
      <c r="E13" s="44">
        <v>2</v>
      </c>
      <c r="F13" s="44"/>
      <c r="G13" s="44"/>
      <c r="H13" s="44"/>
      <c r="I13" s="44" t="s">
        <v>116</v>
      </c>
      <c r="J13" s="211"/>
    </row>
    <row r="14" spans="1:11" ht="19.8" x14ac:dyDescent="0.4">
      <c r="A14" s="52">
        <v>8</v>
      </c>
      <c r="B14" s="44">
        <v>649</v>
      </c>
      <c r="C14" s="44" t="s">
        <v>280</v>
      </c>
      <c r="D14" s="46">
        <v>46155</v>
      </c>
      <c r="E14" s="44" t="s">
        <v>282</v>
      </c>
      <c r="F14" s="44"/>
      <c r="G14" s="44"/>
      <c r="H14" s="44"/>
      <c r="I14" s="44" t="s">
        <v>93</v>
      </c>
      <c r="J14" s="205">
        <v>0</v>
      </c>
      <c r="K14" s="24"/>
    </row>
    <row r="15" spans="1:11" ht="19.8" x14ac:dyDescent="0.4">
      <c r="A15" s="52">
        <v>9</v>
      </c>
      <c r="B15" s="44">
        <v>648</v>
      </c>
      <c r="C15" s="44" t="s">
        <v>144</v>
      </c>
      <c r="D15" s="46">
        <v>46157</v>
      </c>
      <c r="E15" s="95" t="s">
        <v>152</v>
      </c>
      <c r="F15" s="44"/>
      <c r="G15" s="44"/>
      <c r="H15" s="207" t="s">
        <v>145</v>
      </c>
      <c r="I15" s="44" t="s">
        <v>63</v>
      </c>
      <c r="J15" s="205" t="str">
        <f>IF(OR(NOT(ISERROR(MATCH(RIGHT(#REF!,3)+0,#REF!,0))),NOT(ISERROR(MATCH(LEFT(#REF!,3)+0,#REF!,0)))),"No Post","")</f>
        <v/>
      </c>
      <c r="K15" s="24"/>
    </row>
    <row r="16" spans="1:11" x14ac:dyDescent="0.35">
      <c r="A16" s="52">
        <v>10</v>
      </c>
      <c r="B16" s="151">
        <v>300</v>
      </c>
      <c r="C16" s="44" t="s">
        <v>64</v>
      </c>
      <c r="D16" s="46">
        <v>46155</v>
      </c>
      <c r="E16" s="44">
        <v>2</v>
      </c>
      <c r="F16" s="44"/>
      <c r="G16" s="44"/>
      <c r="H16" s="151" t="s">
        <v>193</v>
      </c>
      <c r="I16" s="44" t="s">
        <v>65</v>
      </c>
      <c r="J16" s="205"/>
    </row>
    <row r="17" spans="1:12" ht="18.600000000000001" customHeight="1" x14ac:dyDescent="0.35">
      <c r="A17" s="52">
        <v>11</v>
      </c>
      <c r="B17" s="44" t="s">
        <v>289</v>
      </c>
      <c r="C17" s="44" t="s">
        <v>286</v>
      </c>
      <c r="D17" s="46">
        <v>46154</v>
      </c>
      <c r="E17" s="44">
        <v>2</v>
      </c>
      <c r="F17" s="44"/>
      <c r="G17" s="44"/>
      <c r="H17" s="44"/>
      <c r="I17" s="44" t="s">
        <v>93</v>
      </c>
      <c r="J17" s="192">
        <v>0</v>
      </c>
    </row>
    <row r="18" spans="1:12" ht="18.600000000000001" customHeight="1" x14ac:dyDescent="0.35">
      <c r="A18" s="52">
        <v>12</v>
      </c>
      <c r="B18" s="85">
        <v>811</v>
      </c>
      <c r="C18" s="44" t="s">
        <v>172</v>
      </c>
      <c r="D18" s="46">
        <v>46157</v>
      </c>
      <c r="E18" s="44" t="s">
        <v>152</v>
      </c>
      <c r="F18" s="44"/>
      <c r="G18" s="44"/>
      <c r="H18" s="85" t="s">
        <v>92</v>
      </c>
      <c r="I18" s="44" t="s">
        <v>116</v>
      </c>
      <c r="J18" s="205" t="str">
        <f>IF(OR(NOT(ISERROR(MATCH(RIGHT(B18,3)+0,#REF!,0))),NOT(ISERROR(MATCH(LEFT(B18,3)+0,#REF!,0)))),"No Post","")</f>
        <v/>
      </c>
    </row>
    <row r="19" spans="1:12" ht="18.600000000000001" customHeight="1" x14ac:dyDescent="0.35">
      <c r="A19" s="52">
        <v>13</v>
      </c>
      <c r="B19" s="85">
        <v>850</v>
      </c>
      <c r="C19" s="44" t="s">
        <v>235</v>
      </c>
      <c r="D19" s="46">
        <v>46158</v>
      </c>
      <c r="E19" s="44">
        <v>2</v>
      </c>
      <c r="F19" s="44"/>
      <c r="G19" s="44"/>
      <c r="H19" s="85" t="s">
        <v>92</v>
      </c>
      <c r="I19" s="44" t="s">
        <v>116</v>
      </c>
      <c r="J19" s="205" t="str">
        <f>IF(OR(NOT(ISERROR(MATCH(RIGHT(#REF!,3)+0,#REF!,0))),NOT(ISERROR(MATCH(LEFT(#REF!,3)+0,#REF!,0)))),"No Post","")</f>
        <v/>
      </c>
      <c r="K19" s="4" t="s">
        <v>258</v>
      </c>
    </row>
    <row r="20" spans="1:12" ht="18.600000000000001" customHeight="1" x14ac:dyDescent="0.35">
      <c r="A20" s="52">
        <v>14</v>
      </c>
      <c r="B20" s="95" t="s">
        <v>293</v>
      </c>
      <c r="C20" s="95" t="s">
        <v>275</v>
      </c>
      <c r="D20" s="115">
        <v>46154</v>
      </c>
      <c r="E20" s="95" t="s">
        <v>152</v>
      </c>
      <c r="F20" s="44"/>
      <c r="G20" s="44"/>
      <c r="H20" s="207"/>
      <c r="I20" s="44" t="s">
        <v>93</v>
      </c>
      <c r="J20" s="205" t="str">
        <f>IF(OR(NOT(ISERROR(MATCH(RIGHT(B20,3)+0,#REF!,0))),NOT(ISERROR(MATCH(LEFT(B20,3)+0,#REF!,0)))),"No Post","")</f>
        <v/>
      </c>
    </row>
    <row r="21" spans="1:12" ht="18.600000000000001" customHeight="1" x14ac:dyDescent="0.35">
      <c r="A21" s="52">
        <v>15</v>
      </c>
      <c r="B21" s="44" t="s">
        <v>288</v>
      </c>
      <c r="C21" s="157" t="s">
        <v>273</v>
      </c>
      <c r="D21" s="46">
        <v>46154</v>
      </c>
      <c r="E21" s="44">
        <v>2</v>
      </c>
      <c r="F21" s="44"/>
      <c r="G21" s="44"/>
      <c r="H21" s="44"/>
      <c r="I21" s="44" t="s">
        <v>157</v>
      </c>
      <c r="J21" s="205">
        <v>0</v>
      </c>
      <c r="L21" s="4">
        <v>0</v>
      </c>
    </row>
    <row r="22" spans="1:12" ht="18.600000000000001" customHeight="1" x14ac:dyDescent="0.35">
      <c r="A22" s="52">
        <v>16</v>
      </c>
      <c r="B22" s="44">
        <v>602</v>
      </c>
      <c r="C22" s="44" t="s">
        <v>271</v>
      </c>
      <c r="D22" s="46">
        <v>46162</v>
      </c>
      <c r="E22" s="44">
        <v>2</v>
      </c>
      <c r="F22" s="44"/>
      <c r="G22" s="44"/>
      <c r="H22" s="44"/>
      <c r="I22" s="44" t="s">
        <v>268</v>
      </c>
      <c r="J22" s="192">
        <v>0</v>
      </c>
    </row>
    <row r="23" spans="1:12" ht="18.600000000000001" customHeight="1" x14ac:dyDescent="0.35">
      <c r="A23" s="52">
        <v>17</v>
      </c>
      <c r="B23" s="44" t="s">
        <v>290</v>
      </c>
      <c r="C23" s="212" t="s">
        <v>32</v>
      </c>
      <c r="D23" s="46">
        <v>46156</v>
      </c>
      <c r="E23" s="44" t="s">
        <v>259</v>
      </c>
      <c r="F23" s="44"/>
      <c r="G23" s="44"/>
      <c r="H23" s="204" t="s">
        <v>291</v>
      </c>
      <c r="I23" s="44" t="s">
        <v>31</v>
      </c>
      <c r="J23" s="205" t="str">
        <f>IF(OR(NOT(ISERROR(MATCH(RIGHT(B23,3)+0,#REF!,0))),NOT(ISERROR(MATCH(LEFT(B23,3)+0,#REF!,0)))),"No Post","")</f>
        <v/>
      </c>
    </row>
    <row r="24" spans="1:12" ht="18.600000000000001" customHeight="1" x14ac:dyDescent="0.35">
      <c r="A24" s="52">
        <v>18</v>
      </c>
      <c r="B24" s="44">
        <v>863</v>
      </c>
      <c r="C24" s="44" t="s">
        <v>61</v>
      </c>
      <c r="D24" s="46">
        <v>46156</v>
      </c>
      <c r="E24" s="44">
        <v>2</v>
      </c>
      <c r="F24" s="44"/>
      <c r="G24" s="44"/>
      <c r="H24" s="44" t="s">
        <v>62</v>
      </c>
      <c r="I24" s="44" t="s">
        <v>63</v>
      </c>
      <c r="J24" s="205" t="str">
        <f>IF(OR(NOT(ISERROR(MATCH(RIGHT(#REF!,3)+0,#REF!,0))),NOT(ISERROR(MATCH(LEFT(#REF!,3)+0,#REF!,0)))),"No Post","")</f>
        <v/>
      </c>
    </row>
    <row r="25" spans="1:12" ht="18.600000000000001" customHeight="1" x14ac:dyDescent="0.35">
      <c r="A25" s="52">
        <v>19</v>
      </c>
      <c r="B25" s="44" t="s">
        <v>293</v>
      </c>
      <c r="C25" s="157" t="s">
        <v>275</v>
      </c>
      <c r="D25" s="46">
        <v>46154</v>
      </c>
      <c r="E25" s="44" t="s">
        <v>152</v>
      </c>
      <c r="F25" s="44"/>
      <c r="G25" s="44"/>
      <c r="H25" s="44"/>
      <c r="I25" s="44" t="s">
        <v>93</v>
      </c>
      <c r="J25" s="205" t="str">
        <f>IF(OR(NOT(ISERROR(MATCH(RIGHT(B25,3)+0,#REF!,0))),NOT(ISERROR(MATCH(LEFT(B25,3)+0,#REF!,0)))),"No Post","")</f>
        <v/>
      </c>
    </row>
    <row r="26" spans="1:12" s="24" customFormat="1" ht="18.600000000000001" customHeight="1" x14ac:dyDescent="0.4">
      <c r="A26" s="52">
        <v>20</v>
      </c>
      <c r="B26" s="44">
        <v>843</v>
      </c>
      <c r="C26" s="44" t="s">
        <v>257</v>
      </c>
      <c r="D26" s="46">
        <v>46155</v>
      </c>
      <c r="E26" s="44" t="s">
        <v>281</v>
      </c>
      <c r="F26" s="44"/>
      <c r="G26" s="44"/>
      <c r="H26" s="207"/>
      <c r="I26" s="44" t="s">
        <v>196</v>
      </c>
      <c r="J26" s="205">
        <v>0</v>
      </c>
      <c r="K26" s="4"/>
    </row>
    <row r="27" spans="1:12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4</v>
      </c>
      <c r="D27" s="48" t="s">
        <v>19</v>
      </c>
      <c r="E27" s="49">
        <f>SUM(E8:E22)</f>
        <v>16</v>
      </c>
      <c r="F27" s="49">
        <f>SUM(F8:F22)</f>
        <v>0</v>
      </c>
      <c r="G27" s="47"/>
      <c r="H27" s="47"/>
      <c r="I27" s="47"/>
    </row>
    <row r="28" spans="1:12" ht="20.25" customHeight="1" x14ac:dyDescent="0.35">
      <c r="B28" s="8" t="s">
        <v>5</v>
      </c>
      <c r="C28" s="8"/>
      <c r="D28" s="33"/>
      <c r="E28" s="8"/>
      <c r="F28" s="8"/>
      <c r="G28" s="8"/>
    </row>
    <row r="29" spans="1:12" ht="20.25" customHeight="1" x14ac:dyDescent="0.35">
      <c r="B29" s="15" t="s">
        <v>6</v>
      </c>
      <c r="C29" s="9"/>
      <c r="D29" s="34"/>
      <c r="E29" s="9"/>
      <c r="F29" s="9"/>
      <c r="G29" s="9"/>
    </row>
    <row r="30" spans="1:12" ht="20.25" customHeight="1" x14ac:dyDescent="0.35">
      <c r="B30" s="15" t="s">
        <v>7</v>
      </c>
      <c r="C30" s="9"/>
      <c r="D30" s="34"/>
      <c r="E30" s="9"/>
      <c r="F30" s="9"/>
      <c r="G30" s="9"/>
    </row>
    <row r="31" spans="1:12" ht="20.25" customHeight="1" x14ac:dyDescent="0.35">
      <c r="B31" s="15" t="s">
        <v>8</v>
      </c>
      <c r="C31" s="9"/>
      <c r="D31" s="34"/>
      <c r="E31" s="9"/>
      <c r="F31" s="9"/>
      <c r="G31" s="9"/>
    </row>
    <row r="32" spans="1:12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x14ac:dyDescent="0.35">
      <c r="B39" s="9"/>
      <c r="C39" s="9"/>
      <c r="D39" s="34"/>
      <c r="E39" s="9"/>
      <c r="F39" s="9"/>
      <c r="G39" s="9"/>
    </row>
    <row r="40" spans="2:7" x14ac:dyDescent="0.35">
      <c r="B40" s="8"/>
      <c r="C40" s="8"/>
      <c r="D40" s="33"/>
      <c r="E40" s="8"/>
      <c r="F40" s="8"/>
      <c r="G40" s="8"/>
    </row>
    <row r="41" spans="2:7" x14ac:dyDescent="0.35">
      <c r="B41" s="9"/>
      <c r="C41" s="9"/>
      <c r="D41" s="34"/>
      <c r="E41" s="9"/>
      <c r="F41" s="9"/>
      <c r="G41" s="9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14"/>
      <c r="C47" s="9"/>
      <c r="D47" s="34"/>
      <c r="E47" s="9"/>
      <c r="F47" s="9"/>
      <c r="G47" s="9"/>
    </row>
    <row r="48" spans="2:7" x14ac:dyDescent="0.35">
      <c r="B48" s="9"/>
      <c r="C48" s="9"/>
      <c r="D48" s="34"/>
      <c r="E48" s="9"/>
      <c r="F48" s="9"/>
      <c r="G48" s="9"/>
    </row>
    <row r="50" spans="2:7" x14ac:dyDescent="0.35">
      <c r="B50" s="1"/>
      <c r="C50" s="1"/>
      <c r="D50" s="31"/>
      <c r="E50" s="1"/>
      <c r="F50" s="1"/>
      <c r="G50" s="1"/>
    </row>
    <row r="65" spans="2:7" x14ac:dyDescent="0.35">
      <c r="B65" s="9"/>
      <c r="C65" s="9"/>
      <c r="D65" s="34"/>
      <c r="E65" s="9"/>
      <c r="F65" s="9"/>
      <c r="G65" s="9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14"/>
      <c r="C68" s="9"/>
      <c r="D68" s="34"/>
      <c r="E68" s="9"/>
      <c r="F68" s="9"/>
      <c r="G68" s="9"/>
    </row>
    <row r="69" spans="2:7" x14ac:dyDescent="0.35">
      <c r="B69" s="9"/>
      <c r="C69" s="9"/>
      <c r="D69" s="34"/>
      <c r="E69" s="9"/>
      <c r="F69" s="9"/>
      <c r="G69" s="9"/>
    </row>
  </sheetData>
  <customSheetViews>
    <customSheetView guid="{B3797D0B-1E44-402B-AD05-6509081B1712}" showPageBreaks="1" printArea="1">
      <selection activeCell="B9" sqref="B9:I9"/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 topLeftCell="A6">
      <selection activeCell="L12" sqref="L12"/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B9" sqref="B9:I9"/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9:J12 J14:J26">
    <cfRule type="containsText" dxfId="19" priority="1" operator="containsText" text="No Post">
      <formula>NOT(ISERROR(SEARCH("No Post",J9)))</formula>
    </cfRule>
  </conditionalFormatting>
  <pageMargins left="0.17" right="0.17" top="0.75" bottom="0.75" header="0.3" footer="0.3"/>
  <pageSetup scale="64" orientation="landscape" r:id="rId4"/>
  <colBreaks count="1" manualBreakCount="1">
    <brk id="11" max="30" man="1"/>
  </colBrea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6"/>
  <sheetViews>
    <sheetView zoomScaleNormal="100" zoomScaleSheetLayoutView="100" workbookViewId="0">
      <selection activeCell="E8" sqref="E8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1" x14ac:dyDescent="0.35">
      <c r="C2" s="18" t="s">
        <v>0</v>
      </c>
      <c r="D2" s="30"/>
      <c r="E2" s="5"/>
      <c r="F2" s="5"/>
    </row>
    <row r="4" spans="1:11" s="1" customFormat="1" thickBot="1" x14ac:dyDescent="0.4">
      <c r="D4" s="31"/>
    </row>
    <row r="5" spans="1:11" s="2" customFormat="1" ht="24" thickBot="1" x14ac:dyDescent="0.5">
      <c r="A5" s="218" t="s">
        <v>15</v>
      </c>
      <c r="B5" s="219"/>
      <c r="C5" s="219"/>
      <c r="D5" s="219"/>
      <c r="E5" s="219"/>
      <c r="F5" s="219"/>
      <c r="G5" s="219"/>
      <c r="H5" s="6" t="s">
        <v>18</v>
      </c>
      <c r="I5" s="3" t="str">
        <f ca="1">CONCATENATE((MID(CELL("filename",I5),FIND("]",CELL("filename",I5))+1,255)),"/05/2026")</f>
        <v>13/05/2026</v>
      </c>
    </row>
    <row r="6" spans="1:11" x14ac:dyDescent="0.35">
      <c r="A6" s="54"/>
      <c r="B6" s="55" t="s">
        <v>1</v>
      </c>
      <c r="C6" s="55" t="s">
        <v>2</v>
      </c>
      <c r="D6" s="56" t="s">
        <v>21</v>
      </c>
      <c r="E6" s="55" t="s">
        <v>16</v>
      </c>
      <c r="F6" s="55" t="s">
        <v>17</v>
      </c>
      <c r="G6" s="55" t="s">
        <v>3</v>
      </c>
      <c r="H6" s="57" t="s">
        <v>20</v>
      </c>
      <c r="I6" s="58" t="s">
        <v>4</v>
      </c>
    </row>
    <row r="7" spans="1:11" x14ac:dyDescent="0.35">
      <c r="A7" s="52">
        <v>1</v>
      </c>
      <c r="B7" s="44" t="s">
        <v>302</v>
      </c>
      <c r="C7" s="87" t="s">
        <v>280</v>
      </c>
      <c r="D7" s="46">
        <v>46155</v>
      </c>
      <c r="E7" s="44" t="s">
        <v>259</v>
      </c>
      <c r="F7" s="44"/>
      <c r="G7" s="44"/>
      <c r="H7" s="44"/>
      <c r="I7" s="44" t="s">
        <v>93</v>
      </c>
      <c r="J7" s="205" t="str">
        <f>IF(OR(NOT(ISERROR(MATCH(RIGHT(B7,3)+0,#REF!,0))),NOT(ISERROR(MATCH(LEFT(B7,3)+0,#REF!,0)))),"No Post","")</f>
        <v/>
      </c>
    </row>
    <row r="8" spans="1:11" x14ac:dyDescent="0.35">
      <c r="A8" s="52">
        <v>2</v>
      </c>
      <c r="B8" s="44">
        <v>877</v>
      </c>
      <c r="C8" s="44" t="s">
        <v>284</v>
      </c>
      <c r="D8" s="46">
        <v>46156</v>
      </c>
      <c r="E8" s="44" t="s">
        <v>247</v>
      </c>
      <c r="F8" s="44"/>
      <c r="G8" s="44"/>
      <c r="H8" s="44"/>
      <c r="I8" s="44" t="s">
        <v>116</v>
      </c>
      <c r="J8" s="205" t="str">
        <f>IF(OR(NOT(ISERROR(MATCH(RIGHT(B8,3)+0,#REF!,0))),NOT(ISERROR(MATCH(LEFT(B8,3)+0,#REF!,0)))),"No Post","")</f>
        <v/>
      </c>
      <c r="K8" s="4" t="s">
        <v>303</v>
      </c>
    </row>
    <row r="9" spans="1:11" x14ac:dyDescent="0.35">
      <c r="A9" s="52">
        <v>3</v>
      </c>
      <c r="B9" s="44">
        <v>880</v>
      </c>
      <c r="C9" s="44" t="s">
        <v>277</v>
      </c>
      <c r="D9" s="46">
        <v>46156</v>
      </c>
      <c r="E9" s="44" t="s">
        <v>247</v>
      </c>
      <c r="F9" s="44"/>
      <c r="G9" s="44"/>
      <c r="H9" s="44"/>
      <c r="I9" s="44" t="s">
        <v>116</v>
      </c>
      <c r="J9" s="205" t="str">
        <f>IF(OR(NOT(ISERROR(MATCH(RIGHT(B9,3)+0,#REF!,0))),NOT(ISERROR(MATCH(LEFT(B9,3)+0,#REF!,0)))),"No Post","")</f>
        <v/>
      </c>
    </row>
    <row r="10" spans="1:11" x14ac:dyDescent="0.35">
      <c r="A10" s="52">
        <v>4</v>
      </c>
      <c r="B10" s="44">
        <v>810</v>
      </c>
      <c r="C10" s="44" t="s">
        <v>286</v>
      </c>
      <c r="D10" s="46">
        <v>46156</v>
      </c>
      <c r="E10" s="44">
        <v>2</v>
      </c>
      <c r="F10" s="44"/>
      <c r="G10" s="44"/>
      <c r="H10" s="44"/>
      <c r="I10" s="44" t="s">
        <v>93</v>
      </c>
      <c r="J10" s="192" t="str">
        <f>IF(OR(NOT(ISERROR(MATCH(RIGHT(B10,3)+0,#REF!,0))),NOT(ISERROR(MATCH(LEFT(B10,3)+0,#REF!,0)))),"No Post","")</f>
        <v/>
      </c>
    </row>
    <row r="11" spans="1:11" x14ac:dyDescent="0.35">
      <c r="A11" s="52">
        <v>5</v>
      </c>
      <c r="B11" s="44">
        <v>206</v>
      </c>
      <c r="C11" s="44" t="s">
        <v>272</v>
      </c>
      <c r="D11" s="46">
        <v>46157</v>
      </c>
      <c r="E11" s="44" t="s">
        <v>247</v>
      </c>
      <c r="F11" s="44"/>
      <c r="G11" s="44"/>
      <c r="H11" s="44"/>
      <c r="I11" s="44" t="s">
        <v>84</v>
      </c>
      <c r="J11" s="205" t="str">
        <f>IF(OR(NOT(ISERROR(MATCH(RIGHT(B11,3)+0,#REF!,0))),NOT(ISERROR(MATCH(LEFT(B11,3)+0,#REF!,0)))),"No Post","")</f>
        <v/>
      </c>
    </row>
    <row r="12" spans="1:11" x14ac:dyDescent="0.35">
      <c r="A12" s="52">
        <v>6</v>
      </c>
      <c r="B12" s="95" t="s">
        <v>305</v>
      </c>
      <c r="C12" s="206" t="s">
        <v>32</v>
      </c>
      <c r="D12" s="115">
        <v>46156</v>
      </c>
      <c r="E12" s="95" t="s">
        <v>307</v>
      </c>
      <c r="F12" s="44"/>
      <c r="G12" s="44"/>
      <c r="H12" s="204" t="s">
        <v>291</v>
      </c>
      <c r="I12" s="44" t="s">
        <v>31</v>
      </c>
      <c r="J12" s="205" t="str">
        <f>IF(OR(NOT(ISERROR(MATCH(RIGHT(B12,3)+0,#REF!,0))),NOT(ISERROR(MATCH(LEFT(B12,3)+0,#REF!,0)))),"No Post","")</f>
        <v/>
      </c>
    </row>
    <row r="13" spans="1:11" x14ac:dyDescent="0.35">
      <c r="A13" s="52">
        <v>7</v>
      </c>
      <c r="B13" s="44" t="s">
        <v>288</v>
      </c>
      <c r="C13" s="208" t="s">
        <v>273</v>
      </c>
      <c r="D13" s="46">
        <v>46154</v>
      </c>
      <c r="E13" s="44" t="s">
        <v>247</v>
      </c>
      <c r="F13" s="44"/>
      <c r="G13" s="44"/>
      <c r="H13" s="44"/>
      <c r="I13" s="44" t="s">
        <v>157</v>
      </c>
      <c r="J13" s="205" t="str">
        <f>IF(OR(NOT(ISERROR(MATCH(RIGHT(B13,3)+0,#REF!,0))),NOT(ISERROR(MATCH(LEFT(B13,3)+0,#REF!,0)))),"No Post","")</f>
        <v/>
      </c>
    </row>
    <row r="14" spans="1:11" x14ac:dyDescent="0.35">
      <c r="A14" s="52">
        <v>8</v>
      </c>
      <c r="B14" s="44" t="s">
        <v>306</v>
      </c>
      <c r="C14" s="44" t="s">
        <v>275</v>
      </c>
      <c r="D14" s="46">
        <v>46154</v>
      </c>
      <c r="E14" s="44">
        <v>2</v>
      </c>
      <c r="F14" s="44"/>
      <c r="G14" s="44"/>
      <c r="H14" s="44"/>
      <c r="I14" s="44" t="s">
        <v>93</v>
      </c>
      <c r="J14" s="192" t="str">
        <f>IF(OR(NOT(ISERROR(MATCH(RIGHT(B14,3)+0,#REF!,0))),NOT(ISERROR(MATCH(LEFT(B14,3)+0,#REF!,0)))),"No Post","")</f>
        <v/>
      </c>
    </row>
    <row r="15" spans="1:11" x14ac:dyDescent="0.35">
      <c r="A15" s="52">
        <v>9</v>
      </c>
      <c r="B15" s="85">
        <v>811</v>
      </c>
      <c r="C15" s="44" t="s">
        <v>172</v>
      </c>
      <c r="D15" s="46">
        <v>46157</v>
      </c>
      <c r="E15" s="44" t="s">
        <v>247</v>
      </c>
      <c r="F15" s="44"/>
      <c r="G15" s="44"/>
      <c r="H15" s="85" t="s">
        <v>92</v>
      </c>
      <c r="I15" s="44" t="s">
        <v>116</v>
      </c>
      <c r="J15" s="205" t="str">
        <f>IF(OR(NOT(ISERROR(MATCH(RIGHT(B15,3)+0,#REF!,0))),NOT(ISERROR(MATCH(LEFT(B15,3)+0,#REF!,0)))),"No Post","")</f>
        <v/>
      </c>
    </row>
    <row r="16" spans="1:11" x14ac:dyDescent="0.35">
      <c r="A16" s="52">
        <v>10</v>
      </c>
      <c r="B16" s="44" t="s">
        <v>304</v>
      </c>
      <c r="C16" s="44" t="s">
        <v>61</v>
      </c>
      <c r="D16" s="46">
        <v>46156</v>
      </c>
      <c r="E16" s="44">
        <v>2</v>
      </c>
      <c r="F16" s="44"/>
      <c r="G16" s="44"/>
      <c r="H16" s="44" t="s">
        <v>62</v>
      </c>
      <c r="I16" s="44" t="s">
        <v>63</v>
      </c>
      <c r="J16" s="192" t="str">
        <f>IF(OR(NOT(ISERROR(MATCH(RIGHT(B16,3)+0,#REF!,0))),NOT(ISERROR(MATCH(LEFT(B16,3)+0,#REF!,0)))),"No Post","")</f>
        <v/>
      </c>
    </row>
    <row r="17" spans="1:11" ht="18.600000000000001" customHeight="1" x14ac:dyDescent="0.35">
      <c r="A17" s="52">
        <v>11</v>
      </c>
      <c r="B17" s="44">
        <v>874</v>
      </c>
      <c r="C17" s="44" t="s">
        <v>300</v>
      </c>
      <c r="D17" s="46">
        <v>46157</v>
      </c>
      <c r="E17" s="44">
        <v>2</v>
      </c>
      <c r="F17" s="44"/>
      <c r="G17" s="44"/>
      <c r="H17" s="44"/>
      <c r="I17" s="44" t="s">
        <v>187</v>
      </c>
      <c r="J17" s="192" t="str">
        <f>IF(OR(NOT(ISERROR(MATCH(RIGHT(B17,3)+0,#REF!,0))),NOT(ISERROR(MATCH(LEFT(B17,3)+0,#REF!,0)))),"No Post","")</f>
        <v/>
      </c>
    </row>
    <row r="18" spans="1:11" ht="18.600000000000001" customHeight="1" x14ac:dyDescent="0.35">
      <c r="A18" s="52">
        <v>12</v>
      </c>
      <c r="B18" s="44" t="s">
        <v>301</v>
      </c>
      <c r="C18" s="44" t="s">
        <v>278</v>
      </c>
      <c r="D18" s="46">
        <v>46155</v>
      </c>
      <c r="E18" s="44" t="s">
        <v>247</v>
      </c>
      <c r="F18" s="44"/>
      <c r="G18" s="44"/>
      <c r="H18" s="44"/>
      <c r="I18" s="44" t="s">
        <v>84</v>
      </c>
      <c r="J18" s="205" t="str">
        <f>IF(OR(NOT(ISERROR(MATCH(RIGHT(B18,3)+0,#REF!,0))),NOT(ISERROR(MATCH(LEFT(B18,3)+0,#REF!,0)))),"No Post","")</f>
        <v/>
      </c>
    </row>
    <row r="19" spans="1:11" ht="18.600000000000001" customHeight="1" x14ac:dyDescent="0.35">
      <c r="A19" s="52">
        <v>13</v>
      </c>
      <c r="B19" s="44">
        <v>869</v>
      </c>
      <c r="C19" s="87" t="s">
        <v>285</v>
      </c>
      <c r="D19" s="46">
        <v>46157</v>
      </c>
      <c r="E19" s="44" t="s">
        <v>152</v>
      </c>
      <c r="F19" s="44"/>
      <c r="G19" s="44"/>
      <c r="H19" s="44"/>
      <c r="I19" s="44" t="s">
        <v>116</v>
      </c>
      <c r="J19" s="205" t="str">
        <f>IF(OR(NOT(ISERROR(MATCH(RIGHT(B19,3)+0,#REF!,0))),NOT(ISERROR(MATCH(LEFT(B19,3)+0,#REF!,0)))),"No Post","")</f>
        <v/>
      </c>
      <c r="K19" s="4" t="s">
        <v>303</v>
      </c>
    </row>
    <row r="20" spans="1:11" ht="18.600000000000001" customHeight="1" x14ac:dyDescent="0.35">
      <c r="A20" s="52">
        <v>14</v>
      </c>
      <c r="B20" s="44">
        <v>648</v>
      </c>
      <c r="C20" s="44" t="s">
        <v>144</v>
      </c>
      <c r="D20" s="46">
        <v>46157</v>
      </c>
      <c r="E20" s="44">
        <v>2</v>
      </c>
      <c r="F20" s="44"/>
      <c r="G20" s="44"/>
      <c r="H20" s="44" t="s">
        <v>145</v>
      </c>
      <c r="I20" s="44" t="s">
        <v>63</v>
      </c>
      <c r="J20" s="192" t="str">
        <f>IF(OR(NOT(ISERROR(MATCH(RIGHT(B20,3)+0,#REF!,0))),NOT(ISERROR(MATCH(LEFT(B20,3)+0,#REF!,0)))),"No Post","")</f>
        <v/>
      </c>
    </row>
    <row r="21" spans="1:11" ht="18.600000000000001" customHeight="1" x14ac:dyDescent="0.35">
      <c r="A21" s="52">
        <v>15</v>
      </c>
      <c r="B21" s="195"/>
      <c r="C21" s="71"/>
      <c r="D21" s="214"/>
      <c r="E21" s="71"/>
      <c r="F21" s="71"/>
      <c r="G21" s="71"/>
      <c r="H21" s="71"/>
      <c r="I21" s="71"/>
      <c r="J21" s="71"/>
    </row>
    <row r="22" spans="1:11" ht="18.600000000000001" customHeight="1" x14ac:dyDescent="0.35">
      <c r="A22" s="52">
        <v>16</v>
      </c>
      <c r="B22" s="195"/>
      <c r="C22" s="71"/>
      <c r="D22" s="214"/>
      <c r="E22" s="71"/>
      <c r="F22" s="71"/>
      <c r="G22" s="71"/>
      <c r="H22" s="71"/>
      <c r="I22" s="71"/>
      <c r="J22" s="71"/>
    </row>
    <row r="23" spans="1:11" ht="18.600000000000001" customHeight="1" x14ac:dyDescent="0.35">
      <c r="A23" s="52">
        <v>17</v>
      </c>
      <c r="B23" s="195"/>
      <c r="C23" s="71"/>
      <c r="D23" s="214"/>
      <c r="E23" s="71"/>
      <c r="F23" s="71"/>
      <c r="G23" s="71"/>
      <c r="H23" s="71"/>
      <c r="I23" s="71"/>
      <c r="J23" s="71"/>
    </row>
    <row r="24" spans="1:11" ht="18.600000000000001" customHeight="1" x14ac:dyDescent="0.35">
      <c r="A24" s="52">
        <v>18</v>
      </c>
      <c r="B24" s="195"/>
      <c r="C24" s="71"/>
      <c r="D24" s="214"/>
      <c r="E24" s="71"/>
      <c r="F24" s="71"/>
      <c r="G24" s="71"/>
      <c r="H24" s="71"/>
      <c r="I24" s="71"/>
      <c r="J24" s="71"/>
    </row>
    <row r="25" spans="1:11" ht="18.600000000000001" customHeight="1" x14ac:dyDescent="0.35">
      <c r="A25" s="52">
        <v>19</v>
      </c>
      <c r="B25" s="195"/>
      <c r="C25" s="71"/>
      <c r="D25" s="214"/>
      <c r="E25" s="71"/>
      <c r="F25" s="71"/>
      <c r="G25" s="71"/>
      <c r="H25" s="71"/>
      <c r="I25" s="71"/>
      <c r="J25" s="71"/>
    </row>
    <row r="26" spans="1:11" s="24" customFormat="1" ht="18.600000000000001" customHeight="1" x14ac:dyDescent="0.4">
      <c r="A26" s="52">
        <v>20</v>
      </c>
      <c r="B26" s="216"/>
      <c r="C26" s="217"/>
      <c r="D26" s="217"/>
      <c r="E26" s="217"/>
      <c r="F26" s="217"/>
      <c r="G26" s="217"/>
      <c r="H26" s="217"/>
      <c r="I26" s="217"/>
      <c r="J26" s="217"/>
    </row>
    <row r="27" spans="1:11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10</v>
      </c>
      <c r="D27" s="48" t="s">
        <v>19</v>
      </c>
      <c r="E27" s="49">
        <f>SUM(E9:E26)</f>
        <v>10</v>
      </c>
      <c r="F27" s="49">
        <f>SUM(F9:F26)</f>
        <v>0</v>
      </c>
      <c r="G27" s="47"/>
      <c r="H27" s="47"/>
      <c r="I27" s="47"/>
    </row>
    <row r="28" spans="1:11" ht="20.25" customHeight="1" x14ac:dyDescent="0.35">
      <c r="B28" s="8" t="s">
        <v>5</v>
      </c>
      <c r="C28" s="8"/>
      <c r="D28" s="33"/>
      <c r="E28" s="8"/>
      <c r="F28" s="8"/>
      <c r="G28" s="8"/>
    </row>
    <row r="29" spans="1:11" ht="20.25" customHeight="1" x14ac:dyDescent="0.35">
      <c r="B29" s="15" t="s">
        <v>6</v>
      </c>
      <c r="C29" s="9"/>
      <c r="D29" s="34"/>
      <c r="E29" s="9"/>
      <c r="F29" s="9"/>
      <c r="G29" s="9"/>
    </row>
    <row r="30" spans="1:11" ht="20.25" customHeight="1" x14ac:dyDescent="0.35">
      <c r="B30" s="15" t="s">
        <v>7</v>
      </c>
      <c r="C30" s="9"/>
      <c r="D30" s="34"/>
      <c r="E30" s="9"/>
      <c r="F30" s="9"/>
      <c r="G30" s="9"/>
    </row>
    <row r="31" spans="1:11" ht="20.25" customHeight="1" x14ac:dyDescent="0.35">
      <c r="B31" s="15" t="s">
        <v>8</v>
      </c>
      <c r="C31" s="9"/>
      <c r="D31" s="34"/>
      <c r="E31" s="9"/>
      <c r="F31" s="9"/>
      <c r="G31" s="9"/>
    </row>
    <row r="32" spans="1:11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x14ac:dyDescent="0.35">
      <c r="B39" s="9"/>
      <c r="C39" s="9"/>
      <c r="D39" s="34"/>
      <c r="E39" s="9"/>
      <c r="F39" s="9"/>
      <c r="G39" s="9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9"/>
      <c r="C41" s="9"/>
      <c r="D41" s="34"/>
      <c r="E41" s="9"/>
      <c r="F41" s="9"/>
      <c r="G41" s="9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14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7" spans="2:7" x14ac:dyDescent="0.35">
      <c r="B47" s="1"/>
      <c r="C47" s="1"/>
      <c r="D47" s="31"/>
      <c r="E47" s="1"/>
      <c r="F47" s="1"/>
      <c r="G47" s="1"/>
    </row>
    <row r="62" spans="2:7" x14ac:dyDescent="0.35">
      <c r="B62" s="9"/>
      <c r="C62" s="9"/>
      <c r="D62" s="34"/>
      <c r="E62" s="9"/>
      <c r="F62" s="9"/>
      <c r="G62" s="9"/>
    </row>
    <row r="63" spans="2:7" x14ac:dyDescent="0.35">
      <c r="B63" s="9"/>
      <c r="C63" s="9"/>
      <c r="D63" s="34"/>
      <c r="E63" s="9"/>
      <c r="F63" s="9"/>
      <c r="G63" s="9"/>
    </row>
    <row r="64" spans="2:7" x14ac:dyDescent="0.35">
      <c r="B64" s="9"/>
      <c r="C64" s="9"/>
      <c r="D64" s="34"/>
      <c r="E64" s="9"/>
      <c r="F64" s="9"/>
      <c r="G64" s="9"/>
    </row>
    <row r="65" spans="2:7" x14ac:dyDescent="0.35">
      <c r="B65" s="14"/>
      <c r="C65" s="9"/>
      <c r="D65" s="34"/>
      <c r="E65" s="9"/>
      <c r="F65" s="9"/>
      <c r="G65" s="9"/>
    </row>
    <row r="66" spans="2:7" x14ac:dyDescent="0.35">
      <c r="B66" s="9"/>
      <c r="C66" s="9"/>
      <c r="D66" s="34"/>
      <c r="E66" s="9"/>
      <c r="F66" s="9"/>
      <c r="G66" s="9"/>
    </row>
  </sheetData>
  <customSheetViews>
    <customSheetView guid="{B3797D0B-1E44-402B-AD05-6509081B1712}" showPageBreaks="1" fitToPage="1" printArea="1">
      <selection activeCell="B7" sqref="B7"/>
      <colBreaks count="1" manualBreakCount="1">
        <brk id="11" max="30" man="1"/>
      </colBreaks>
      <pageMargins left="0.17" right="0.17" top="0.75" bottom="0.75" header="0.3" footer="0.3"/>
      <pageSetup scale="81" fitToHeight="0" orientation="landscape" r:id="rId1"/>
    </customSheetView>
    <customSheetView guid="{6222734F-EF03-4A42-A0AF-7421F8747AA6}" showPageBreaks="1" fitToPage="1" printArea="1">
      <selection activeCell="E8" sqref="E8"/>
      <colBreaks count="1" manualBreakCount="1">
        <brk id="11" max="30" man="1"/>
      </colBreaks>
      <pageMargins left="0.17" right="0.17" top="0.75" bottom="0.75" header="0.3" footer="0.3"/>
      <pageSetup scale="81" fitToHeight="0" orientation="landscape" r:id="rId2"/>
    </customSheetView>
    <customSheetView guid="{AF620B39-788E-4983-8793-E9B224213D26}" fitToPage="1">
      <selection activeCell="B7" sqref="B7"/>
      <colBreaks count="1" manualBreakCount="1">
        <brk id="11" max="30" man="1"/>
      </colBreaks>
      <pageMargins left="0.17" right="0.17" top="0.75" bottom="0.75" header="0.3" footer="0.3"/>
      <pageSetup scale="81" fitToHeight="0" orientation="landscape" r:id="rId3"/>
    </customSheetView>
  </customSheetViews>
  <mergeCells count="1">
    <mergeCell ref="A5:G5"/>
  </mergeCells>
  <conditionalFormatting sqref="J7:J20">
    <cfRule type="containsText" dxfId="18" priority="1" operator="containsText" text="No Post">
      <formula>NOT(ISERROR(SEARCH("No Post",J7)))</formula>
    </cfRule>
  </conditionalFormatting>
  <pageMargins left="0.17" right="0.17" top="0.75" bottom="0.75" header="0.3" footer="0.3"/>
  <pageSetup scale="81" fitToHeight="0" orientation="landscape" r:id="rId4"/>
  <colBreaks count="1" manualBreakCount="1">
    <brk id="11" max="30" man="1"/>
  </colBreaks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0"/>
  <sheetViews>
    <sheetView zoomScaleNormal="100" zoomScaleSheetLayoutView="100" workbookViewId="0">
      <selection activeCell="L9" sqref="L9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0" width="9.109375" style="4"/>
    <col min="11" max="11" width="11" style="4" customWidth="1"/>
    <col min="12" max="16384" width="9.109375" style="4"/>
  </cols>
  <sheetData>
    <row r="2" spans="1:11" x14ac:dyDescent="0.35">
      <c r="C2" s="18" t="s">
        <v>0</v>
      </c>
      <c r="D2" s="30"/>
      <c r="E2" s="5"/>
      <c r="F2" s="5"/>
    </row>
    <row r="4" spans="1:11" s="1" customFormat="1" thickBot="1" x14ac:dyDescent="0.4">
      <c r="C4" s="27"/>
      <c r="D4" s="31"/>
    </row>
    <row r="5" spans="1:11" s="2" customFormat="1" ht="24" thickBot="1" x14ac:dyDescent="0.5">
      <c r="A5" s="224" t="s">
        <v>15</v>
      </c>
      <c r="B5" s="225"/>
      <c r="C5" s="225"/>
      <c r="D5" s="225"/>
      <c r="E5" s="225"/>
      <c r="F5" s="225"/>
      <c r="G5" s="225"/>
      <c r="H5" s="28" t="s">
        <v>18</v>
      </c>
      <c r="I5" s="29" t="str">
        <f ca="1">CONCATENATE((MID(CELL("filename",I5),FIND("]",CELL("filename",I5))+1,255)),"/05/2026")</f>
        <v>14/05/2026</v>
      </c>
    </row>
    <row r="6" spans="1:11" x14ac:dyDescent="0.35">
      <c r="A6" s="54"/>
      <c r="B6" s="55" t="s">
        <v>1</v>
      </c>
      <c r="C6" s="55" t="s">
        <v>2</v>
      </c>
      <c r="D6" s="56" t="s">
        <v>21</v>
      </c>
      <c r="E6" s="55" t="s">
        <v>16</v>
      </c>
      <c r="F6" s="55" t="s">
        <v>17</v>
      </c>
      <c r="G6" s="55" t="s">
        <v>3</v>
      </c>
      <c r="H6" s="57" t="s">
        <v>20</v>
      </c>
      <c r="I6" s="58" t="s">
        <v>4</v>
      </c>
    </row>
    <row r="7" spans="1:11" x14ac:dyDescent="0.35">
      <c r="A7" s="52">
        <v>1</v>
      </c>
      <c r="B7" s="87">
        <v>613</v>
      </c>
      <c r="C7" s="44" t="s">
        <v>308</v>
      </c>
      <c r="D7" s="46">
        <v>46157</v>
      </c>
      <c r="E7" s="44">
        <v>2</v>
      </c>
      <c r="F7" s="44"/>
      <c r="G7" s="44"/>
      <c r="H7" s="44"/>
      <c r="I7" s="44" t="s">
        <v>116</v>
      </c>
      <c r="J7" s="192" t="str">
        <f>IF(OR(NOT(ISERROR(MATCH(RIGHT(B7,3)+0,#REF!,0))),NOT(ISERROR(MATCH(LEFT(B7,3)+0,#REF!,0)))),"No Post","")</f>
        <v/>
      </c>
    </row>
    <row r="8" spans="1:11" x14ac:dyDescent="0.35">
      <c r="A8" s="52">
        <v>2</v>
      </c>
      <c r="B8" s="87">
        <v>874</v>
      </c>
      <c r="C8" s="157" t="s">
        <v>300</v>
      </c>
      <c r="D8" s="46">
        <v>46157</v>
      </c>
      <c r="E8" s="44">
        <v>2</v>
      </c>
      <c r="F8" s="44"/>
      <c r="G8" s="44"/>
      <c r="H8" s="44"/>
      <c r="I8" s="44" t="s">
        <v>187</v>
      </c>
      <c r="J8" s="192" t="str">
        <f>IF(OR(NOT(ISERROR(MATCH(RIGHT(B8,3)+0,#REF!,0))),NOT(ISERROR(MATCH(LEFT(B8,3)+0,#REF!,0)))),"No Post","")</f>
        <v/>
      </c>
    </row>
    <row r="9" spans="1:11" x14ac:dyDescent="0.35">
      <c r="A9" s="52">
        <v>3</v>
      </c>
      <c r="B9" s="87" t="s">
        <v>309</v>
      </c>
      <c r="C9" s="44" t="s">
        <v>278</v>
      </c>
      <c r="D9" s="46">
        <v>46155</v>
      </c>
      <c r="E9" s="44" t="s">
        <v>247</v>
      </c>
      <c r="F9" s="44"/>
      <c r="G9" s="44"/>
      <c r="H9" s="44"/>
      <c r="I9" s="44" t="s">
        <v>84</v>
      </c>
      <c r="J9" s="226" t="str">
        <f>IF(OR(NOT(ISERROR(MATCH(RIGHT(B9,3)+0,#REF!,0))),NOT(ISERROR(MATCH(LEFT(B9,3)+0,#REF!,0)))),"No Post","")</f>
        <v/>
      </c>
    </row>
    <row r="10" spans="1:11" x14ac:dyDescent="0.35">
      <c r="A10" s="52">
        <v>4</v>
      </c>
      <c r="B10" s="87" t="s">
        <v>302</v>
      </c>
      <c r="C10" s="87" t="s">
        <v>280</v>
      </c>
      <c r="D10" s="46">
        <v>46155</v>
      </c>
      <c r="E10" s="44" t="s">
        <v>307</v>
      </c>
      <c r="F10" s="44"/>
      <c r="G10" s="44"/>
      <c r="H10" s="44"/>
      <c r="I10" s="44" t="s">
        <v>93</v>
      </c>
      <c r="J10" s="226" t="str">
        <f>IF(OR(NOT(ISERROR(MATCH(RIGHT(B10,3)+0,#REF!,0))),NOT(ISERROR(MATCH(LEFT(B10,3)+0,#REF!,0)))),"No Post","")</f>
        <v/>
      </c>
    </row>
    <row r="11" spans="1:11" x14ac:dyDescent="0.35">
      <c r="A11" s="52">
        <v>5</v>
      </c>
      <c r="B11" s="87">
        <v>602</v>
      </c>
      <c r="C11" s="44" t="s">
        <v>271</v>
      </c>
      <c r="D11" s="46">
        <v>46162</v>
      </c>
      <c r="E11" s="147" t="s">
        <v>152</v>
      </c>
      <c r="F11" s="44"/>
      <c r="G11" s="44"/>
      <c r="H11" s="44"/>
      <c r="I11" s="44" t="s">
        <v>268</v>
      </c>
      <c r="J11" s="198" t="str">
        <f>IF(OR(NOT(ISERROR(MATCH(RIGHT(B11,3)+0,#REF!,0))),NOT(ISERROR(MATCH(LEFT(B11,3)+0,#REF!,0)))),"No Post","")</f>
        <v/>
      </c>
    </row>
    <row r="12" spans="1:11" x14ac:dyDescent="0.35">
      <c r="A12" s="52">
        <v>6</v>
      </c>
      <c r="B12" s="206">
        <v>869</v>
      </c>
      <c r="C12" s="206" t="s">
        <v>285</v>
      </c>
      <c r="D12" s="115">
        <v>46157</v>
      </c>
      <c r="E12" s="95">
        <v>2</v>
      </c>
      <c r="F12" s="44"/>
      <c r="G12" s="44"/>
      <c r="H12" s="44"/>
      <c r="I12" s="44" t="s">
        <v>116</v>
      </c>
      <c r="J12" s="198" t="str">
        <f>IF(OR(NOT(ISERROR(MATCH(RIGHT(B12,3)+0,#REF!,0))),NOT(ISERROR(MATCH(LEFT(B12,3)+0,#REF!,0)))),"No Post","")</f>
        <v/>
      </c>
      <c r="K12" s="4" t="s">
        <v>303</v>
      </c>
    </row>
    <row r="13" spans="1:11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</row>
    <row r="14" spans="1:11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</row>
    <row r="15" spans="1:11" x14ac:dyDescent="0.35">
      <c r="A15" s="52">
        <v>9</v>
      </c>
      <c r="B15" s="44"/>
      <c r="C15" s="45"/>
      <c r="D15" s="46"/>
      <c r="E15" s="44"/>
      <c r="F15" s="44"/>
      <c r="G15" s="44"/>
      <c r="H15" s="45"/>
      <c r="I15" s="45"/>
      <c r="J15" s="73" t="str">
        <f>IF(OR(NOT(ISERROR(MATCH(RIGHT(B15,3)+0,#REF!,0))),NOT(ISERROR(MATCH(LEFT(B15,3)+0,#REF!,0)))),"No Post","")</f>
        <v/>
      </c>
    </row>
    <row r="16" spans="1:11" x14ac:dyDescent="0.35">
      <c r="A16" s="52">
        <v>10</v>
      </c>
      <c r="B16" s="44"/>
      <c r="C16" s="45"/>
      <c r="D16" s="46"/>
      <c r="E16" s="44"/>
      <c r="F16" s="44"/>
      <c r="G16" s="44"/>
      <c r="H16" s="45"/>
      <c r="I16" s="45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14</v>
      </c>
      <c r="D27" s="48" t="s">
        <v>19</v>
      </c>
      <c r="E27" s="49">
        <f>SUM(E7:E26)</f>
        <v>6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sortState ref="B7:K12">
    <sortCondition ref="B7"/>
  </sortState>
  <customSheetViews>
    <customSheetView guid="{B3797D0B-1E44-402B-AD05-6509081B1712}" showPageBreaks="1" printArea="1">
      <selection activeCell="C14" sqref="C14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C21" sqref="C21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15:J26 J7:J12">
    <cfRule type="containsText" dxfId="17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67"/>
  <sheetViews>
    <sheetView tabSelected="1" zoomScaleNormal="100" zoomScaleSheetLayoutView="100" workbookViewId="0">
      <selection activeCell="D8" sqref="D8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15/05/2026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41">
        <v>667</v>
      </c>
      <c r="C7" s="52" t="s">
        <v>262</v>
      </c>
      <c r="D7" s="60">
        <v>46160</v>
      </c>
      <c r="E7" s="52">
        <v>2</v>
      </c>
      <c r="F7" s="52"/>
      <c r="G7" s="52"/>
      <c r="H7" s="52" t="s">
        <v>263</v>
      </c>
      <c r="I7" s="52" t="s">
        <v>264</v>
      </c>
      <c r="J7" s="73" t="str">
        <f>IF(OR(NOT(ISERROR(MATCH(RIGHT(B7,3)+0,#REF!,0))),NOT(ISERROR(MATCH(LEFT(B7,3)+0,#REF!,0)))),"No Post","")</f>
        <v/>
      </c>
    </row>
    <row r="8" spans="1:10" x14ac:dyDescent="0.35">
      <c r="A8" s="52">
        <v>2</v>
      </c>
      <c r="B8" s="52">
        <v>681</v>
      </c>
      <c r="C8" s="52" t="s">
        <v>312</v>
      </c>
      <c r="D8" s="60">
        <v>46159</v>
      </c>
      <c r="E8" s="52">
        <v>2</v>
      </c>
      <c r="F8" s="52"/>
      <c r="G8" s="52"/>
      <c r="H8" s="52"/>
      <c r="I8" s="52" t="s">
        <v>111</v>
      </c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52"/>
      <c r="C9" s="52"/>
      <c r="D9" s="60"/>
      <c r="E9" s="52"/>
      <c r="F9" s="52"/>
      <c r="G9" s="52"/>
      <c r="H9" s="52"/>
      <c r="I9" s="52"/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/>
      <c r="C10" s="52"/>
      <c r="D10" s="60"/>
      <c r="E10" s="52"/>
      <c r="F10" s="52"/>
      <c r="G10" s="52"/>
      <c r="H10" s="52"/>
      <c r="I10" s="52"/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/>
      <c r="C11" s="52"/>
      <c r="D11" s="60"/>
      <c r="E11" s="52"/>
      <c r="F11" s="52"/>
      <c r="G11" s="52"/>
      <c r="H11" s="52"/>
      <c r="I11" s="52"/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/>
      <c r="C12" s="52"/>
      <c r="D12" s="60"/>
      <c r="E12" s="52"/>
      <c r="F12" s="52"/>
      <c r="G12" s="52"/>
      <c r="H12" s="52"/>
      <c r="I12" s="52"/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x14ac:dyDescent="0.35">
      <c r="B39" s="9"/>
      <c r="C39" s="9"/>
      <c r="D39" s="34"/>
      <c r="E39" s="9"/>
      <c r="F39" s="9"/>
      <c r="G39" s="9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9"/>
      <c r="C41" s="9"/>
      <c r="D41" s="34"/>
      <c r="E41" s="9"/>
      <c r="F41" s="9"/>
      <c r="G41" s="9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14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8" spans="2:7" x14ac:dyDescent="0.35">
      <c r="B48" s="1"/>
      <c r="C48" s="1"/>
      <c r="D48" s="31"/>
      <c r="E48" s="1"/>
      <c r="F48" s="1"/>
      <c r="G48" s="1"/>
    </row>
    <row r="63" spans="2:7" x14ac:dyDescent="0.35">
      <c r="B63" s="9"/>
      <c r="C63" s="9"/>
      <c r="D63" s="34"/>
      <c r="E63" s="9"/>
      <c r="F63" s="9"/>
      <c r="G63" s="9"/>
    </row>
    <row r="64" spans="2:7" x14ac:dyDescent="0.35">
      <c r="B64" s="9"/>
      <c r="C64" s="9"/>
      <c r="D64" s="34"/>
      <c r="E64" s="9"/>
      <c r="F64" s="9"/>
      <c r="G64" s="9"/>
    </row>
    <row r="65" spans="2:7" x14ac:dyDescent="0.35">
      <c r="B65" s="9"/>
      <c r="C65" s="9"/>
      <c r="D65" s="34"/>
      <c r="E65" s="9"/>
      <c r="F65" s="9"/>
      <c r="G65" s="9"/>
    </row>
    <row r="66" spans="2:7" x14ac:dyDescent="0.35">
      <c r="B66" s="14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</sheetData>
  <customSheetViews>
    <customSheetView guid="{B3797D0B-1E44-402B-AD05-6509081B1712}" showPageBreaks="1" fitToPage="1" printArea="1">
      <selection activeCell="C16" sqref="C16"/>
      <colBreaks count="1" manualBreakCount="1">
        <brk id="11" max="30" man="1"/>
      </colBreaks>
      <pageMargins left="0.17" right="0.17" top="0.75" bottom="0.75" header="0.3" footer="0.3"/>
      <pageSetup scale="71" orientation="landscape" r:id="rId1"/>
    </customSheetView>
    <customSheetView guid="{6222734F-EF03-4A42-A0AF-7421F8747AA6}" showPageBreaks="1" fitToPage="1" printArea="1">
      <selection activeCell="B7" sqref="B7"/>
      <colBreaks count="1" manualBreakCount="1">
        <brk id="11" max="30" man="1"/>
      </colBreaks>
      <pageMargins left="0.17" right="0.17" top="0.75" bottom="0.75" header="0.3" footer="0.3"/>
      <pageSetup scale="71" orientation="landscape" r:id="rId2"/>
    </customSheetView>
    <customSheetView guid="{AF620B39-788E-4983-8793-E9B224213D26}" fitToPage="1">
      <selection activeCell="B7" sqref="B7"/>
      <colBreaks count="1" manualBreakCount="1">
        <brk id="11" max="30" man="1"/>
      </colBreaks>
      <pageMargins left="0.17" right="0.17" top="0.75" bottom="0.75" header="0.3" footer="0.3"/>
      <pageSetup scale="71" orientation="landscape" r:id="rId3"/>
    </customSheetView>
  </customSheetViews>
  <mergeCells count="1">
    <mergeCell ref="A5:G5"/>
  </mergeCells>
  <conditionalFormatting sqref="J7:J26">
    <cfRule type="containsText" dxfId="16" priority="1" operator="containsText" text="No Post">
      <formula>NOT(ISERROR(SEARCH("No Post",J7)))</formula>
    </cfRule>
  </conditionalFormatting>
  <pageMargins left="0.17" right="0.17" top="0.75" bottom="0.75" header="0.3" footer="0.3"/>
  <pageSetup scale="71" orientation="landscape" r:id="rId4"/>
  <colBreaks count="1" manualBreakCount="1">
    <brk id="11" max="30" man="1"/>
  </colBreaks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D16" sqref="D16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16/05/2026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41" t="s">
        <v>22</v>
      </c>
      <c r="C7" s="81" t="s">
        <v>43</v>
      </c>
      <c r="D7" s="60">
        <v>46160</v>
      </c>
      <c r="E7" s="52">
        <v>2</v>
      </c>
      <c r="F7" s="52"/>
      <c r="G7" s="52"/>
      <c r="H7" s="52"/>
      <c r="I7" s="52" t="s">
        <v>44</v>
      </c>
      <c r="J7" s="73" t="str">
        <f>IF(OR(NOT(ISERROR(MATCH(RIGHT(B7,3)+0,#REF!,0))),NOT(ISERROR(MATCH(LEFT(B7,3)+0,#REF!,0)))),"No Post","")</f>
        <v/>
      </c>
    </row>
    <row r="8" spans="1:10" x14ac:dyDescent="0.35">
      <c r="A8" s="52">
        <v>2</v>
      </c>
      <c r="B8" s="41">
        <v>667</v>
      </c>
      <c r="C8" s="52" t="s">
        <v>262</v>
      </c>
      <c r="D8" s="60">
        <v>46160</v>
      </c>
      <c r="E8" s="52" t="s">
        <v>310</v>
      </c>
      <c r="F8" s="52"/>
      <c r="G8" s="52"/>
      <c r="H8" s="52" t="s">
        <v>263</v>
      </c>
      <c r="I8" s="52" t="s">
        <v>264</v>
      </c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44">
        <v>602</v>
      </c>
      <c r="C9" s="44" t="s">
        <v>271</v>
      </c>
      <c r="D9" s="46">
        <v>46162</v>
      </c>
      <c r="E9" s="44">
        <v>2</v>
      </c>
      <c r="F9" s="44"/>
      <c r="G9" s="44"/>
      <c r="H9" s="44"/>
      <c r="I9" s="44" t="s">
        <v>268</v>
      </c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/>
      <c r="C10" s="52"/>
      <c r="D10" s="60"/>
      <c r="E10" s="52"/>
      <c r="F10" s="52"/>
      <c r="G10" s="52"/>
      <c r="H10" s="52"/>
      <c r="I10" s="52"/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/>
      <c r="C11" s="52"/>
      <c r="D11" s="60"/>
      <c r="E11" s="52"/>
      <c r="F11" s="52"/>
      <c r="G11" s="52"/>
      <c r="H11" s="52"/>
      <c r="I11" s="52"/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/>
      <c r="C12" s="52"/>
      <c r="D12" s="60"/>
      <c r="E12" s="52"/>
      <c r="F12" s="52"/>
      <c r="G12" s="52"/>
      <c r="H12" s="52"/>
      <c r="I12" s="52"/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E8" sqref="E8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D16" sqref="D16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D11" sqref="D11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15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I16" sqref="I16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17/05/2026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41" t="s">
        <v>22</v>
      </c>
      <c r="C7" s="72" t="s">
        <v>23</v>
      </c>
      <c r="D7" s="59">
        <v>46160</v>
      </c>
      <c r="E7" s="41">
        <v>2</v>
      </c>
      <c r="F7" s="41"/>
      <c r="G7" s="41" t="s">
        <v>29</v>
      </c>
      <c r="H7" s="41">
        <v>3060452</v>
      </c>
      <c r="I7" s="41" t="s">
        <v>24</v>
      </c>
      <c r="J7" s="73"/>
    </row>
    <row r="8" spans="1:10" x14ac:dyDescent="0.35">
      <c r="A8" s="52">
        <v>2</v>
      </c>
      <c r="B8" s="41" t="s">
        <v>22</v>
      </c>
      <c r="C8" s="83" t="s">
        <v>173</v>
      </c>
      <c r="D8" s="60">
        <v>46130</v>
      </c>
      <c r="E8" s="52">
        <v>2</v>
      </c>
      <c r="F8" s="52"/>
      <c r="G8" s="52"/>
      <c r="H8" s="52" t="s">
        <v>174</v>
      </c>
      <c r="I8" s="52" t="s">
        <v>71</v>
      </c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41" t="s">
        <v>22</v>
      </c>
      <c r="C9" s="83" t="s">
        <v>245</v>
      </c>
      <c r="D9" s="60">
        <v>46130</v>
      </c>
      <c r="E9" s="52">
        <v>2</v>
      </c>
      <c r="F9" s="52"/>
      <c r="G9" s="52"/>
      <c r="H9" s="52" t="s">
        <v>174</v>
      </c>
      <c r="I9" s="52" t="s">
        <v>71</v>
      </c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41" t="s">
        <v>22</v>
      </c>
      <c r="C10" s="52" t="s">
        <v>260</v>
      </c>
      <c r="D10" s="60">
        <v>46162</v>
      </c>
      <c r="E10" s="52">
        <v>2</v>
      </c>
      <c r="F10" s="52"/>
      <c r="G10" s="52"/>
      <c r="H10" s="74" t="s">
        <v>261</v>
      </c>
      <c r="I10" s="52" t="s">
        <v>251</v>
      </c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>
        <v>604</v>
      </c>
      <c r="C11" s="52" t="s">
        <v>269</v>
      </c>
      <c r="D11" s="60">
        <v>46161</v>
      </c>
      <c r="E11" s="52">
        <v>2</v>
      </c>
      <c r="F11" s="52"/>
      <c r="G11" s="52"/>
      <c r="H11" s="52"/>
      <c r="I11" s="52" t="s">
        <v>228</v>
      </c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/>
      <c r="C12" s="52"/>
      <c r="D12" s="60"/>
      <c r="E12" s="52"/>
      <c r="F12" s="52"/>
      <c r="G12" s="52"/>
      <c r="H12" s="52"/>
      <c r="I12" s="52"/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C14" sqref="C14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I16" sqref="I16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J8" sqref="J8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14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B7" sqref="B7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18/05/2026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52" t="s">
        <v>22</v>
      </c>
      <c r="C7" s="76" t="s">
        <v>75</v>
      </c>
      <c r="D7" s="60">
        <v>46163</v>
      </c>
      <c r="E7" s="52">
        <v>2</v>
      </c>
      <c r="F7" s="52"/>
      <c r="G7" s="52"/>
      <c r="H7" s="79" t="s">
        <v>76</v>
      </c>
      <c r="I7" s="52" t="s">
        <v>77</v>
      </c>
      <c r="J7" s="73" t="str">
        <f>IF(OR(NOT(ISERROR(MATCH(RIGHT(B7,3)+0,#REF!,0))),NOT(ISERROR(MATCH(LEFT(B7,3)+0,#REF!,0)))),"No Post","")</f>
        <v/>
      </c>
    </row>
    <row r="8" spans="1:10" x14ac:dyDescent="0.35">
      <c r="A8" s="52">
        <v>2</v>
      </c>
      <c r="B8" s="52"/>
      <c r="C8" s="52"/>
      <c r="D8" s="60"/>
      <c r="E8" s="52"/>
      <c r="F8" s="52"/>
      <c r="G8" s="52"/>
      <c r="H8" s="52"/>
      <c r="I8" s="52"/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52"/>
      <c r="C9" s="52"/>
      <c r="D9" s="60"/>
      <c r="E9" s="52"/>
      <c r="F9" s="52"/>
      <c r="G9" s="52"/>
      <c r="H9" s="52"/>
      <c r="I9" s="52"/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/>
      <c r="C10" s="52"/>
      <c r="D10" s="60"/>
      <c r="E10" s="52"/>
      <c r="F10" s="52"/>
      <c r="G10" s="52"/>
      <c r="H10" s="52"/>
      <c r="I10" s="52"/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/>
      <c r="C11" s="52"/>
      <c r="D11" s="60"/>
      <c r="E11" s="52"/>
      <c r="F11" s="52"/>
      <c r="G11" s="52"/>
      <c r="H11" s="52"/>
      <c r="I11" s="52"/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/>
      <c r="C12" s="52"/>
      <c r="D12" s="60"/>
      <c r="E12" s="52"/>
      <c r="F12" s="52"/>
      <c r="G12" s="52"/>
      <c r="H12" s="52"/>
      <c r="I12" s="52"/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13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I21" sqref="I21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6.8867187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19/05/2026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52" t="s">
        <v>22</v>
      </c>
      <c r="C7" s="75" t="s">
        <v>28</v>
      </c>
      <c r="D7" s="60">
        <v>46164</v>
      </c>
      <c r="E7" s="52">
        <v>2</v>
      </c>
      <c r="F7" s="52"/>
      <c r="G7" s="52"/>
      <c r="H7" s="52">
        <v>3142182</v>
      </c>
      <c r="I7" s="52" t="s">
        <v>27</v>
      </c>
      <c r="J7" s="73" t="s">
        <v>29</v>
      </c>
    </row>
    <row r="8" spans="1:10" x14ac:dyDescent="0.35">
      <c r="A8" s="52">
        <v>2</v>
      </c>
      <c r="B8" s="52" t="s">
        <v>22</v>
      </c>
      <c r="C8" s="52" t="s">
        <v>57</v>
      </c>
      <c r="D8" s="60">
        <v>46164</v>
      </c>
      <c r="E8" s="52">
        <v>2</v>
      </c>
      <c r="F8" s="52"/>
      <c r="G8" s="52"/>
      <c r="H8" s="52">
        <v>3217925</v>
      </c>
      <c r="I8" s="52" t="s">
        <v>58</v>
      </c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52" t="s">
        <v>22</v>
      </c>
      <c r="C9" s="150" t="s">
        <v>191</v>
      </c>
      <c r="D9" s="60">
        <v>46164</v>
      </c>
      <c r="E9" s="52">
        <v>2</v>
      </c>
      <c r="F9" s="52"/>
      <c r="G9" s="52"/>
      <c r="H9" s="52" t="s">
        <v>192</v>
      </c>
      <c r="I9" s="52" t="s">
        <v>65</v>
      </c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/>
      <c r="C10" s="174"/>
      <c r="D10" s="60"/>
      <c r="E10" s="52"/>
      <c r="F10" s="52"/>
      <c r="G10" s="52"/>
      <c r="H10" s="52"/>
      <c r="I10" s="52"/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/>
      <c r="C11" s="174"/>
      <c r="D11" s="60"/>
      <c r="E11" s="52"/>
      <c r="F11" s="52"/>
      <c r="G11" s="52"/>
      <c r="H11" s="52"/>
      <c r="I11" s="52"/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/>
      <c r="C12" s="174"/>
      <c r="D12" s="60"/>
      <c r="E12" s="52"/>
      <c r="F12" s="52"/>
      <c r="G12" s="52"/>
      <c r="H12" s="52"/>
      <c r="I12" s="52"/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174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174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174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174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139"/>
      <c r="C17" s="174"/>
      <c r="D17" s="140"/>
      <c r="E17" s="44"/>
      <c r="F17" s="44"/>
      <c r="G17" s="44"/>
      <c r="H17" s="139"/>
      <c r="I17" s="139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E9" sqref="E9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I21" sqref="I21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E9" sqref="E9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12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B7" sqref="B7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20/05/2026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52"/>
      <c r="C7" s="52"/>
      <c r="D7" s="60"/>
      <c r="E7" s="52"/>
      <c r="F7" s="52"/>
      <c r="G7" s="52"/>
      <c r="H7" s="52"/>
      <c r="I7" s="52"/>
      <c r="J7" s="73" t="str">
        <f>IF(OR(NOT(ISERROR(MATCH(RIGHT(B7,3)+0,#REF!,0))),NOT(ISERROR(MATCH(LEFT(B7,3)+0,#REF!,0)))),"No Post","")</f>
        <v/>
      </c>
    </row>
    <row r="8" spans="1:10" x14ac:dyDescent="0.35">
      <c r="A8" s="52">
        <v>2</v>
      </c>
      <c r="B8" s="52"/>
      <c r="C8" s="52"/>
      <c r="D8" s="60"/>
      <c r="E8" s="52"/>
      <c r="F8" s="52"/>
      <c r="G8" s="52"/>
      <c r="H8" s="52"/>
      <c r="I8" s="52"/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52"/>
      <c r="C9" s="52"/>
      <c r="D9" s="60"/>
      <c r="E9" s="52"/>
      <c r="F9" s="52"/>
      <c r="G9" s="52"/>
      <c r="H9" s="52"/>
      <c r="I9" s="52"/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/>
      <c r="C10" s="52"/>
      <c r="D10" s="60"/>
      <c r="E10" s="52"/>
      <c r="F10" s="52"/>
      <c r="G10" s="52"/>
      <c r="H10" s="52"/>
      <c r="I10" s="52"/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/>
      <c r="C11" s="52"/>
      <c r="D11" s="60"/>
      <c r="E11" s="52"/>
      <c r="F11" s="52"/>
      <c r="G11" s="52"/>
      <c r="H11" s="52"/>
      <c r="I11" s="52"/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/>
      <c r="C12" s="52"/>
      <c r="D12" s="60"/>
      <c r="E12" s="52"/>
      <c r="F12" s="52"/>
      <c r="G12" s="52"/>
      <c r="H12" s="52"/>
      <c r="I12" s="52"/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11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C13" sqref="C13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21/05/2026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52" t="s">
        <v>22</v>
      </c>
      <c r="C7" s="76" t="s">
        <v>30</v>
      </c>
      <c r="D7" s="60">
        <v>46166</v>
      </c>
      <c r="E7" s="52">
        <v>2</v>
      </c>
      <c r="F7" s="52"/>
      <c r="G7" s="52"/>
      <c r="H7" s="52"/>
      <c r="I7" s="52" t="s">
        <v>31</v>
      </c>
      <c r="J7" s="73" t="str">
        <f>IF(OR(NOT(ISERROR(MATCH(RIGHT(B7,3)+0,#REF!,0))),NOT(ISERROR(MATCH(LEFT(B7,3)+0,#REF!,0)))),"No Post","")</f>
        <v/>
      </c>
    </row>
    <row r="8" spans="1:10" x14ac:dyDescent="0.35">
      <c r="A8" s="52">
        <v>2</v>
      </c>
      <c r="B8" s="52" t="s">
        <v>22</v>
      </c>
      <c r="C8" s="174" t="s">
        <v>237</v>
      </c>
      <c r="D8" s="60">
        <v>46164</v>
      </c>
      <c r="E8" s="52">
        <v>1</v>
      </c>
      <c r="F8" s="52"/>
      <c r="G8" s="52"/>
      <c r="H8" s="52" t="s">
        <v>74</v>
      </c>
      <c r="I8" s="52" t="s">
        <v>236</v>
      </c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52" t="s">
        <v>22</v>
      </c>
      <c r="C9" s="174" t="s">
        <v>238</v>
      </c>
      <c r="D9" s="60">
        <v>46164</v>
      </c>
      <c r="E9" s="52">
        <v>1</v>
      </c>
      <c r="F9" s="52"/>
      <c r="G9" s="52"/>
      <c r="H9" s="52" t="s">
        <v>74</v>
      </c>
      <c r="I9" s="52" t="s">
        <v>236</v>
      </c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 t="s">
        <v>22</v>
      </c>
      <c r="C10" s="174" t="s">
        <v>239</v>
      </c>
      <c r="D10" s="60">
        <v>46164</v>
      </c>
      <c r="E10" s="52">
        <v>1</v>
      </c>
      <c r="F10" s="52"/>
      <c r="G10" s="52"/>
      <c r="H10" s="52" t="s">
        <v>74</v>
      </c>
      <c r="I10" s="52" t="s">
        <v>236</v>
      </c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 t="s">
        <v>22</v>
      </c>
      <c r="C11" s="174" t="s">
        <v>240</v>
      </c>
      <c r="D11" s="60">
        <v>46164</v>
      </c>
      <c r="E11" s="52">
        <v>1</v>
      </c>
      <c r="F11" s="52"/>
      <c r="G11" s="52"/>
      <c r="H11" s="52" t="s">
        <v>74</v>
      </c>
      <c r="I11" s="52" t="s">
        <v>236</v>
      </c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 t="s">
        <v>22</v>
      </c>
      <c r="C12" s="174" t="s">
        <v>241</v>
      </c>
      <c r="D12" s="60">
        <v>46164</v>
      </c>
      <c r="E12" s="52">
        <v>1</v>
      </c>
      <c r="F12" s="52"/>
      <c r="G12" s="52"/>
      <c r="H12" s="52" t="s">
        <v>74</v>
      </c>
      <c r="I12" s="52" t="s">
        <v>236</v>
      </c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 t="s">
        <v>22</v>
      </c>
      <c r="C13" s="174" t="s">
        <v>242</v>
      </c>
      <c r="D13" s="60">
        <v>46164</v>
      </c>
      <c r="E13" s="52">
        <v>1</v>
      </c>
      <c r="F13" s="52"/>
      <c r="G13" s="52"/>
      <c r="H13" s="52" t="s">
        <v>74</v>
      </c>
      <c r="I13" s="52" t="s">
        <v>236</v>
      </c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 t="s">
        <v>22</v>
      </c>
      <c r="C14" s="174" t="s">
        <v>243</v>
      </c>
      <c r="D14" s="60">
        <v>46164</v>
      </c>
      <c r="E14" s="52">
        <v>1</v>
      </c>
      <c r="F14" s="52"/>
      <c r="G14" s="52"/>
      <c r="H14" s="52" t="s">
        <v>74</v>
      </c>
      <c r="I14" s="52" t="s">
        <v>236</v>
      </c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139" t="s">
        <v>22</v>
      </c>
      <c r="C15" s="174" t="s">
        <v>244</v>
      </c>
      <c r="D15" s="140">
        <v>46164</v>
      </c>
      <c r="E15" s="44">
        <v>1</v>
      </c>
      <c r="F15" s="44"/>
      <c r="G15" s="44"/>
      <c r="H15" s="139" t="s">
        <v>74</v>
      </c>
      <c r="I15" s="139" t="s">
        <v>236</v>
      </c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C13" sqref="C13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C13" sqref="C13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C13" sqref="C13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10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B7" sqref="B7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22/05/2026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52"/>
      <c r="C7" s="52"/>
      <c r="D7" s="60"/>
      <c r="E7" s="52"/>
      <c r="F7" s="52"/>
      <c r="G7" s="52"/>
      <c r="H7" s="52"/>
      <c r="I7" s="52"/>
      <c r="J7" s="73" t="str">
        <f>IF(OR(NOT(ISERROR(MATCH(RIGHT(B7,3)+0,#REF!,0))),NOT(ISERROR(MATCH(LEFT(B7,3)+0,#REF!,0)))),"No Post","")</f>
        <v/>
      </c>
    </row>
    <row r="8" spans="1:10" x14ac:dyDescent="0.35">
      <c r="A8" s="52">
        <v>2</v>
      </c>
      <c r="B8" s="52"/>
      <c r="C8" s="52"/>
      <c r="D8" s="60"/>
      <c r="E8" s="52"/>
      <c r="F8" s="52"/>
      <c r="G8" s="52"/>
      <c r="H8" s="52"/>
      <c r="I8" s="52"/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52"/>
      <c r="C9" s="52"/>
      <c r="D9" s="60"/>
      <c r="E9" s="52"/>
      <c r="F9" s="52"/>
      <c r="G9" s="52"/>
      <c r="H9" s="52"/>
      <c r="I9" s="52"/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/>
      <c r="C10" s="52"/>
      <c r="D10" s="60"/>
      <c r="E10" s="52"/>
      <c r="F10" s="52"/>
      <c r="G10" s="52"/>
      <c r="H10" s="52"/>
      <c r="I10" s="52"/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/>
      <c r="C11" s="52"/>
      <c r="D11" s="60"/>
      <c r="E11" s="52"/>
      <c r="F11" s="52"/>
      <c r="G11" s="52"/>
      <c r="H11" s="52"/>
      <c r="I11" s="52"/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/>
      <c r="C12" s="52"/>
      <c r="D12" s="60"/>
      <c r="E12" s="52"/>
      <c r="F12" s="52"/>
      <c r="G12" s="52"/>
      <c r="H12" s="52"/>
      <c r="I12" s="52"/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9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B7" sqref="B7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23/05/2026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52" t="s">
        <v>22</v>
      </c>
      <c r="C7" s="215" t="s">
        <v>294</v>
      </c>
      <c r="D7" s="60"/>
      <c r="E7" s="52">
        <v>2</v>
      </c>
      <c r="F7" s="52"/>
      <c r="G7" s="52"/>
      <c r="H7" s="52" t="s">
        <v>74</v>
      </c>
      <c r="I7" s="52" t="s">
        <v>236</v>
      </c>
      <c r="J7" s="73" t="str">
        <f>IF(OR(NOT(ISERROR(MATCH(RIGHT(B7,3)+0,#REF!,0))),NOT(ISERROR(MATCH(LEFT(B7,3)+0,#REF!,0)))),"No Post","")</f>
        <v/>
      </c>
    </row>
    <row r="8" spans="1:10" x14ac:dyDescent="0.35">
      <c r="A8" s="52">
        <v>2</v>
      </c>
      <c r="B8" s="52" t="s">
        <v>22</v>
      </c>
      <c r="C8" s="215" t="s">
        <v>295</v>
      </c>
      <c r="D8" s="60"/>
      <c r="E8" s="52">
        <v>2</v>
      </c>
      <c r="F8" s="52"/>
      <c r="G8" s="52"/>
      <c r="H8" s="52" t="s">
        <v>74</v>
      </c>
      <c r="I8" s="52" t="s">
        <v>236</v>
      </c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52" t="s">
        <v>22</v>
      </c>
      <c r="C9" s="215" t="s">
        <v>296</v>
      </c>
      <c r="D9" s="60"/>
      <c r="E9" s="52">
        <v>2</v>
      </c>
      <c r="F9" s="52"/>
      <c r="G9" s="52"/>
      <c r="H9" s="52" t="s">
        <v>74</v>
      </c>
      <c r="I9" s="52" t="s">
        <v>236</v>
      </c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 t="s">
        <v>22</v>
      </c>
      <c r="C10" s="215" t="s">
        <v>297</v>
      </c>
      <c r="D10" s="60"/>
      <c r="E10" s="52">
        <v>2</v>
      </c>
      <c r="F10" s="52"/>
      <c r="G10" s="52"/>
      <c r="H10" s="52" t="s">
        <v>74</v>
      </c>
      <c r="I10" s="52" t="s">
        <v>236</v>
      </c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 t="s">
        <v>22</v>
      </c>
      <c r="C11" s="215" t="s">
        <v>298</v>
      </c>
      <c r="D11" s="60"/>
      <c r="E11" s="52">
        <v>2</v>
      </c>
      <c r="F11" s="52"/>
      <c r="G11" s="52"/>
      <c r="H11" s="52" t="s">
        <v>74</v>
      </c>
      <c r="I11" s="52" t="s">
        <v>236</v>
      </c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 t="s">
        <v>22</v>
      </c>
      <c r="C12" s="215" t="s">
        <v>299</v>
      </c>
      <c r="D12" s="60"/>
      <c r="E12" s="52">
        <v>1</v>
      </c>
      <c r="F12" s="52"/>
      <c r="G12" s="52"/>
      <c r="H12" s="52" t="s">
        <v>74</v>
      </c>
      <c r="I12" s="52" t="s">
        <v>236</v>
      </c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8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B7" sqref="B7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24/05/2026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52"/>
      <c r="C7" s="52"/>
      <c r="D7" s="60"/>
      <c r="E7" s="52"/>
      <c r="F7" s="52"/>
      <c r="G7" s="52"/>
      <c r="H7" s="52"/>
      <c r="I7" s="52"/>
      <c r="J7" s="73" t="str">
        <f>IF(OR(NOT(ISERROR(MATCH(RIGHT(B7,3)+0,#REF!,0))),NOT(ISERROR(MATCH(LEFT(B7,3)+0,#REF!,0)))),"No Post","")</f>
        <v/>
      </c>
    </row>
    <row r="8" spans="1:10" x14ac:dyDescent="0.35">
      <c r="A8" s="52">
        <v>2</v>
      </c>
      <c r="B8" s="52"/>
      <c r="C8" s="52"/>
      <c r="D8" s="60"/>
      <c r="E8" s="52"/>
      <c r="F8" s="52"/>
      <c r="G8" s="52"/>
      <c r="H8" s="52"/>
      <c r="I8" s="52"/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52"/>
      <c r="C9" s="52"/>
      <c r="D9" s="60"/>
      <c r="E9" s="52"/>
      <c r="F9" s="52"/>
      <c r="G9" s="52"/>
      <c r="H9" s="52"/>
      <c r="I9" s="52"/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/>
      <c r="C10" s="52"/>
      <c r="D10" s="60"/>
      <c r="E10" s="52"/>
      <c r="F10" s="52"/>
      <c r="G10" s="52"/>
      <c r="H10" s="52"/>
      <c r="I10" s="52"/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/>
      <c r="C11" s="52"/>
      <c r="D11" s="60"/>
      <c r="E11" s="52"/>
      <c r="F11" s="52"/>
      <c r="G11" s="52"/>
      <c r="H11" s="52"/>
      <c r="I11" s="52"/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/>
      <c r="C12" s="52"/>
      <c r="D12" s="60"/>
      <c r="E12" s="52"/>
      <c r="F12" s="52"/>
      <c r="G12" s="52"/>
      <c r="H12" s="52"/>
      <c r="I12" s="52"/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7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C9" sqref="C9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25/05/2026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52" t="s">
        <v>22</v>
      </c>
      <c r="C7" s="77" t="s">
        <v>34</v>
      </c>
      <c r="D7" s="60">
        <v>46169</v>
      </c>
      <c r="E7" s="52">
        <v>2</v>
      </c>
      <c r="F7" s="52"/>
      <c r="G7" s="52"/>
      <c r="H7" s="78">
        <v>32661983266200</v>
      </c>
      <c r="I7" s="52" t="s">
        <v>35</v>
      </c>
      <c r="J7" s="73" t="str">
        <f>IF(OR(NOT(ISERROR(MATCH(RIGHT(B7,3)+0,#REF!,0))),NOT(ISERROR(MATCH(LEFT(B7,3)+0,#REF!,0)))),"No Post","")</f>
        <v/>
      </c>
    </row>
    <row r="8" spans="1:10" x14ac:dyDescent="0.35">
      <c r="A8" s="52">
        <v>2</v>
      </c>
      <c r="B8" s="41" t="s">
        <v>22</v>
      </c>
      <c r="C8" s="82" t="s">
        <v>46</v>
      </c>
      <c r="D8" s="59">
        <v>46171</v>
      </c>
      <c r="E8" s="41">
        <v>2</v>
      </c>
      <c r="F8" s="41"/>
      <c r="G8" s="41"/>
      <c r="H8" s="80" t="s">
        <v>47</v>
      </c>
      <c r="I8" s="41" t="s">
        <v>48</v>
      </c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52"/>
      <c r="C9" s="52"/>
      <c r="D9" s="60"/>
      <c r="E9" s="52"/>
      <c r="F9" s="52"/>
      <c r="G9" s="52"/>
      <c r="H9" s="52"/>
      <c r="I9" s="52"/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/>
      <c r="C10" s="52"/>
      <c r="D10" s="60"/>
      <c r="E10" s="52"/>
      <c r="F10" s="52"/>
      <c r="G10" s="52"/>
      <c r="H10" s="52"/>
      <c r="I10" s="52"/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/>
      <c r="C11" s="52"/>
      <c r="D11" s="60"/>
      <c r="E11" s="52"/>
      <c r="F11" s="52"/>
      <c r="G11" s="52"/>
      <c r="H11" s="52"/>
      <c r="I11" s="52"/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/>
      <c r="C12" s="52"/>
      <c r="D12" s="60"/>
      <c r="E12" s="52"/>
      <c r="F12" s="52"/>
      <c r="G12" s="52"/>
      <c r="H12" s="52"/>
      <c r="I12" s="52"/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C9" sqref="C9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C9" sqref="C9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C9" sqref="C9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6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B7" sqref="B7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26/05/2026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52"/>
      <c r="C7" s="52"/>
      <c r="D7" s="60"/>
      <c r="E7" s="52"/>
      <c r="F7" s="52"/>
      <c r="G7" s="52"/>
      <c r="H7" s="52"/>
      <c r="I7" s="52"/>
      <c r="J7" s="73" t="str">
        <f>IF(OR(NOT(ISERROR(MATCH(RIGHT(B7,3)+0,#REF!,0))),NOT(ISERROR(MATCH(LEFT(B7,3)+0,#REF!,0)))),"No Post","")</f>
        <v/>
      </c>
    </row>
    <row r="8" spans="1:10" x14ac:dyDescent="0.35">
      <c r="A8" s="52">
        <v>2</v>
      </c>
      <c r="B8" s="52"/>
      <c r="C8" s="52"/>
      <c r="D8" s="60"/>
      <c r="E8" s="52"/>
      <c r="F8" s="52"/>
      <c r="G8" s="52"/>
      <c r="H8" s="52"/>
      <c r="I8" s="52"/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52"/>
      <c r="C9" s="52"/>
      <c r="D9" s="60"/>
      <c r="E9" s="52"/>
      <c r="F9" s="52"/>
      <c r="G9" s="52"/>
      <c r="H9" s="52"/>
      <c r="I9" s="52"/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/>
      <c r="C10" s="52"/>
      <c r="D10" s="60"/>
      <c r="E10" s="52"/>
      <c r="F10" s="52"/>
      <c r="G10" s="52"/>
      <c r="H10" s="52"/>
      <c r="I10" s="52"/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/>
      <c r="C11" s="52"/>
      <c r="D11" s="60"/>
      <c r="E11" s="52"/>
      <c r="F11" s="52"/>
      <c r="G11" s="52"/>
      <c r="H11" s="52"/>
      <c r="I11" s="52"/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/>
      <c r="C12" s="52"/>
      <c r="D12" s="60"/>
      <c r="E12" s="52"/>
      <c r="F12" s="52"/>
      <c r="G12" s="52"/>
      <c r="H12" s="52"/>
      <c r="I12" s="52"/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5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B7" sqref="B7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27/05/2026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52"/>
      <c r="C7" s="52"/>
      <c r="D7" s="60"/>
      <c r="E7" s="52"/>
      <c r="F7" s="52"/>
      <c r="G7" s="52"/>
      <c r="H7" s="52"/>
      <c r="I7" s="52"/>
      <c r="J7" s="73" t="str">
        <f>IF(OR(NOT(ISERROR(MATCH(RIGHT(B7,3)+0,#REF!,0))),NOT(ISERROR(MATCH(LEFT(B7,3)+0,#REF!,0)))),"No Post","")</f>
        <v/>
      </c>
    </row>
    <row r="8" spans="1:10" x14ac:dyDescent="0.35">
      <c r="A8" s="52">
        <v>2</v>
      </c>
      <c r="B8" s="52"/>
      <c r="C8" s="52"/>
      <c r="D8" s="60"/>
      <c r="E8" s="52"/>
      <c r="F8" s="52"/>
      <c r="G8" s="52"/>
      <c r="H8" s="52"/>
      <c r="I8" s="52"/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52"/>
      <c r="C9" s="52"/>
      <c r="D9" s="60"/>
      <c r="E9" s="52"/>
      <c r="F9" s="52"/>
      <c r="G9" s="52"/>
      <c r="H9" s="52"/>
      <c r="I9" s="52"/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/>
      <c r="C10" s="52"/>
      <c r="D10" s="60"/>
      <c r="E10" s="52"/>
      <c r="F10" s="52"/>
      <c r="G10" s="52"/>
      <c r="H10" s="52"/>
      <c r="I10" s="52"/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/>
      <c r="C11" s="52"/>
      <c r="D11" s="60"/>
      <c r="E11" s="52"/>
      <c r="F11" s="52"/>
      <c r="G11" s="52"/>
      <c r="H11" s="52"/>
      <c r="I11" s="52"/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/>
      <c r="C12" s="52"/>
      <c r="D12" s="60"/>
      <c r="E12" s="52"/>
      <c r="F12" s="52"/>
      <c r="G12" s="52"/>
      <c r="H12" s="52"/>
      <c r="I12" s="52"/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4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C14" sqref="C14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28/05/2026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52" t="s">
        <v>22</v>
      </c>
      <c r="C7" s="52" t="s">
        <v>54</v>
      </c>
      <c r="D7" s="60">
        <v>46175</v>
      </c>
      <c r="E7" s="52">
        <v>2</v>
      </c>
      <c r="F7" s="52"/>
      <c r="G7" s="52"/>
      <c r="H7" s="52">
        <v>3276425</v>
      </c>
      <c r="I7" s="52" t="s">
        <v>50</v>
      </c>
      <c r="J7" s="73" t="str">
        <f>IF(OR(NOT(ISERROR(MATCH(RIGHT(B7,3)+0,#REF!,0))),NOT(ISERROR(MATCH(LEFT(B7,3)+0,#REF!,0)))),"No Post","")</f>
        <v/>
      </c>
    </row>
    <row r="8" spans="1:10" x14ac:dyDescent="0.35">
      <c r="A8" s="52">
        <v>2</v>
      </c>
      <c r="B8" s="52" t="s">
        <v>22</v>
      </c>
      <c r="C8" s="52" t="s">
        <v>55</v>
      </c>
      <c r="D8" s="60">
        <v>46175</v>
      </c>
      <c r="E8" s="52">
        <v>2</v>
      </c>
      <c r="F8" s="52"/>
      <c r="G8" s="52"/>
      <c r="H8" s="52">
        <v>3276426</v>
      </c>
      <c r="I8" s="52" t="s">
        <v>50</v>
      </c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52" t="s">
        <v>22</v>
      </c>
      <c r="C9" s="52" t="s">
        <v>56</v>
      </c>
      <c r="D9" s="60">
        <v>46175</v>
      </c>
      <c r="E9" s="52">
        <v>2</v>
      </c>
      <c r="F9" s="52"/>
      <c r="G9" s="52"/>
      <c r="H9" s="52">
        <v>3276427</v>
      </c>
      <c r="I9" s="52" t="s">
        <v>50</v>
      </c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/>
      <c r="C10" s="52"/>
      <c r="D10" s="60"/>
      <c r="E10" s="52"/>
      <c r="F10" s="52"/>
      <c r="G10" s="52"/>
      <c r="H10" s="52"/>
      <c r="I10" s="52"/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/>
      <c r="C11" s="52"/>
      <c r="D11" s="60"/>
      <c r="E11" s="52"/>
      <c r="F11" s="52"/>
      <c r="G11" s="52"/>
      <c r="H11" s="52"/>
      <c r="I11" s="52"/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/>
      <c r="C12" s="52"/>
      <c r="D12" s="60"/>
      <c r="E12" s="52"/>
      <c r="F12" s="52"/>
      <c r="G12" s="52"/>
      <c r="H12" s="52"/>
      <c r="I12" s="52"/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C14" sqref="C14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C14" sqref="C14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C14" sqref="C14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3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B7" sqref="B7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29/05/2026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52" t="s">
        <v>22</v>
      </c>
      <c r="C7" s="76" t="s">
        <v>311</v>
      </c>
      <c r="D7" s="60">
        <v>46175</v>
      </c>
      <c r="E7" s="52">
        <v>2</v>
      </c>
      <c r="F7" s="52"/>
      <c r="G7" s="52"/>
      <c r="H7" s="52"/>
      <c r="I7" s="52" t="s">
        <v>31</v>
      </c>
      <c r="J7" s="73" t="str">
        <f>IF(OR(NOT(ISERROR(MATCH(RIGHT(B7,3)+0,#REF!,0))),NOT(ISERROR(MATCH(LEFT(B7,3)+0,#REF!,0)))),"No Post","")</f>
        <v/>
      </c>
    </row>
    <row r="8" spans="1:10" x14ac:dyDescent="0.35">
      <c r="A8" s="52">
        <v>2</v>
      </c>
      <c r="B8" s="52"/>
      <c r="C8" s="52"/>
      <c r="D8" s="60"/>
      <c r="E8" s="52"/>
      <c r="F8" s="52"/>
      <c r="G8" s="52"/>
      <c r="H8" s="52"/>
      <c r="I8" s="52"/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52"/>
      <c r="C9" s="52"/>
      <c r="D9" s="60"/>
      <c r="E9" s="52"/>
      <c r="F9" s="52"/>
      <c r="G9" s="52"/>
      <c r="H9" s="52"/>
      <c r="I9" s="52"/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/>
      <c r="C10" s="52"/>
      <c r="D10" s="60"/>
      <c r="E10" s="52"/>
      <c r="F10" s="52"/>
      <c r="G10" s="52"/>
      <c r="H10" s="52"/>
      <c r="I10" s="52"/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/>
      <c r="C11" s="52"/>
      <c r="D11" s="60"/>
      <c r="E11" s="52"/>
      <c r="F11" s="52"/>
      <c r="G11" s="52"/>
      <c r="H11" s="52"/>
      <c r="I11" s="52"/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/>
      <c r="C12" s="52"/>
      <c r="D12" s="60"/>
      <c r="E12" s="52"/>
      <c r="F12" s="52"/>
      <c r="G12" s="52"/>
      <c r="H12" s="52"/>
      <c r="I12" s="52"/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K5" sqref="K5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2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C9" sqref="C9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30/05/2026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52" t="s">
        <v>22</v>
      </c>
      <c r="C7" s="81" t="s">
        <v>249</v>
      </c>
      <c r="D7" s="60">
        <v>46174</v>
      </c>
      <c r="E7" s="52">
        <v>2</v>
      </c>
      <c r="F7" s="52"/>
      <c r="G7" s="52"/>
      <c r="H7" s="79" t="s">
        <v>250</v>
      </c>
      <c r="I7" s="52" t="s">
        <v>251</v>
      </c>
      <c r="J7" s="73" t="str">
        <f>IF(OR(NOT(ISERROR(MATCH(RIGHT(B7,3)+0,#REF!,0))),NOT(ISERROR(MATCH(LEFT(B7,3)+0,#REF!,0)))),"No Post","")</f>
        <v/>
      </c>
    </row>
    <row r="8" spans="1:10" x14ac:dyDescent="0.35">
      <c r="A8" s="52">
        <v>2</v>
      </c>
      <c r="B8" s="52"/>
      <c r="C8" s="52"/>
      <c r="D8" s="60"/>
      <c r="E8" s="52"/>
      <c r="F8" s="52"/>
      <c r="G8" s="52"/>
      <c r="H8" s="52"/>
      <c r="I8" s="52"/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52"/>
      <c r="C9" s="52"/>
      <c r="D9" s="60"/>
      <c r="E9" s="52"/>
      <c r="F9" s="52"/>
      <c r="G9" s="52"/>
      <c r="H9" s="52"/>
      <c r="I9" s="52"/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/>
      <c r="C10" s="52"/>
      <c r="D10" s="60"/>
      <c r="E10" s="52"/>
      <c r="F10" s="52"/>
      <c r="G10" s="52"/>
      <c r="H10" s="52"/>
      <c r="I10" s="52"/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/>
      <c r="C11" s="52"/>
      <c r="D11" s="60"/>
      <c r="E11" s="52"/>
      <c r="F11" s="52"/>
      <c r="G11" s="52"/>
      <c r="H11" s="52"/>
      <c r="I11" s="52"/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/>
      <c r="C12" s="52"/>
      <c r="D12" s="60"/>
      <c r="E12" s="52"/>
      <c r="F12" s="52"/>
      <c r="G12" s="52"/>
      <c r="H12" s="52"/>
      <c r="I12" s="52"/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C9" sqref="C9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1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B7" sqref="B7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7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0"/>
      <c r="E2" s="5"/>
      <c r="F2" s="5"/>
    </row>
    <row r="4" spans="1:10" s="1" customFormat="1" thickBot="1" x14ac:dyDescent="0.4">
      <c r="D4" s="31"/>
    </row>
    <row r="5" spans="1:10" s="2" customFormat="1" ht="23.4" x14ac:dyDescent="0.45">
      <c r="A5" s="222" t="s">
        <v>15</v>
      </c>
      <c r="B5" s="223"/>
      <c r="C5" s="223"/>
      <c r="D5" s="223"/>
      <c r="E5" s="223"/>
      <c r="F5" s="223"/>
      <c r="G5" s="223"/>
      <c r="H5" s="25" t="s">
        <v>18</v>
      </c>
      <c r="I5" s="26" t="str">
        <f ca="1">CONCATENATE((MID(CELL("filename",I5),FIND("]",CELL("filename",I5))+1,255)),"/05/2026")</f>
        <v>31/05/2026</v>
      </c>
    </row>
    <row r="6" spans="1:10" x14ac:dyDescent="0.35">
      <c r="A6" s="43"/>
      <c r="B6" s="50" t="s">
        <v>1</v>
      </c>
      <c r="C6" s="50" t="s">
        <v>2</v>
      </c>
      <c r="D6" s="51" t="s">
        <v>21</v>
      </c>
      <c r="E6" s="50" t="s">
        <v>16</v>
      </c>
      <c r="F6" s="50" t="s">
        <v>17</v>
      </c>
      <c r="G6" s="50" t="s">
        <v>3</v>
      </c>
      <c r="H6" s="52" t="s">
        <v>20</v>
      </c>
      <c r="I6" s="53" t="s">
        <v>4</v>
      </c>
    </row>
    <row r="7" spans="1:10" x14ac:dyDescent="0.35">
      <c r="A7" s="52">
        <v>1</v>
      </c>
      <c r="B7" s="52"/>
      <c r="C7" s="52"/>
      <c r="D7" s="60"/>
      <c r="E7" s="52"/>
      <c r="F7" s="52"/>
      <c r="G7" s="52"/>
      <c r="H7" s="52"/>
      <c r="I7" s="52"/>
      <c r="J7" s="73" t="str">
        <f>IF(OR(NOT(ISERROR(MATCH(RIGHT(B7,3)+0,#REF!,0))),NOT(ISERROR(MATCH(LEFT(B7,3)+0,#REF!,0)))),"No Post","")</f>
        <v/>
      </c>
    </row>
    <row r="8" spans="1:10" x14ac:dyDescent="0.35">
      <c r="A8" s="52">
        <v>2</v>
      </c>
      <c r="B8" s="52"/>
      <c r="C8" s="52"/>
      <c r="D8" s="60"/>
      <c r="E8" s="52"/>
      <c r="F8" s="52"/>
      <c r="G8" s="52"/>
      <c r="H8" s="52"/>
      <c r="I8" s="52"/>
      <c r="J8" s="73" t="str">
        <f>IF(OR(NOT(ISERROR(MATCH(RIGHT(B8,3)+0,#REF!,0))),NOT(ISERROR(MATCH(LEFT(B8,3)+0,#REF!,0)))),"No Post","")</f>
        <v/>
      </c>
    </row>
    <row r="9" spans="1:10" x14ac:dyDescent="0.35">
      <c r="A9" s="52">
        <v>3</v>
      </c>
      <c r="B9" s="52"/>
      <c r="C9" s="52"/>
      <c r="D9" s="60"/>
      <c r="E9" s="52"/>
      <c r="F9" s="52"/>
      <c r="G9" s="52"/>
      <c r="H9" s="52"/>
      <c r="I9" s="52"/>
      <c r="J9" s="73" t="str">
        <f>IF(OR(NOT(ISERROR(MATCH(RIGHT(B9,3)+0,#REF!,0))),NOT(ISERROR(MATCH(LEFT(B9,3)+0,#REF!,0)))),"No Post","")</f>
        <v/>
      </c>
    </row>
    <row r="10" spans="1:10" x14ac:dyDescent="0.35">
      <c r="A10" s="52">
        <v>4</v>
      </c>
      <c r="B10" s="52"/>
      <c r="C10" s="52"/>
      <c r="D10" s="60"/>
      <c r="E10" s="52"/>
      <c r="F10" s="52"/>
      <c r="G10" s="52"/>
      <c r="H10" s="52"/>
      <c r="I10" s="52"/>
      <c r="J10" s="73" t="str">
        <f>IF(OR(NOT(ISERROR(MATCH(RIGHT(B10,3)+0,#REF!,0))),NOT(ISERROR(MATCH(LEFT(B10,3)+0,#REF!,0)))),"No Post","")</f>
        <v/>
      </c>
    </row>
    <row r="11" spans="1:10" x14ac:dyDescent="0.35">
      <c r="A11" s="52">
        <v>5</v>
      </c>
      <c r="B11" s="52"/>
      <c r="C11" s="52"/>
      <c r="D11" s="60"/>
      <c r="E11" s="52"/>
      <c r="F11" s="52"/>
      <c r="G11" s="52"/>
      <c r="H11" s="52"/>
      <c r="I11" s="52"/>
      <c r="J11" s="73" t="str">
        <f>IF(OR(NOT(ISERROR(MATCH(RIGHT(B11,3)+0,#REF!,0))),NOT(ISERROR(MATCH(LEFT(B11,3)+0,#REF!,0)))),"No Post","")</f>
        <v/>
      </c>
    </row>
    <row r="12" spans="1:10" x14ac:dyDescent="0.35">
      <c r="A12" s="52">
        <v>6</v>
      </c>
      <c r="B12" s="52"/>
      <c r="C12" s="52"/>
      <c r="D12" s="60"/>
      <c r="E12" s="52"/>
      <c r="F12" s="52"/>
      <c r="G12" s="52"/>
      <c r="H12" s="52"/>
      <c r="I12" s="52"/>
      <c r="J12" s="73" t="str">
        <f>IF(OR(NOT(ISERROR(MATCH(RIGHT(B12,3)+0,#REF!,0))),NOT(ISERROR(MATCH(LEFT(B12,3)+0,#REF!,0)))),"No Post","")</f>
        <v/>
      </c>
    </row>
    <row r="13" spans="1:10" x14ac:dyDescent="0.35">
      <c r="A13" s="52">
        <v>7</v>
      </c>
      <c r="B13" s="52"/>
      <c r="C13" s="52"/>
      <c r="D13" s="60"/>
      <c r="E13" s="52"/>
      <c r="F13" s="52"/>
      <c r="G13" s="52"/>
      <c r="H13" s="52"/>
      <c r="I13" s="52"/>
      <c r="J13" s="73" t="str">
        <f>IF(OR(NOT(ISERROR(MATCH(RIGHT(B13,3)+0,#REF!,0))),NOT(ISERROR(MATCH(LEFT(B13,3)+0,#REF!,0)))),"No Post","")</f>
        <v/>
      </c>
    </row>
    <row r="14" spans="1:10" x14ac:dyDescent="0.35">
      <c r="A14" s="52">
        <v>8</v>
      </c>
      <c r="B14" s="52"/>
      <c r="C14" s="52"/>
      <c r="D14" s="60"/>
      <c r="E14" s="52"/>
      <c r="F14" s="52"/>
      <c r="G14" s="52"/>
      <c r="H14" s="52"/>
      <c r="I14" s="52"/>
      <c r="J14" s="73" t="str">
        <f>IF(OR(NOT(ISERROR(MATCH(RIGHT(B14,3)+0,#REF!,0))),NOT(ISERROR(MATCH(LEFT(B14,3)+0,#REF!,0)))),"No Post","")</f>
        <v/>
      </c>
    </row>
    <row r="15" spans="1:10" x14ac:dyDescent="0.35">
      <c r="A15" s="52">
        <v>9</v>
      </c>
      <c r="B15" s="52"/>
      <c r="C15" s="52"/>
      <c r="D15" s="60"/>
      <c r="E15" s="52"/>
      <c r="F15" s="52"/>
      <c r="G15" s="52"/>
      <c r="H15" s="52"/>
      <c r="I15" s="52"/>
      <c r="J15" s="73" t="str">
        <f>IF(OR(NOT(ISERROR(MATCH(RIGHT(B15,3)+0,#REF!,0))),NOT(ISERROR(MATCH(LEFT(B15,3)+0,#REF!,0)))),"No Post","")</f>
        <v/>
      </c>
    </row>
    <row r="16" spans="1:10" x14ac:dyDescent="0.35">
      <c r="A16" s="52">
        <v>10</v>
      </c>
      <c r="B16" s="52"/>
      <c r="C16" s="52"/>
      <c r="D16" s="60"/>
      <c r="E16" s="52"/>
      <c r="F16" s="52"/>
      <c r="G16" s="52"/>
      <c r="H16" s="52"/>
      <c r="I16" s="52"/>
      <c r="J16" s="73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2">
        <v>11</v>
      </c>
      <c r="B17" s="44"/>
      <c r="C17" s="45"/>
      <c r="D17" s="46"/>
      <c r="E17" s="44"/>
      <c r="F17" s="44"/>
      <c r="G17" s="44"/>
      <c r="H17" s="45"/>
      <c r="I17" s="45"/>
      <c r="J17" s="73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2">
        <v>12</v>
      </c>
      <c r="B18" s="44"/>
      <c r="C18" s="45"/>
      <c r="D18" s="46"/>
      <c r="E18" s="44"/>
      <c r="F18" s="44"/>
      <c r="G18" s="44"/>
      <c r="H18" s="45"/>
      <c r="I18" s="45"/>
      <c r="J18" s="73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2">
        <v>13</v>
      </c>
      <c r="B19" s="44"/>
      <c r="C19" s="45"/>
      <c r="D19" s="46"/>
      <c r="E19" s="44"/>
      <c r="F19" s="44"/>
      <c r="G19" s="44"/>
      <c r="H19" s="45"/>
      <c r="I19" s="45"/>
      <c r="J19" s="73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2">
        <v>14</v>
      </c>
      <c r="B20" s="44"/>
      <c r="C20" s="45"/>
      <c r="D20" s="46"/>
      <c r="E20" s="44"/>
      <c r="F20" s="44"/>
      <c r="G20" s="44"/>
      <c r="H20" s="45"/>
      <c r="I20" s="45"/>
      <c r="J20" s="73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2">
        <v>15</v>
      </c>
      <c r="B21" s="44"/>
      <c r="C21" s="45"/>
      <c r="D21" s="46"/>
      <c r="E21" s="44"/>
      <c r="F21" s="44"/>
      <c r="G21" s="44"/>
      <c r="H21" s="45"/>
      <c r="I21" s="45"/>
      <c r="J21" s="73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2">
        <v>16</v>
      </c>
      <c r="B22" s="44"/>
      <c r="C22" s="45"/>
      <c r="D22" s="46"/>
      <c r="E22" s="44"/>
      <c r="F22" s="44"/>
      <c r="G22" s="44"/>
      <c r="H22" s="45"/>
      <c r="I22" s="45"/>
      <c r="J22" s="73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2">
        <v>17</v>
      </c>
      <c r="B23" s="44"/>
      <c r="C23" s="45"/>
      <c r="D23" s="46"/>
      <c r="E23" s="44"/>
      <c r="F23" s="44"/>
      <c r="G23" s="44"/>
      <c r="H23" s="45"/>
      <c r="I23" s="45"/>
      <c r="J23" s="73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2">
        <v>18</v>
      </c>
      <c r="B24" s="44"/>
      <c r="C24" s="45"/>
      <c r="D24" s="46"/>
      <c r="E24" s="44"/>
      <c r="F24" s="44"/>
      <c r="G24" s="44"/>
      <c r="H24" s="45"/>
      <c r="I24" s="45"/>
      <c r="J24" s="73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2">
        <v>19</v>
      </c>
      <c r="B25" s="44"/>
      <c r="C25" s="45"/>
      <c r="D25" s="46"/>
      <c r="E25" s="44"/>
      <c r="F25" s="44"/>
      <c r="G25" s="44"/>
      <c r="H25" s="45"/>
      <c r="I25" s="45"/>
      <c r="J25" s="73" t="str">
        <f>IF(OR(NOT(ISERROR(MATCH(RIGHT(B25,3)+0,#REF!,0))),NOT(ISERROR(MATCH(LEFT(B25,3)+0,#REF!,0)))),"No Post","")</f>
        <v/>
      </c>
    </row>
    <row r="26" spans="1:10" s="24" customFormat="1" ht="18.600000000000001" customHeight="1" x14ac:dyDescent="0.4">
      <c r="A26" s="52">
        <v>20</v>
      </c>
      <c r="B26" s="44"/>
      <c r="C26" s="45"/>
      <c r="D26" s="46"/>
      <c r="E26" s="44"/>
      <c r="F26" s="44"/>
      <c r="G26" s="44"/>
      <c r="H26" s="45"/>
      <c r="I26" s="45"/>
      <c r="J26" s="73" t="str">
        <f>IF(OR(NOT(ISERROR(MATCH(RIGHT(B26,3)+0,#REF!,0))),NOT(ISERROR(MATCH(LEFT(B26,3)+0,#REF!,0)))),"No Post","")</f>
        <v/>
      </c>
    </row>
    <row r="27" spans="1:10" ht="20.25" customHeight="1" x14ac:dyDescent="0.35">
      <c r="A27" s="47"/>
      <c r="B27" s="47"/>
      <c r="C27" s="47" t="str">
        <f>"Remaning: "&amp;IFERROR(MID(A5, SEARCH("MAX", A5) + LEN("MAX"), SEARCH("PAX", A5) - SEARCH("MAX", A5) - LEN("MAX")), "")+0-SUM(E27:F27)</f>
        <v>Remaning: 20</v>
      </c>
      <c r="D27" s="48" t="s">
        <v>19</v>
      </c>
      <c r="E27" s="49">
        <f>SUM(E17:E26)</f>
        <v>0</v>
      </c>
      <c r="F27" s="49">
        <f>SUM(F17:F26)</f>
        <v>0</v>
      </c>
      <c r="G27" s="47"/>
      <c r="H27" s="47"/>
      <c r="I27" s="47"/>
    </row>
    <row r="28" spans="1:10" ht="20.25" customHeight="1" x14ac:dyDescent="0.35">
      <c r="B28" s="8" t="s">
        <v>5</v>
      </c>
      <c r="C28" s="8"/>
      <c r="D28" s="33"/>
      <c r="E28" s="8"/>
      <c r="F28" s="8"/>
      <c r="G28" s="8"/>
    </row>
    <row r="29" spans="1:10" ht="20.25" customHeight="1" x14ac:dyDescent="0.35">
      <c r="B29" s="15" t="s">
        <v>6</v>
      </c>
      <c r="C29" s="9"/>
      <c r="D29" s="34"/>
      <c r="E29" s="9"/>
      <c r="F29" s="9"/>
      <c r="G29" s="9"/>
    </row>
    <row r="30" spans="1:10" ht="20.25" customHeight="1" x14ac:dyDescent="0.35">
      <c r="B30" s="15" t="s">
        <v>7</v>
      </c>
      <c r="C30" s="9"/>
      <c r="D30" s="34"/>
      <c r="E30" s="9"/>
      <c r="F30" s="9"/>
      <c r="G30" s="9"/>
    </row>
    <row r="31" spans="1:10" ht="20.25" customHeight="1" x14ac:dyDescent="0.35">
      <c r="B31" s="15" t="s">
        <v>8</v>
      </c>
      <c r="C31" s="9"/>
      <c r="D31" s="34"/>
      <c r="E31" s="9"/>
      <c r="F31" s="9"/>
      <c r="G31" s="9"/>
    </row>
    <row r="32" spans="1:10" x14ac:dyDescent="0.35">
      <c r="B32" s="15" t="s">
        <v>9</v>
      </c>
      <c r="C32" s="9"/>
      <c r="D32" s="34"/>
      <c r="E32" s="9"/>
      <c r="F32" s="9"/>
      <c r="G32" s="9"/>
    </row>
    <row r="33" spans="2:7" x14ac:dyDescent="0.35">
      <c r="B33" s="15" t="s">
        <v>10</v>
      </c>
      <c r="C33" s="9"/>
      <c r="D33" s="34"/>
      <c r="E33" s="9"/>
      <c r="F33" s="9"/>
      <c r="G33" s="9"/>
    </row>
    <row r="34" spans="2:7" x14ac:dyDescent="0.35">
      <c r="B34" s="15" t="s">
        <v>11</v>
      </c>
      <c r="C34" s="9"/>
      <c r="D34" s="34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5"/>
      <c r="E35" s="10"/>
      <c r="F35" s="10"/>
    </row>
    <row r="36" spans="2:7" s="11" customFormat="1" ht="15.6" x14ac:dyDescent="0.3">
      <c r="B36" s="16" t="s">
        <v>13</v>
      </c>
      <c r="C36" s="10"/>
      <c r="D36" s="35"/>
      <c r="E36" s="10"/>
      <c r="F36" s="10"/>
    </row>
    <row r="37" spans="2:7" s="13" customFormat="1" ht="20.25" customHeight="1" x14ac:dyDescent="0.35">
      <c r="B37" s="17" t="s">
        <v>14</v>
      </c>
      <c r="C37" s="12"/>
      <c r="D37" s="36"/>
    </row>
    <row r="38" spans="2:7" s="8" customFormat="1" ht="14.4" x14ac:dyDescent="0.3">
      <c r="B38" s="14"/>
      <c r="C38" s="9"/>
      <c r="D38" s="34"/>
      <c r="E38" s="9"/>
      <c r="F38" s="9"/>
      <c r="G38" s="9"/>
    </row>
    <row r="39" spans="2:7" s="9" customFormat="1" ht="13.8" x14ac:dyDescent="0.3">
      <c r="D39" s="34"/>
    </row>
    <row r="40" spans="2:7" x14ac:dyDescent="0.35">
      <c r="B40" s="9"/>
      <c r="C40" s="9"/>
      <c r="D40" s="34"/>
      <c r="E40" s="9"/>
      <c r="F40" s="9"/>
      <c r="G40" s="9"/>
    </row>
    <row r="41" spans="2:7" x14ac:dyDescent="0.35">
      <c r="B41" s="8"/>
      <c r="C41" s="8"/>
      <c r="D41" s="33"/>
      <c r="E41" s="8"/>
      <c r="F41" s="8"/>
      <c r="G41" s="8"/>
    </row>
    <row r="42" spans="2:7" x14ac:dyDescent="0.35">
      <c r="B42" s="9"/>
      <c r="C42" s="9"/>
      <c r="D42" s="34"/>
      <c r="E42" s="9"/>
      <c r="F42" s="9"/>
      <c r="G42" s="9"/>
    </row>
    <row r="43" spans="2:7" x14ac:dyDescent="0.35">
      <c r="B43" s="9"/>
      <c r="C43" s="9"/>
      <c r="D43" s="34"/>
      <c r="E43" s="9"/>
      <c r="F43" s="9"/>
      <c r="G43" s="9"/>
    </row>
    <row r="44" spans="2:7" x14ac:dyDescent="0.35">
      <c r="B44" s="9"/>
      <c r="C44" s="9"/>
      <c r="D44" s="34"/>
      <c r="E44" s="9"/>
      <c r="F44" s="9"/>
      <c r="G44" s="9"/>
    </row>
    <row r="45" spans="2:7" x14ac:dyDescent="0.35">
      <c r="B45" s="9"/>
      <c r="C45" s="9"/>
      <c r="D45" s="34"/>
      <c r="E45" s="9"/>
      <c r="F45" s="9"/>
      <c r="G45" s="9"/>
    </row>
    <row r="46" spans="2:7" x14ac:dyDescent="0.35">
      <c r="B46" s="9"/>
      <c r="C46" s="9"/>
      <c r="D46" s="34"/>
      <c r="E46" s="9"/>
      <c r="F46" s="9"/>
      <c r="G46" s="9"/>
    </row>
    <row r="47" spans="2:7" x14ac:dyDescent="0.35">
      <c r="B47" s="9"/>
      <c r="C47" s="9"/>
      <c r="D47" s="34"/>
      <c r="E47" s="9"/>
      <c r="F47" s="9"/>
      <c r="G47" s="9"/>
    </row>
    <row r="48" spans="2:7" x14ac:dyDescent="0.35">
      <c r="B48" s="14"/>
      <c r="C48" s="9"/>
      <c r="D48" s="34"/>
      <c r="E48" s="9"/>
      <c r="F48" s="9"/>
      <c r="G48" s="9"/>
    </row>
    <row r="49" spans="2:7" x14ac:dyDescent="0.35">
      <c r="B49" s="9"/>
      <c r="C49" s="9"/>
      <c r="D49" s="34"/>
      <c r="E49" s="9"/>
      <c r="F49" s="9"/>
      <c r="G49" s="9"/>
    </row>
    <row r="51" spans="2:7" x14ac:dyDescent="0.35">
      <c r="B51" s="1"/>
      <c r="C51" s="1"/>
      <c r="D51" s="31"/>
      <c r="E51" s="1"/>
      <c r="F51" s="1"/>
      <c r="G51" s="1"/>
    </row>
    <row r="66" spans="2:7" x14ac:dyDescent="0.35">
      <c r="B66" s="9"/>
      <c r="C66" s="9"/>
      <c r="D66" s="34"/>
      <c r="E66" s="9"/>
      <c r="F66" s="9"/>
      <c r="G66" s="9"/>
    </row>
    <row r="67" spans="2:7" x14ac:dyDescent="0.35">
      <c r="B67" s="9"/>
      <c r="C67" s="9"/>
      <c r="D67" s="34"/>
      <c r="E67" s="9"/>
      <c r="F67" s="9"/>
      <c r="G67" s="9"/>
    </row>
    <row r="68" spans="2:7" x14ac:dyDescent="0.35">
      <c r="B68" s="9"/>
      <c r="C68" s="9"/>
      <c r="D68" s="34"/>
      <c r="E68" s="9"/>
      <c r="F68" s="9"/>
      <c r="G68" s="9"/>
    </row>
    <row r="69" spans="2:7" x14ac:dyDescent="0.35">
      <c r="B69" s="14"/>
      <c r="C69" s="9"/>
      <c r="D69" s="34"/>
      <c r="E69" s="9"/>
      <c r="F69" s="9"/>
      <c r="G69" s="9"/>
    </row>
    <row r="70" spans="2:7" x14ac:dyDescent="0.35">
      <c r="B70" s="9"/>
      <c r="C70" s="9"/>
      <c r="D70" s="34"/>
      <c r="E70" s="9"/>
      <c r="F70" s="9"/>
      <c r="G70" s="9"/>
    </row>
  </sheetData>
  <customSheetViews>
    <customSheetView guid="{B3797D0B-1E44-402B-AD05-6509081B1712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6222734F-EF03-4A42-A0AF-7421F8747AA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AF620B39-788E-4983-8793-E9B224213D26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</customSheetViews>
  <mergeCells count="1">
    <mergeCell ref="A5:G5"/>
  </mergeCells>
  <conditionalFormatting sqref="J7:J26">
    <cfRule type="containsText" dxfId="0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4"/>
  <rowBreaks count="1" manualBreakCount="1">
    <brk id="38" min="1" max="8" man="1"/>
  </rowBreaks>
  <colBreaks count="1" manualBreakCount="1">
    <brk id="11" max="30" man="1"/>
  </colBreaks>
  <drawing r:id="rId5"/>
</worksheet>
</file>

<file path=xl/worksheets/wsSortMap1.xml><?xml version="1.0" encoding="utf-8"?>
<worksheetSortMap xmlns="http://schemas.microsoft.com/office/excel/2006/main">
  <rowSortMap ref="A8:XFD35" count="26">
    <row newVal="7" oldVal="9"/>
    <row newVal="8" oldVal="32"/>
    <row newVal="9" oldVal="29"/>
    <row newVal="10" oldVal="33"/>
    <row newVal="12" oldVal="34"/>
    <row newVal="13" oldVal="15"/>
    <row newVal="14" oldVal="19"/>
    <row newVal="15" oldVal="21"/>
    <row newVal="16" oldVal="17"/>
    <row newVal="17" oldVal="16"/>
    <row newVal="18" oldVal="30"/>
    <row newVal="19" oldVal="18"/>
    <row newVal="21" oldVal="8"/>
    <row newVal="22" oldVal="10"/>
    <row newVal="23" oldVal="22"/>
    <row newVal="24" oldVal="7"/>
    <row newVal="25" oldVal="31"/>
    <row newVal="26" oldVal="27"/>
    <row newVal="27" oldVal="28"/>
    <row newVal="28" oldVal="25"/>
    <row newVal="29" oldVal="24"/>
    <row newVal="30" oldVal="26"/>
    <row newVal="31" oldVal="14"/>
    <row newVal="32" oldVal="13"/>
    <row newVal="33" oldVal="12"/>
    <row newVal="34" oldVal="23"/>
  </rowSortMap>
</worksheetSortMap>
</file>

<file path=xl/worksheets/wsSortMap2.xml><?xml version="1.0" encoding="utf-8"?>
<worksheetSortMap xmlns="http://schemas.microsoft.com/office/excel/2006/main">
  <rowSortMap ref="A7:XFD15" count="6">
    <row newVal="6" oldVal="9"/>
    <row newVal="7" oldVal="13"/>
    <row newVal="9" oldVal="14"/>
    <row newVal="12" oldVal="6"/>
    <row newVal="13" oldVal="7"/>
    <row newVal="14" oldVal="12"/>
  </rowSortMap>
</worksheetSortMap>
</file>

<file path=xl/worksheets/wsSortMap3.xml><?xml version="1.0" encoding="utf-8"?>
<worksheetSortMap xmlns="http://schemas.microsoft.com/office/excel/2006/main">
  <rowSortMap ref="A7:XFD13" count="7">
    <row newVal="6" oldVal="12"/>
    <row newVal="7" oldVal="6"/>
    <row newVal="8" oldVal="10"/>
    <row newVal="9" oldVal="7"/>
    <row newVal="10" oldVal="11"/>
    <row newVal="11" oldVal="8"/>
    <row newVal="12" oldVal="9"/>
  </rowSortMap>
</worksheetSortMap>
</file>

<file path=xl/worksheets/wsSortMap4.xml><?xml version="1.0" encoding="utf-8"?>
<worksheetSortMap xmlns="http://schemas.microsoft.com/office/excel/2006/main">
  <rowSortMap ref="A7:XFD21" count="13">
    <row newVal="6" oldVal="11"/>
    <row newVal="8" oldVal="14"/>
    <row newVal="9" oldVal="17"/>
    <row newVal="10" oldVal="6"/>
    <row newVal="11" oldVal="13"/>
    <row newVal="12" oldVal="8"/>
    <row newVal="13" oldVal="9"/>
    <row newVal="14" oldVal="18"/>
    <row newVal="15" oldVal="12"/>
    <row newVal="17" oldVal="19"/>
    <row newVal="18" oldVal="15"/>
    <row newVal="19" oldVal="20"/>
    <row newVal="20" oldVal="10"/>
  </rowSortMap>
</worksheetSortMap>
</file>

<file path=xl/worksheets/wsSortMap5.xml><?xml version="1.0" encoding="utf-8"?>
<worksheetSortMap xmlns="http://schemas.microsoft.com/office/excel/2006/main">
  <rowSortMap ref="A7:XFD36" count="21">
    <row newVal="6" oldVal="18"/>
    <row newVal="9" oldVal="35"/>
    <row newVal="12" oldVal="24"/>
    <row newVal="13" oldVal="16"/>
    <row newVal="15" oldVal="21"/>
    <row newVal="16" oldVal="6"/>
    <row newVal="18" oldVal="30"/>
    <row newVal="20" oldVal="31"/>
    <row newVal="21" oldVal="32"/>
    <row newVal="23" oldVal="26"/>
    <row newVal="24" oldVal="15"/>
    <row newVal="25" oldVal="12"/>
    <row newVal="26" oldVal="9"/>
    <row newVal="27" oldVal="23"/>
    <row newVal="28" oldVal="29"/>
    <row newVal="29" oldVal="20"/>
    <row newVal="30" oldVal="13"/>
    <row newVal="31" oldVal="33"/>
    <row newVal="32" oldVal="28"/>
    <row newVal="33" oldVal="25"/>
    <row newVal="35" oldVal="27"/>
  </rowSortMap>
</worksheetSortMap>
</file>

<file path=xl/worksheets/wsSortMap6.xml><?xml version="1.0" encoding="utf-8"?>
<worksheetSortMap xmlns="http://schemas.microsoft.com/office/excel/2006/main">
  <rowSortMap ref="A7:XFD18" count="11">
    <row newVal="6" oldVal="16"/>
    <row newVal="7" oldVal="9"/>
    <row newVal="8" oldVal="10"/>
    <row newVal="9" oldVal="8"/>
    <row newVal="10" oldVal="15"/>
    <row newVal="11" oldVal="17"/>
    <row newVal="12" oldVal="6"/>
    <row newVal="13" oldVal="12"/>
    <row newVal="15" oldVal="13"/>
    <row newVal="16" oldVal="11"/>
    <row newVal="17" oldVal="7"/>
  </rowSortMap>
</worksheetSortMap>
</file>

<file path=xl/worksheets/wsSortMap7.xml><?xml version="1.0" encoding="utf-8"?>
<worksheetSortMap xmlns="http://schemas.microsoft.com/office/excel/2006/main">
  <rowSortMap ref="A7:XFD20" count="11">
    <row newVal="6" oldVal="16"/>
    <row newVal="7" oldVal="19"/>
    <row newVal="8" oldVal="6"/>
    <row newVal="9" oldVal="13"/>
    <row newVal="10" oldVal="7"/>
    <row newVal="11" oldVal="10"/>
    <row newVal="13" oldVal="15"/>
    <row newVal="14" oldVal="8"/>
    <row newVal="15" oldVal="11"/>
    <row newVal="16" oldVal="14"/>
    <row newVal="19" oldVal="9"/>
  </rowSortMap>
</worksheetSortMap>
</file>

<file path=xl/worksheets/wsSortMap8.xml><?xml version="1.0" encoding="utf-8"?>
<worksheetSortMap xmlns="http://schemas.microsoft.com/office/excel/2006/main">
  <rowSortMap ref="A8:XFD24" count="15">
    <row newVal="7" oldVal="19"/>
    <row newVal="8" oldVal="10"/>
    <row newVal="9" oldVal="16"/>
    <row newVal="10" oldVal="20"/>
    <row newVal="11" oldVal="13"/>
    <row newVal="13" oldVal="23"/>
    <row newVal="14" oldVal="22"/>
    <row newVal="16" oldVal="17"/>
    <row newVal="17" oldVal="14"/>
    <row newVal="18" oldVal="11"/>
    <row newVal="19" oldVal="8"/>
    <row newVal="20" oldVal="21"/>
    <row newVal="21" oldVal="18"/>
    <row newVal="22" oldVal="9"/>
    <row newVal="23" oldVal="7"/>
  </rowSortMap>
</worksheetSortMap>
</file>

<file path=xl/worksheets/wsSortMap9.xml><?xml version="1.0" encoding="utf-8"?>
<worksheetSortMap xmlns="http://schemas.microsoft.com/office/excel/2006/main">
  <rowSortMap ref="A8:XFD12" count="4">
    <row newVal="7" oldVal="11"/>
    <row newVal="9" oldVal="10"/>
    <row newVal="10" oldVal="7"/>
    <row newVal="11" oldVal="9"/>
  </rowSortMap>
</worksheetSortMap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31</vt:i4>
      </vt:variant>
    </vt:vector>
  </HeadingPairs>
  <TitlesOfParts>
    <vt:vector size="6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AVasques</dc:creator>
  <cp:lastModifiedBy>Dive Centre Office</cp:lastModifiedBy>
  <cp:lastPrinted>2026-05-06T10:42:10Z</cp:lastPrinted>
  <dcterms:created xsi:type="dcterms:W3CDTF">2019-01-14T08:48:29Z</dcterms:created>
  <dcterms:modified xsi:type="dcterms:W3CDTF">2026-05-15T05:01:46Z</dcterms:modified>
</cp:coreProperties>
</file>