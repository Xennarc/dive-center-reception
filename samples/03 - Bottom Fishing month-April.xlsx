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8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30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BOOKINGS\2026\04- April\"/>
    </mc:Choice>
  </mc:AlternateContent>
  <bookViews>
    <workbookView xWindow="0" yWindow="0" windowWidth="23040" windowHeight="9072" activeTab="13"/>
  </bookViews>
  <sheets>
    <sheet name="2" sheetId="1" r:id="rId1"/>
    <sheet name="3" sheetId="2" r:id="rId2"/>
    <sheet name="4" sheetId="3" r:id="rId3"/>
    <sheet name="7" sheetId="4" r:id="rId4"/>
    <sheet name="9" sheetId="5" r:id="rId5"/>
    <sheet name="11" sheetId="6" r:id="rId6"/>
    <sheet name="14" sheetId="7" r:id="rId7"/>
    <sheet name="16" sheetId="8" r:id="rId8"/>
    <sheet name="18" sheetId="9" r:id="rId9"/>
    <sheet name="21" sheetId="10" r:id="rId10"/>
    <sheet name="23" sheetId="11" r:id="rId11"/>
    <sheet name="25" sheetId="12" r:id="rId12"/>
    <sheet name="28" sheetId="13" r:id="rId13"/>
    <sheet name="30" sheetId="14" r:id="rId14"/>
  </sheets>
  <definedNames>
    <definedName name="_xlnm.Print_Area" localSheetId="5">'11'!$A$1:$J$32</definedName>
    <definedName name="_xlnm.Print_Area" localSheetId="6">'14'!$A$1:$J$32</definedName>
    <definedName name="_xlnm.Print_Area" localSheetId="7">'16'!$A$1:$J$32</definedName>
    <definedName name="_xlnm.Print_Area" localSheetId="8">'18'!$A$1:$J$32</definedName>
    <definedName name="_xlnm.Print_Area" localSheetId="0">'2'!$A$1:$J$32</definedName>
    <definedName name="_xlnm.Print_Area" localSheetId="9">'21'!$A$1:$J$32</definedName>
    <definedName name="_xlnm.Print_Area" localSheetId="10">'23'!$A$1:$J$32</definedName>
    <definedName name="_xlnm.Print_Area" localSheetId="11">'25'!$A$1:$J$32</definedName>
    <definedName name="_xlnm.Print_Area" localSheetId="12">'28'!$A$1:$J$32</definedName>
    <definedName name="_xlnm.Print_Area" localSheetId="1">'3'!$A$1:$J$32</definedName>
    <definedName name="_xlnm.Print_Area" localSheetId="13">'30'!$A$1:$J$32</definedName>
    <definedName name="_xlnm.Print_Area" localSheetId="2">'4'!$A$1:$J$32</definedName>
    <definedName name="_xlnm.Print_Area" localSheetId="3">'7'!$A$1:$J$32</definedName>
    <definedName name="_xlnm.Print_Area" localSheetId="4">'9'!$A$1:$J$32</definedName>
    <definedName name="Z_A46F1B63_ED5A_4399_85A9_B34AF5ABBB0C_.wvu.PrintArea" localSheetId="5" hidden="1">'11'!$A$1:$J$32</definedName>
    <definedName name="Z_A46F1B63_ED5A_4399_85A9_B34AF5ABBB0C_.wvu.PrintArea" localSheetId="6" hidden="1">'14'!$A$1:$J$32</definedName>
    <definedName name="Z_A46F1B63_ED5A_4399_85A9_B34AF5ABBB0C_.wvu.PrintArea" localSheetId="7" hidden="1">'16'!$A$1:$J$32</definedName>
    <definedName name="Z_A46F1B63_ED5A_4399_85A9_B34AF5ABBB0C_.wvu.PrintArea" localSheetId="8" hidden="1">'18'!$A$1:$J$32</definedName>
    <definedName name="Z_A46F1B63_ED5A_4399_85A9_B34AF5ABBB0C_.wvu.PrintArea" localSheetId="0" hidden="1">'2'!$A$1:$J$32</definedName>
    <definedName name="Z_A46F1B63_ED5A_4399_85A9_B34AF5ABBB0C_.wvu.PrintArea" localSheetId="9" hidden="1">'21'!$A$1:$J$32</definedName>
    <definedName name="Z_A46F1B63_ED5A_4399_85A9_B34AF5ABBB0C_.wvu.PrintArea" localSheetId="10" hidden="1">'23'!$A$1:$J$32</definedName>
    <definedName name="Z_A46F1B63_ED5A_4399_85A9_B34AF5ABBB0C_.wvu.PrintArea" localSheetId="11" hidden="1">'25'!$A$1:$J$32</definedName>
    <definedName name="Z_A46F1B63_ED5A_4399_85A9_B34AF5ABBB0C_.wvu.PrintArea" localSheetId="12" hidden="1">'28'!$A$1:$J$32</definedName>
    <definedName name="Z_A46F1B63_ED5A_4399_85A9_B34AF5ABBB0C_.wvu.PrintArea" localSheetId="1" hidden="1">'3'!$A$1:$J$32</definedName>
    <definedName name="Z_A46F1B63_ED5A_4399_85A9_B34AF5ABBB0C_.wvu.PrintArea" localSheetId="13" hidden="1">'30'!$A$1:$J$32</definedName>
    <definedName name="Z_A46F1B63_ED5A_4399_85A9_B34AF5ABBB0C_.wvu.PrintArea" localSheetId="2" hidden="1">'4'!$A$1:$J$32</definedName>
    <definedName name="Z_A46F1B63_ED5A_4399_85A9_B34AF5ABBB0C_.wvu.PrintArea" localSheetId="3" hidden="1">'7'!$A$1:$J$32</definedName>
    <definedName name="Z_A46F1B63_ED5A_4399_85A9_B34AF5ABBB0C_.wvu.PrintArea" localSheetId="4" hidden="1">'9'!$A$1:$J$32</definedName>
    <definedName name="Z_C09A3046_0EA5_410D_A18C_0F3029D3DB37_.wvu.PrintArea" localSheetId="5" hidden="1">'11'!$A$1:$J$32</definedName>
    <definedName name="Z_C09A3046_0EA5_410D_A18C_0F3029D3DB37_.wvu.PrintArea" localSheetId="6" hidden="1">'14'!$A$1:$J$32</definedName>
    <definedName name="Z_C09A3046_0EA5_410D_A18C_0F3029D3DB37_.wvu.PrintArea" localSheetId="7" hidden="1">'16'!$A$1:$J$32</definedName>
    <definedName name="Z_C09A3046_0EA5_410D_A18C_0F3029D3DB37_.wvu.PrintArea" localSheetId="8" hidden="1">'18'!$A$1:$J$32</definedName>
    <definedName name="Z_C09A3046_0EA5_410D_A18C_0F3029D3DB37_.wvu.PrintArea" localSheetId="0" hidden="1">'2'!$A$1:$J$32</definedName>
    <definedName name="Z_C09A3046_0EA5_410D_A18C_0F3029D3DB37_.wvu.PrintArea" localSheetId="9" hidden="1">'21'!$A$1:$J$32</definedName>
    <definedName name="Z_C09A3046_0EA5_410D_A18C_0F3029D3DB37_.wvu.PrintArea" localSheetId="10" hidden="1">'23'!$A$1:$J$32</definedName>
    <definedName name="Z_C09A3046_0EA5_410D_A18C_0F3029D3DB37_.wvu.PrintArea" localSheetId="11" hidden="1">'25'!$A$1:$J$32</definedName>
    <definedName name="Z_C09A3046_0EA5_410D_A18C_0F3029D3DB37_.wvu.PrintArea" localSheetId="12" hidden="1">'28'!$A$1:$J$32</definedName>
    <definedName name="Z_C09A3046_0EA5_410D_A18C_0F3029D3DB37_.wvu.PrintArea" localSheetId="1" hidden="1">'3'!$A$1:$J$32</definedName>
    <definedName name="Z_C09A3046_0EA5_410D_A18C_0F3029D3DB37_.wvu.PrintArea" localSheetId="13" hidden="1">'30'!$A$1:$J$32</definedName>
    <definedName name="Z_C09A3046_0EA5_410D_A18C_0F3029D3DB37_.wvu.PrintArea" localSheetId="2" hidden="1">'4'!$A$1:$J$32</definedName>
    <definedName name="Z_C09A3046_0EA5_410D_A18C_0F3029D3DB37_.wvu.PrintArea" localSheetId="3" hidden="1">'7'!$A$1:$J$32</definedName>
    <definedName name="Z_C09A3046_0EA5_410D_A18C_0F3029D3DB37_.wvu.PrintArea" localSheetId="4" hidden="1">'9'!$A$1:$J$32</definedName>
    <definedName name="Z_EB5AF4DB_FF30_466E_9AB7_B9508507F017_.wvu.PrintArea" localSheetId="5" hidden="1">'11'!$A$1:$J$32</definedName>
    <definedName name="Z_EB5AF4DB_FF30_466E_9AB7_B9508507F017_.wvu.PrintArea" localSheetId="6" hidden="1">'14'!$A$1:$J$32</definedName>
    <definedName name="Z_EB5AF4DB_FF30_466E_9AB7_B9508507F017_.wvu.PrintArea" localSheetId="7" hidden="1">'16'!$A$1:$J$32</definedName>
    <definedName name="Z_EB5AF4DB_FF30_466E_9AB7_B9508507F017_.wvu.PrintArea" localSheetId="8" hidden="1">'18'!$A$1:$J$32</definedName>
    <definedName name="Z_EB5AF4DB_FF30_466E_9AB7_B9508507F017_.wvu.PrintArea" localSheetId="0" hidden="1">'2'!$A$1:$J$32</definedName>
    <definedName name="Z_EB5AF4DB_FF30_466E_9AB7_B9508507F017_.wvu.PrintArea" localSheetId="9" hidden="1">'21'!$A$1:$J$32</definedName>
    <definedName name="Z_EB5AF4DB_FF30_466E_9AB7_B9508507F017_.wvu.PrintArea" localSheetId="10" hidden="1">'23'!$A$1:$J$32</definedName>
    <definedName name="Z_EB5AF4DB_FF30_466E_9AB7_B9508507F017_.wvu.PrintArea" localSheetId="11" hidden="1">'25'!$A$1:$J$32</definedName>
    <definedName name="Z_EB5AF4DB_FF30_466E_9AB7_B9508507F017_.wvu.PrintArea" localSheetId="12" hidden="1">'28'!$A$1:$J$32</definedName>
    <definedName name="Z_EB5AF4DB_FF30_466E_9AB7_B9508507F017_.wvu.PrintArea" localSheetId="1" hidden="1">'3'!$A$1:$J$32</definedName>
    <definedName name="Z_EB5AF4DB_FF30_466E_9AB7_B9508507F017_.wvu.PrintArea" localSheetId="13" hidden="1">'30'!$A$1:$J$32</definedName>
    <definedName name="Z_EB5AF4DB_FF30_466E_9AB7_B9508507F017_.wvu.PrintArea" localSheetId="2" hidden="1">'4'!$A$1:$J$32</definedName>
    <definedName name="Z_EB5AF4DB_FF30_466E_9AB7_B9508507F017_.wvu.PrintArea" localSheetId="3" hidden="1">'7'!$A$1:$J$32</definedName>
    <definedName name="Z_EB5AF4DB_FF30_466E_9AB7_B9508507F017_.wvu.PrintArea" localSheetId="4" hidden="1">'9'!$A$1:$J$32</definedName>
  </definedNames>
  <calcPr calcId="162913" calcOnSave="0"/>
  <customWorkbookViews>
    <customWorkbookView name="Dhigurah Water Sports - Personal View" guid="{A46F1B63-ED5A-4399-85A9-B34AF5ABBB0C}" mergeInterval="0" personalView="1" maximized="1" xWindow="-8" yWindow="-8" windowWidth="1382" windowHeight="736" activeSheetId="3"/>
    <customWorkbookView name="Assistant DiveCenter Manager - Personal View" guid="{EB5AF4DB-FF30-466E-9AB7-B9508507F017}" mergeInterval="0" personalView="1" maximized="1" xWindow="-9" yWindow="-9" windowWidth="1938" windowHeight="1038" activeSheetId="1"/>
    <customWorkbookView name="Dive Centre Office - Personal View" guid="{C09A3046-0EA5-410D-A18C-0F3029D3DB37}" mergeInterval="0" personalView="1" maximized="1" xWindow="-9" yWindow="-9" windowWidth="1938" windowHeight="1038" activeSheetId="1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8" i="2" l="1"/>
  <c r="E18" i="2"/>
  <c r="K17" i="2"/>
  <c r="K16" i="2"/>
  <c r="K15" i="2"/>
  <c r="K14" i="2"/>
  <c r="K13" i="2"/>
  <c r="K12" i="2"/>
  <c r="K11" i="2"/>
  <c r="K10" i="2"/>
  <c r="K9" i="2"/>
  <c r="K8" i="2"/>
  <c r="J6" i="2"/>
  <c r="J6" i="14" l="1"/>
  <c r="J6" i="13"/>
  <c r="J6" i="12"/>
  <c r="J6" i="11"/>
  <c r="J6" i="10"/>
  <c r="J6" i="9"/>
  <c r="J6" i="8"/>
  <c r="J6" i="7"/>
  <c r="J6" i="6"/>
  <c r="J6" i="5"/>
  <c r="J6" i="4"/>
  <c r="J6" i="3"/>
  <c r="J6" i="1"/>
  <c r="K17" i="4" l="1"/>
  <c r="K16" i="4"/>
  <c r="K15" i="4"/>
  <c r="K14" i="4"/>
  <c r="K13" i="4"/>
  <c r="K12" i="4"/>
  <c r="K11" i="4"/>
  <c r="K10" i="4"/>
  <c r="K9" i="4"/>
  <c r="K16" i="14"/>
  <c r="K15" i="14"/>
  <c r="K14" i="14"/>
  <c r="K13" i="14"/>
  <c r="K12" i="14"/>
  <c r="K11" i="14"/>
  <c r="K10" i="14"/>
  <c r="K9" i="14"/>
  <c r="K17" i="13"/>
  <c r="K16" i="13"/>
  <c r="K15" i="13"/>
  <c r="K14" i="13"/>
  <c r="K13" i="13"/>
  <c r="K12" i="13"/>
  <c r="K11" i="13"/>
  <c r="K10" i="13"/>
  <c r="K9" i="13"/>
  <c r="K8" i="13"/>
  <c r="K17" i="12"/>
  <c r="K16" i="12"/>
  <c r="K15" i="12"/>
  <c r="K14" i="12"/>
  <c r="K13" i="12"/>
  <c r="K12" i="12"/>
  <c r="K11" i="12"/>
  <c r="K10" i="12"/>
  <c r="K9" i="12"/>
  <c r="K8" i="12"/>
  <c r="K17" i="11"/>
  <c r="K16" i="11"/>
  <c r="K15" i="11"/>
  <c r="K14" i="11"/>
  <c r="K13" i="11"/>
  <c r="K12" i="11"/>
  <c r="K11" i="11"/>
  <c r="K10" i="11"/>
  <c r="K9" i="11"/>
  <c r="K8" i="11"/>
  <c r="K17" i="10"/>
  <c r="K16" i="10"/>
  <c r="K15" i="10"/>
  <c r="K14" i="10"/>
  <c r="K13" i="10"/>
  <c r="K12" i="10"/>
  <c r="K11" i="10"/>
  <c r="K10" i="10"/>
  <c r="K9" i="10"/>
  <c r="K8" i="10"/>
  <c r="K17" i="9"/>
  <c r="K16" i="9"/>
  <c r="K15" i="9"/>
  <c r="K14" i="9"/>
  <c r="K13" i="9"/>
  <c r="K12" i="9"/>
  <c r="K11" i="9"/>
  <c r="K10" i="9"/>
  <c r="K9" i="9"/>
  <c r="K8" i="9"/>
  <c r="K17" i="8"/>
  <c r="K16" i="8"/>
  <c r="K15" i="8"/>
  <c r="K14" i="8"/>
  <c r="K13" i="8"/>
  <c r="K12" i="8"/>
  <c r="K11" i="8"/>
  <c r="K10" i="8"/>
  <c r="K9" i="8"/>
  <c r="K8" i="8"/>
  <c r="K17" i="7"/>
  <c r="K16" i="7"/>
  <c r="K15" i="7"/>
  <c r="K14" i="7"/>
  <c r="K13" i="7"/>
  <c r="K12" i="7"/>
  <c r="K11" i="7"/>
  <c r="K10" i="7"/>
  <c r="K9" i="7"/>
  <c r="K8" i="7"/>
  <c r="K17" i="6"/>
  <c r="K16" i="6"/>
  <c r="K15" i="6"/>
  <c r="K14" i="6"/>
  <c r="K13" i="6"/>
  <c r="K12" i="6"/>
  <c r="K11" i="6"/>
  <c r="K10" i="6"/>
  <c r="K9" i="6"/>
  <c r="K8" i="6"/>
  <c r="K17" i="5"/>
  <c r="K16" i="5"/>
  <c r="K15" i="5"/>
  <c r="K14" i="5"/>
  <c r="K13" i="5"/>
  <c r="K12" i="5"/>
  <c r="K11" i="5"/>
  <c r="K10" i="5"/>
  <c r="K9" i="5"/>
  <c r="K8" i="5"/>
  <c r="K17" i="3"/>
  <c r="K16" i="3"/>
  <c r="K15" i="3"/>
  <c r="K14" i="3"/>
  <c r="K13" i="3"/>
  <c r="K12" i="3"/>
  <c r="K11" i="3"/>
  <c r="K10" i="3"/>
  <c r="K9" i="3"/>
  <c r="K8" i="3"/>
  <c r="K10" i="1"/>
  <c r="K11" i="1"/>
  <c r="K12" i="1"/>
  <c r="K13" i="1"/>
  <c r="K14" i="1"/>
  <c r="K15" i="1"/>
  <c r="F18" i="3" l="1"/>
  <c r="F18" i="4"/>
  <c r="F18" i="5"/>
  <c r="F18" i="6"/>
  <c r="F18" i="7"/>
  <c r="F18" i="8"/>
  <c r="F18" i="9"/>
  <c r="F18" i="10"/>
  <c r="F18" i="11"/>
  <c r="F18" i="12"/>
  <c r="F18" i="13"/>
  <c r="F18" i="14"/>
  <c r="F18" i="1"/>
  <c r="E18" i="3"/>
  <c r="E18" i="4"/>
  <c r="E18" i="5"/>
  <c r="E18" i="6"/>
  <c r="E18" i="7"/>
  <c r="E18" i="8"/>
  <c r="E18" i="9"/>
  <c r="E18" i="10"/>
  <c r="E18" i="11"/>
  <c r="E18" i="12"/>
  <c r="E18" i="13"/>
  <c r="E18" i="14"/>
  <c r="E18" i="1"/>
  <c r="K8" i="4" l="1"/>
  <c r="K8" i="14" l="1"/>
  <c r="K17" i="14"/>
  <c r="K16" i="1"/>
  <c r="K17" i="1"/>
  <c r="K8" i="1"/>
  <c r="K9" i="1"/>
</calcChain>
</file>

<file path=xl/sharedStrings.xml><?xml version="1.0" encoding="utf-8"?>
<sst xmlns="http://schemas.openxmlformats.org/spreadsheetml/2006/main" count="358" uniqueCount="49">
  <si>
    <t xml:space="preserve">Note :  we require a booking  of 4 guests minimum </t>
  </si>
  <si>
    <t>Room No:</t>
  </si>
  <si>
    <t>Guest Name</t>
  </si>
  <si>
    <t>Liability</t>
  </si>
  <si>
    <t>Bill No:</t>
  </si>
  <si>
    <t>Staff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</si>
  <si>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General Policies </t>
    </r>
  </si>
  <si>
    <t xml:space="preserve">All prices are per person, in US $ and subject to 10% Service Charge and 12% GST </t>
  </si>
  <si>
    <t xml:space="preserve">All activity programs are subject to weather conditions and might be cancelled on short notice </t>
  </si>
  <si>
    <t xml:space="preserve">It is mandatory to complete a liability release and to wear a life vest for all water based activities </t>
  </si>
  <si>
    <t xml:space="preserve">We reserve the right to cancel any activities or excursion at any given time </t>
  </si>
  <si>
    <t xml:space="preserve">Any lost or damaged equipment will be charged </t>
  </si>
  <si>
    <t xml:space="preserve">Sunset Activities: Please make your booking latest the same day before 12 O'clock </t>
  </si>
  <si>
    <t xml:space="preserve">Please note the following cancellation fees:  </t>
  </si>
  <si>
    <t xml:space="preserve"> A cancellation charge of 100% of the activity price will apply for NO SHOW. </t>
  </si>
  <si>
    <t xml:space="preserve"> Thank you for your understanding </t>
  </si>
  <si>
    <t>Departure Date</t>
  </si>
  <si>
    <t>Adults</t>
  </si>
  <si>
    <t>Child</t>
  </si>
  <si>
    <t>Remarks</t>
  </si>
  <si>
    <t>TOTAL</t>
  </si>
  <si>
    <t>Date:</t>
  </si>
  <si>
    <t>BOTTOM LINE FISHING (MAX 08 PAX)  USD$70++ PP  17:30 TO 19:00</t>
  </si>
  <si>
    <t>Peng Liu</t>
  </si>
  <si>
    <t>Tarush</t>
  </si>
  <si>
    <t>Aiperi/Tarush</t>
  </si>
  <si>
    <t>Rustam Khamidullin</t>
  </si>
  <si>
    <t>Ms. Yu Cheng</t>
  </si>
  <si>
    <t>Allocation</t>
  </si>
  <si>
    <t>673/881</t>
  </si>
  <si>
    <t>cxl5</t>
  </si>
  <si>
    <t>cxl3</t>
  </si>
  <si>
    <t>893/663</t>
  </si>
  <si>
    <t>Maaji</t>
  </si>
  <si>
    <t>Michael Jetson</t>
  </si>
  <si>
    <t>BOOKING CLOSED</t>
  </si>
  <si>
    <t>Siqi Chen</t>
  </si>
  <si>
    <t>Carl Duckworth</t>
  </si>
  <si>
    <t>Rahil</t>
  </si>
  <si>
    <t>CLx2</t>
  </si>
  <si>
    <t>Aneem</t>
  </si>
  <si>
    <t>Aleksei Gavaev</t>
  </si>
  <si>
    <t>667/806</t>
  </si>
  <si>
    <t>Lorenzo/Rahil</t>
  </si>
  <si>
    <t>Meryem Senhaji</t>
  </si>
  <si>
    <t>CXL2</t>
  </si>
  <si>
    <t>Aiper/Faiha</t>
  </si>
  <si>
    <t>SONG YUHUI / MR</t>
  </si>
  <si>
    <t>Stepan Popov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</si>
</sst>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</font>
    <font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0" xfId="0" applyFont="1" applyFill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Fill="1"/>
    <xf numFmtId="0" fontId="3" fillId="0" borderId="0" xfId="0" applyFont="1" applyBorder="1"/>
    <xf numFmtId="0" fontId="0" fillId="0" borderId="0" xfId="0" applyFont="1"/>
    <xf numFmtId="0" fontId="6" fillId="0" borderId="0" xfId="0" applyFont="1"/>
    <xf numFmtId="0" fontId="6" fillId="0" borderId="0" xfId="0" applyFont="1" applyFill="1"/>
    <xf numFmtId="0" fontId="2" fillId="0" borderId="0" xfId="0" applyFont="1" applyFill="1" applyBorder="1"/>
    <xf numFmtId="0" fontId="2" fillId="0" borderId="0" xfId="0" applyFont="1" applyBorder="1"/>
    <xf numFmtId="0" fontId="7" fillId="2" borderId="0" xfId="0" applyFont="1" applyFill="1"/>
    <xf numFmtId="0" fontId="7" fillId="0" borderId="0" xfId="0" applyFont="1" applyFill="1"/>
    <xf numFmtId="0" fontId="7" fillId="0" borderId="0" xfId="0" applyFont="1" applyFill="1" applyBorder="1"/>
    <xf numFmtId="0" fontId="7" fillId="0" borderId="0" xfId="0" applyFont="1" applyBorder="1"/>
    <xf numFmtId="0" fontId="8" fillId="2" borderId="0" xfId="0" applyFont="1" applyFill="1"/>
    <xf numFmtId="0" fontId="8" fillId="0" borderId="0" xfId="0" applyFont="1"/>
    <xf numFmtId="0" fontId="8" fillId="0" borderId="0" xfId="0" applyFont="1" applyFill="1"/>
    <xf numFmtId="0" fontId="8" fillId="0" borderId="0" xfId="0" applyFont="1" applyFill="1" applyBorder="1"/>
    <xf numFmtId="0" fontId="8" fillId="0" borderId="0" xfId="0" applyFont="1" applyBorder="1"/>
    <xf numFmtId="0" fontId="9" fillId="0" borderId="0" xfId="0" applyFont="1" applyFill="1" applyBorder="1"/>
    <xf numFmtId="0" fontId="6" fillId="0" borderId="0" xfId="0" applyFont="1" applyFill="1" applyBorder="1"/>
    <xf numFmtId="0" fontId="0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14" fontId="10" fillId="0" borderId="7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4" fontId="2" fillId="2" borderId="0" xfId="0" applyNumberFormat="1" applyFont="1" applyFill="1" applyAlignment="1"/>
    <xf numFmtId="14" fontId="2" fillId="0" borderId="0" xfId="0" applyNumberFormat="1" applyFont="1" applyFill="1" applyAlignment="1">
      <alignment horizontal="left" indent="14"/>
    </xf>
    <xf numFmtId="14" fontId="2" fillId="0" borderId="0" xfId="0" applyNumberFormat="1" applyFont="1"/>
    <xf numFmtId="14" fontId="3" fillId="0" borderId="0" xfId="0" applyNumberFormat="1" applyFont="1" applyFill="1" applyAlignment="1">
      <alignment horizontal="left"/>
    </xf>
    <xf numFmtId="14" fontId="2" fillId="3" borderId="4" xfId="0" applyNumberFormat="1" applyFont="1" applyFill="1" applyBorder="1" applyAlignment="1">
      <alignment horizontal="center"/>
    </xf>
    <xf numFmtId="14" fontId="11" fillId="0" borderId="0" xfId="0" applyNumberFormat="1" applyFont="1" applyBorder="1" applyAlignment="1">
      <alignment horizontal="center"/>
    </xf>
    <xf numFmtId="14" fontId="6" fillId="0" borderId="0" xfId="0" applyNumberFormat="1" applyFont="1"/>
    <xf numFmtId="14" fontId="0" fillId="0" borderId="0" xfId="0" applyNumberFormat="1" applyFont="1"/>
    <xf numFmtId="14" fontId="7" fillId="2" borderId="0" xfId="0" applyNumberFormat="1" applyFont="1" applyFill="1"/>
    <xf numFmtId="14" fontId="8" fillId="2" borderId="0" xfId="0" applyNumberFormat="1" applyFont="1" applyFill="1"/>
    <xf numFmtId="14" fontId="6" fillId="0" borderId="0" xfId="0" applyNumberFormat="1" applyFont="1" applyFill="1" applyBorder="1"/>
    <xf numFmtId="14" fontId="0" fillId="0" borderId="0" xfId="0" applyNumberFormat="1" applyFont="1" applyFill="1" applyBorder="1"/>
    <xf numFmtId="14" fontId="2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14" fontId="10" fillId="0" borderId="9" xfId="0" applyNumberFormat="1" applyFont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left"/>
    </xf>
    <xf numFmtId="14" fontId="2" fillId="3" borderId="11" xfId="0" applyNumberFormat="1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12" fillId="0" borderId="0" xfId="0" applyFont="1"/>
    <xf numFmtId="0" fontId="2" fillId="3" borderId="13" xfId="0" applyFont="1" applyFill="1" applyBorder="1" applyAlignment="1">
      <alignment horizontal="center"/>
    </xf>
    <xf numFmtId="14" fontId="2" fillId="3" borderId="13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left"/>
    </xf>
    <xf numFmtId="0" fontId="13" fillId="0" borderId="13" xfId="0" applyFont="1" applyBorder="1" applyAlignment="1">
      <alignment horizontal="center" vertical="center"/>
    </xf>
    <xf numFmtId="14" fontId="13" fillId="3" borderId="13" xfId="0" applyNumberFormat="1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8" xfId="0" applyFon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usernames" Target="revisions/userNames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revisionHeaders" Target="revisions/revisionHeader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3AE141-BAC6-404D-9F9A-2C6B70312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0B892C-A614-42A6-A9D0-2E0A0849D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0C766-BA27-4ABC-94E9-3EC56BB65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3540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803FDE-4882-4178-8476-8D4126E8C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1830" y="0"/>
          <a:ext cx="1323975" cy="10008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0C766-BA27-4ABC-94E9-3EC56BB65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803FDE-4882-4178-8476-8D4126E8C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9DFE81-C559-4F47-AEB0-9660D5B30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3CD019-431A-4EA9-BD0D-797BCDAF4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A30128-2152-49C5-95FF-BC6150BEA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81B9BE-103C-402D-AC42-4389F565D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E3BAAF-CF6D-4BC1-9B90-500C877E1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EA80CE-C21A-44A6-A077-7BF7D965B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91858C-5DBF-4ADC-B26A-EC88E786B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939BEF-4B9B-4A92-9CA5-3EC9D518F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044117-D6FD-424C-95A0-75948E9A2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61909D-BE5A-4EFC-A9BD-F8C01E751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D3CDA1-806C-414F-81D5-B583827AA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EEF76A-E5B7-4A3A-956B-190681E21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034B3D-D076-4E8C-8287-1B201891A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770EBF-66D2-4089-BFD6-863EF97A8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9B0239-DBB8-49C0-BB7A-1ED059BB9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33A89F-7A45-44DF-BC8F-A430E423E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F655C9-3268-4CFF-8EF3-E1A676107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D91839-333F-49D2-B282-4361BCC8B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7F6CE6-5AB9-46BB-AB51-05E616CE6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39DCCA-DEC4-427E-86D5-D5A5C0A16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49530</xdr:rowOff>
    </xdr:from>
    <xdr:to>
      <xdr:col>2</xdr:col>
      <xdr:colOff>390525</xdr:colOff>
      <xdr:row>3</xdr:row>
      <xdr:rowOff>228214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2BF38C-5409-405A-96E7-BB7D4403B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49530"/>
          <a:ext cx="1343025" cy="864484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0</xdr:row>
      <xdr:rowOff>0</xdr:rowOff>
    </xdr:from>
    <xdr:to>
      <xdr:col>8</xdr:col>
      <xdr:colOff>1020445</xdr:colOff>
      <xdr:row>4</xdr:row>
      <xdr:rowOff>86487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2EA98C-F410-4BAC-A586-B523F813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7070" y="0"/>
          <a:ext cx="1323975" cy="1000887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26" Type="http://schemas.openxmlformats.org/officeDocument/2006/relationships/revisionLog" Target="revisionLog26.xml"/><Relationship Id="rId3" Type="http://schemas.openxmlformats.org/officeDocument/2006/relationships/revisionLog" Target="revisionLog3.xml"/><Relationship Id="rId21" Type="http://schemas.openxmlformats.org/officeDocument/2006/relationships/revisionLog" Target="revisionLog21.xml"/><Relationship Id="rId7" Type="http://schemas.openxmlformats.org/officeDocument/2006/relationships/revisionLog" Target="revisionLog7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25" Type="http://schemas.openxmlformats.org/officeDocument/2006/relationships/revisionLog" Target="revisionLog25.xml"/><Relationship Id="rId2" Type="http://schemas.openxmlformats.org/officeDocument/2006/relationships/revisionLog" Target="revisionLog2.xml"/><Relationship Id="rId16" Type="http://schemas.openxmlformats.org/officeDocument/2006/relationships/revisionLog" Target="revisionLog16.xml"/><Relationship Id="rId20" Type="http://schemas.openxmlformats.org/officeDocument/2006/relationships/revisionLog" Target="revisionLog20.xml"/><Relationship Id="rId29" Type="http://schemas.openxmlformats.org/officeDocument/2006/relationships/revisionLog" Target="revisionLog29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24" Type="http://schemas.openxmlformats.org/officeDocument/2006/relationships/revisionLog" Target="revisionLog24.xml"/><Relationship Id="rId32" Type="http://schemas.openxmlformats.org/officeDocument/2006/relationships/revisionLog" Target="revisionLog32.xml"/><Relationship Id="rId5" Type="http://schemas.openxmlformats.org/officeDocument/2006/relationships/revisionLog" Target="revisionLog5.xml"/><Relationship Id="rId15" Type="http://schemas.openxmlformats.org/officeDocument/2006/relationships/revisionLog" Target="revisionLog15.xml"/><Relationship Id="rId23" Type="http://schemas.openxmlformats.org/officeDocument/2006/relationships/revisionLog" Target="revisionLog23.xml"/><Relationship Id="rId28" Type="http://schemas.openxmlformats.org/officeDocument/2006/relationships/revisionLog" Target="revisionLog28.xml"/><Relationship Id="rId10" Type="http://schemas.openxmlformats.org/officeDocument/2006/relationships/revisionLog" Target="revisionLog10.xml"/><Relationship Id="rId19" Type="http://schemas.openxmlformats.org/officeDocument/2006/relationships/revisionLog" Target="revisionLog19.xml"/><Relationship Id="rId31" Type="http://schemas.openxmlformats.org/officeDocument/2006/relationships/revisionLog" Target="revisionLog31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4" Type="http://schemas.openxmlformats.org/officeDocument/2006/relationships/revisionLog" Target="revisionLog14.xml"/><Relationship Id="rId22" Type="http://schemas.openxmlformats.org/officeDocument/2006/relationships/revisionLog" Target="revisionLog22.xml"/><Relationship Id="rId27" Type="http://schemas.openxmlformats.org/officeDocument/2006/relationships/revisionLog" Target="revisionLog27.xml"/><Relationship Id="rId30" Type="http://schemas.openxmlformats.org/officeDocument/2006/relationships/revisionLog" Target="revisionLog30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A6507F58-936F-4693-9913-5ED1C75AFBC7}" diskRevisions="1" revisionId="177" version="32">
  <header guid="{FC581771-6B91-48BC-89EE-F4B3C46E2819}" dateTime="2026-04-02T14:41:25" maxSheetId="15" userName="Dive Centre Office" r:id="rId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C4BA672F-A878-45B5-899E-8AD6A9E3A004}" dateTime="2026-04-02T16:39:29" maxSheetId="15" userName="Dive Centre Office" r:id="rId2" minRId="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243EB824-E79C-44ED-91EB-69101E4F2468}" dateTime="2026-04-02T16:39:55" maxSheetId="15" userName="Dive Centre Office" r:id="rId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298475C5-9951-45A1-BF56-1C317A1C7A8C}" dateTime="2026-04-02T17:12:36" maxSheetId="15" userName="Dive Centre Office" r:id="rId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789B6FE8-B064-4EED-81B1-6C6A1B7BAA33}" dateTime="2026-04-03T11:43:34" maxSheetId="15" userName="Dhigurah Water Sports" r:id="rId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BE9D150D-0E99-4F00-A380-248122F59AD8}" dateTime="2026-04-03T14:45:10" maxSheetId="15" userName="Dive Centre Office" r:id="rId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BA920ECB-D334-4332-8A6C-F267644D0F7D}" dateTime="2026-04-03T17:21:22" maxSheetId="15" userName="Dive Centre Office" r:id="rId7" minRId="30" maxRId="3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FFC6EC93-ABD5-4A03-A132-97A4D153335D}" dateTime="2026-04-03T17:31:20" maxSheetId="15" userName="Dive Centre Office" r:id="rId8" minRId="32" maxRId="3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2D960A34-0BFF-47AD-A274-8F5FA4A6ED3F}" dateTime="2026-04-08T09:45:45" maxSheetId="15" userName="Dive Centre Office" r:id="rId9" minRId="38" maxRId="4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2266B524-D921-4802-BA86-7BA01468D375}" dateTime="2026-04-08T10:53:00" maxSheetId="15" userName="Dive Centre Office" r:id="rId10" minRId="5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B19A0210-32D6-4966-BF24-381FB7D22A2A}" dateTime="2026-04-08T13:41:43" maxSheetId="15" userName="Dive Centre Office" r:id="rId11" minRId="59" maxRId="6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F4DF3779-B743-494A-B0F2-18C781F65182}" dateTime="2026-04-09T11:19:19" maxSheetId="15" userName="Dive Centre Office" r:id="rId12" minRId="64" maxRId="6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34C98D7A-7FF7-4F39-9FF8-EE777D0A915C}" dateTime="2026-04-09T16:01:11" maxSheetId="15" userName="Dive Centre Office" r:id="rId13" minRId="7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5ECF07AD-6730-437C-928F-F7501FDB5007}" dateTime="2026-04-11T11:10:53" maxSheetId="15" userName="Dive Centre Office" r:id="rId14" minRId="71" maxRId="7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5B6EB259-89E2-4A4B-BA58-03CF0F363FAB}" dateTime="2026-04-11T14:56:17" maxSheetId="15" userName="Dive Centre Office" r:id="rId15" minRId="90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6A3C3CDA-7166-4A9A-A302-896720F955C0}" dateTime="2026-04-11T17:18:09" maxSheetId="15" userName="Dive Centre Office" r:id="rId16" minRId="9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B5D19075-CB56-444C-83A9-BD2DDE9DBAF3}" dateTime="2026-04-14T10:46:05" maxSheetId="15" userName="Dive Centre Office" r:id="rId17" minRId="92" maxRId="96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895AF599-A0A2-4EEC-B74E-3CF224F59811}" dateTime="2026-04-14T11:00:58" maxSheetId="15" userName="Dive Centre Office" r:id="rId18" minRId="9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DBE6694B-195F-4E49-B9A8-CF2EFB2B6273}" dateTime="2026-04-15T13:11:06" maxSheetId="15" userName="Dhigurah Water Sports" r:id="rId19" minRId="9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CCF0BCF7-3CFB-4759-AD45-1613B53443AA}" dateTime="2026-04-16T10:54:38" maxSheetId="15" userName="Dive Centre Office" r:id="rId20" minRId="9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D7D1005A-76A6-45EB-AC9F-BB11DFABF5EA}" dateTime="2026-04-17T08:41:57" maxSheetId="15" userName="Dive Centre Office" r:id="rId21" minRId="11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24A7ED71-E822-4F10-B2F7-CC2D0A2507F4}" dateTime="2026-04-20T09:15:02" maxSheetId="15" userName="Dhigurah Water Sports" r:id="rId22" minRId="11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02E45A37-79B9-4C97-A769-449F7009E4FC}" dateTime="2026-04-20T09:21:15" maxSheetId="15" userName="Dhigurah Water Sports" r:id="rId23" minRId="116" maxRId="11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F7801979-54EC-428A-8FE7-8890FF3069B7}" dateTime="2026-04-20T16:39:59" maxSheetId="15" userName="Dhigurah Water Sports" r:id="rId24" minRId="120" maxRId="12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7CBA28A6-2B61-4293-930A-E15B195F730B}" dateTime="2026-04-24T11:02:12" maxSheetId="15" userName="Dive Centre Office" r:id="rId2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09D6BB0B-CFA1-4FF0-929D-1316D9435E9A}" dateTime="2026-04-25T09:43:09" maxSheetId="15" userName="Dive Centre Office" r:id="rId26" minRId="136" maxRId="138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BB02B08B-BE68-4176-9D2E-21FFDA0CE552}" dateTime="2026-04-25T09:50:26" maxSheetId="15" userName="Dive Centre Office" r:id="rId27" minRId="153" maxRId="15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CF2C7885-EA42-4EBD-B80B-14ABE6DF33ED}" dateTime="2026-04-26T16:35:23" maxSheetId="15" userName="Dive Centre Office" r:id="rId28" minRId="155" maxRId="15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40A611AE-FE6E-4152-84FF-FA8AC8199B46}" dateTime="2026-04-26T16:35:38" maxSheetId="15" userName="Dive Centre Office" r:id="rId29" minRId="172" maxRId="173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54D8098F-8959-4A10-883A-4393DDD23FA0}" dateTime="2026-04-28T11:09:39" maxSheetId="15" userName="Dhigurah Water Sports" r:id="rId30" minRId="174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C4B337B8-1796-478C-A4B7-9E9774484E14}" dateTime="2026-04-28T17:16:01" maxSheetId="15" userName="Dive Centre Office" r:id="rId31" minRId="175" maxRId="177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A6507F58-936F-4693-9913-5ED1C75AFBC7}" dateTime="2026-04-29T08:19:26" maxSheetId="15" userName="Dive Centre Office" r:id="rId32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B8">
      <v>893</v>
    </oc>
    <nc r="B8" t="inlineStr">
      <is>
        <t>893/663</t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8">
    <dxf>
      <fill>
        <patternFill>
          <bgColor rgb="FFFFFF00"/>
        </patternFill>
      </fill>
    </dxf>
  </rfmt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9">
    <dxf>
      <fill>
        <patternFill>
          <bgColor rgb="FFFFFF00"/>
        </patternFill>
      </fill>
    </dxf>
  </rfmt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A46F1B63_ED5A_4399_85A9_B34AF5ABBB0C_.wvu.PrintArea" hidden="1" oldHidden="1">
    <formula>'2'!$A$1:$J$32</formula>
  </rdn>
  <rdn rId="0" localSheetId="2" customView="1" name="Z_A46F1B63_ED5A_4399_85A9_B34AF5ABBB0C_.wvu.PrintArea" hidden="1" oldHidden="1">
    <formula>'3'!$A$1:$J$32</formula>
  </rdn>
  <rdn rId="0" localSheetId="3" customView="1" name="Z_A46F1B63_ED5A_4399_85A9_B34AF5ABBB0C_.wvu.PrintArea" hidden="1" oldHidden="1">
    <formula>'4'!$A$1:$J$32</formula>
  </rdn>
  <rdn rId="0" localSheetId="4" customView="1" name="Z_A46F1B63_ED5A_4399_85A9_B34AF5ABBB0C_.wvu.PrintArea" hidden="1" oldHidden="1">
    <formula>'7'!$A$1:$J$32</formula>
  </rdn>
  <rdn rId="0" localSheetId="5" customView="1" name="Z_A46F1B63_ED5A_4399_85A9_B34AF5ABBB0C_.wvu.PrintArea" hidden="1" oldHidden="1">
    <formula>'9'!$A$1:$J$32</formula>
  </rdn>
  <rdn rId="0" localSheetId="6" customView="1" name="Z_A46F1B63_ED5A_4399_85A9_B34AF5ABBB0C_.wvu.PrintArea" hidden="1" oldHidden="1">
    <formula>'11'!$A$1:$J$32</formula>
  </rdn>
  <rdn rId="0" localSheetId="7" customView="1" name="Z_A46F1B63_ED5A_4399_85A9_B34AF5ABBB0C_.wvu.PrintArea" hidden="1" oldHidden="1">
    <formula>'14'!$A$1:$J$32</formula>
  </rdn>
  <rdn rId="0" localSheetId="8" customView="1" name="Z_A46F1B63_ED5A_4399_85A9_B34AF5ABBB0C_.wvu.PrintArea" hidden="1" oldHidden="1">
    <formula>'16'!$A$1:$J$32</formula>
  </rdn>
  <rdn rId="0" localSheetId="9" customView="1" name="Z_A46F1B63_ED5A_4399_85A9_B34AF5ABBB0C_.wvu.PrintArea" hidden="1" oldHidden="1">
    <formula>'18'!$A$1:$J$32</formula>
  </rdn>
  <rdn rId="0" localSheetId="10" customView="1" name="Z_A46F1B63_ED5A_4399_85A9_B34AF5ABBB0C_.wvu.PrintArea" hidden="1" oldHidden="1">
    <formula>'21'!$A$1:$J$32</formula>
  </rdn>
  <rdn rId="0" localSheetId="11" customView="1" name="Z_A46F1B63_ED5A_4399_85A9_B34AF5ABBB0C_.wvu.PrintArea" hidden="1" oldHidden="1">
    <formula>'23'!$A$1:$J$32</formula>
  </rdn>
  <rdn rId="0" localSheetId="12" customView="1" name="Z_A46F1B63_ED5A_4399_85A9_B34AF5ABBB0C_.wvu.PrintArea" hidden="1" oldHidden="1">
    <formula>'25'!$A$1:$J$32</formula>
  </rdn>
  <rdn rId="0" localSheetId="13" customView="1" name="Z_A46F1B63_ED5A_4399_85A9_B34AF5ABBB0C_.wvu.PrintArea" hidden="1" oldHidden="1">
    <formula>'28'!$A$1:$J$32</formula>
  </rdn>
  <rdn rId="0" localSheetId="14" customView="1" name="Z_A46F1B63_ED5A_4399_85A9_B34AF5ABBB0C_.wvu.PrintArea" hidden="1" oldHidden="1">
    <formula>'30'!$A$1:$J$32</formula>
  </rdn>
  <rcv guid="{A46F1B63-ED5A-4399-85A9-B34AF5ABBB0C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C09A3046-0EA5-410D-A18C-0F3029D3DB37}" action="delete"/>
  <rdn rId="0" localSheetId="1" customView="1" name="Z_C09A3046_0EA5_410D_A18C_0F3029D3DB37_.wvu.PrintArea" hidden="1" oldHidden="1">
    <formula>'2'!$A$1:$J$32</formula>
    <oldFormula>'2'!$A$1:$J$32</oldFormula>
  </rdn>
  <rdn rId="0" localSheetId="2" customView="1" name="Z_C09A3046_0EA5_410D_A18C_0F3029D3DB37_.wvu.PrintArea" hidden="1" oldHidden="1">
    <formula>'3'!$A$1:$J$32</formula>
    <oldFormula>'3'!$A$1:$J$32</oldFormula>
  </rdn>
  <rdn rId="0" localSheetId="3" customView="1" name="Z_C09A3046_0EA5_410D_A18C_0F3029D3DB37_.wvu.PrintArea" hidden="1" oldHidden="1">
    <formula>'4'!$A$1:$J$32</formula>
    <oldFormula>'4'!$A$1:$J$32</oldFormula>
  </rdn>
  <rdn rId="0" localSheetId="4" customView="1" name="Z_C09A3046_0EA5_410D_A18C_0F3029D3DB37_.wvu.PrintArea" hidden="1" oldHidden="1">
    <formula>'7'!$A$1:$J$32</formula>
    <oldFormula>'7'!$A$1:$J$32</oldFormula>
  </rdn>
  <rdn rId="0" localSheetId="5" customView="1" name="Z_C09A3046_0EA5_410D_A18C_0F3029D3DB37_.wvu.PrintArea" hidden="1" oldHidden="1">
    <formula>'9'!$A$1:$J$32</formula>
    <oldFormula>'9'!$A$1:$J$32</oldFormula>
  </rdn>
  <rdn rId="0" localSheetId="6" customView="1" name="Z_C09A3046_0EA5_410D_A18C_0F3029D3DB37_.wvu.PrintArea" hidden="1" oldHidden="1">
    <formula>'11'!$A$1:$J$32</formula>
    <oldFormula>'11'!$A$1:$J$32</oldFormula>
  </rdn>
  <rdn rId="0" localSheetId="7" customView="1" name="Z_C09A3046_0EA5_410D_A18C_0F3029D3DB37_.wvu.PrintArea" hidden="1" oldHidden="1">
    <formula>'14'!$A$1:$J$32</formula>
    <oldFormula>'14'!$A$1:$J$32</oldFormula>
  </rdn>
  <rdn rId="0" localSheetId="8" customView="1" name="Z_C09A3046_0EA5_410D_A18C_0F3029D3DB37_.wvu.PrintArea" hidden="1" oldHidden="1">
    <formula>'16'!$A$1:$J$32</formula>
    <oldFormula>'16'!$A$1:$J$32</oldFormula>
  </rdn>
  <rdn rId="0" localSheetId="9" customView="1" name="Z_C09A3046_0EA5_410D_A18C_0F3029D3DB37_.wvu.PrintArea" hidden="1" oldHidden="1">
    <formula>'18'!$A$1:$J$32</formula>
    <oldFormula>'18'!$A$1:$J$32</oldFormula>
  </rdn>
  <rdn rId="0" localSheetId="10" customView="1" name="Z_C09A3046_0EA5_410D_A18C_0F3029D3DB37_.wvu.PrintArea" hidden="1" oldHidden="1">
    <formula>'21'!$A$1:$J$32</formula>
    <oldFormula>'21'!$A$1:$J$32</oldFormula>
  </rdn>
  <rdn rId="0" localSheetId="11" customView="1" name="Z_C09A3046_0EA5_410D_A18C_0F3029D3DB37_.wvu.PrintArea" hidden="1" oldHidden="1">
    <formula>'23'!$A$1:$J$32</formula>
    <oldFormula>'23'!$A$1:$J$32</oldFormula>
  </rdn>
  <rdn rId="0" localSheetId="12" customView="1" name="Z_C09A3046_0EA5_410D_A18C_0F3029D3DB37_.wvu.PrintArea" hidden="1" oldHidden="1">
    <formula>'25'!$A$1:$J$32</formula>
    <oldFormula>'25'!$A$1:$J$32</oldFormula>
  </rdn>
  <rdn rId="0" localSheetId="13" customView="1" name="Z_C09A3046_0EA5_410D_A18C_0F3029D3DB37_.wvu.PrintArea" hidden="1" oldHidden="1">
    <formula>'28'!$A$1:$J$32</formula>
    <oldFormula>'28'!$A$1:$J$32</oldFormula>
  </rdn>
  <rdn rId="0" localSheetId="14" customView="1" name="Z_C09A3046_0EA5_410D_A18C_0F3029D3DB37_.wvu.PrintArea" hidden="1" oldHidden="1">
    <formula>'30'!$A$1:$J$32</formula>
    <oldFormula>'30'!$A$1:$J$32</oldFormula>
  </rdn>
  <rcv guid="{C09A3046-0EA5-410D-A18C-0F3029D3DB37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" sId="2">
    <oc r="B8">
      <v>649</v>
    </oc>
    <nc r="B8">
      <v>659</v>
    </nc>
  </rcc>
  <rcc rId="31" sId="2">
    <oc r="F8">
      <v>3</v>
    </oc>
    <nc r="F8">
      <v>5</v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" sId="2">
    <oc r="E8">
      <v>5</v>
    </oc>
    <nc r="E8">
      <v>4</v>
    </nc>
  </rcc>
  <rcc rId="33" sId="2">
    <oc r="F8">
      <v>5</v>
    </oc>
    <nc r="F8"/>
  </rcc>
  <rcc rId="34" sId="2">
    <nc r="B9">
      <v>681</v>
    </nc>
  </rcc>
  <rcc rId="35" sId="2">
    <nc r="E9">
      <v>3</v>
    </nc>
  </rcc>
  <rcc rId="36" sId="2">
    <nc r="B10">
      <v>652</v>
    </nc>
  </rcc>
  <rcc rId="37" sId="2">
    <nc r="E10">
      <v>3</v>
    </nc>
  </rcc>
  <rfmt sheetId="2" sqref="B8:B10">
    <dxf>
      <fill>
        <patternFill>
          <bgColor rgb="FF92D050"/>
        </patternFill>
      </fill>
    </dxf>
  </rfmt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" sId="6">
    <nc r="B8">
      <v>667</v>
    </nc>
  </rcc>
  <rcc rId="39" sId="6">
    <nc r="E8">
      <v>2</v>
    </nc>
  </rcc>
  <rcc rId="40" sId="6">
    <nc r="F8">
      <v>2</v>
    </nc>
  </rcc>
  <rcc rId="41" sId="6">
    <nc r="J8" t="inlineStr">
      <is>
        <t>Maaji</t>
      </is>
    </nc>
  </rcc>
  <rcc rId="42" sId="6">
    <nc r="C8" t="inlineStr">
      <is>
        <t>Michael Jetson</t>
      </is>
    </nc>
  </rcc>
  <rcc rId="43" sId="6" numFmtId="19">
    <nc r="D8">
      <v>46121</v>
    </nc>
  </rcc>
  <rcv guid="{C09A3046-0EA5-410D-A18C-0F3029D3DB37}" action="delete"/>
  <rdn rId="0" localSheetId="1" customView="1" name="Z_C09A3046_0EA5_410D_A18C_0F3029D3DB37_.wvu.PrintArea" hidden="1" oldHidden="1">
    <formula>'2'!$A$1:$J$32</formula>
    <oldFormula>'2'!$A$1:$J$32</oldFormula>
  </rdn>
  <rdn rId="0" localSheetId="2" customView="1" name="Z_C09A3046_0EA5_410D_A18C_0F3029D3DB37_.wvu.PrintArea" hidden="1" oldHidden="1">
    <formula>'3'!$A$1:$J$32</formula>
    <oldFormula>'3'!$A$1:$J$32</oldFormula>
  </rdn>
  <rdn rId="0" localSheetId="3" customView="1" name="Z_C09A3046_0EA5_410D_A18C_0F3029D3DB37_.wvu.PrintArea" hidden="1" oldHidden="1">
    <formula>'4'!$A$1:$J$32</formula>
    <oldFormula>'4'!$A$1:$J$32</oldFormula>
  </rdn>
  <rdn rId="0" localSheetId="4" customView="1" name="Z_C09A3046_0EA5_410D_A18C_0F3029D3DB37_.wvu.PrintArea" hidden="1" oldHidden="1">
    <formula>'7'!$A$1:$J$32</formula>
    <oldFormula>'7'!$A$1:$J$32</oldFormula>
  </rdn>
  <rdn rId="0" localSheetId="5" customView="1" name="Z_C09A3046_0EA5_410D_A18C_0F3029D3DB37_.wvu.PrintArea" hidden="1" oldHidden="1">
    <formula>'9'!$A$1:$J$32</formula>
    <oldFormula>'9'!$A$1:$J$32</oldFormula>
  </rdn>
  <rdn rId="0" localSheetId="6" customView="1" name="Z_C09A3046_0EA5_410D_A18C_0F3029D3DB37_.wvu.PrintArea" hidden="1" oldHidden="1">
    <formula>'11'!$A$1:$J$32</formula>
    <oldFormula>'11'!$A$1:$J$32</oldFormula>
  </rdn>
  <rdn rId="0" localSheetId="7" customView="1" name="Z_C09A3046_0EA5_410D_A18C_0F3029D3DB37_.wvu.PrintArea" hidden="1" oldHidden="1">
    <formula>'14'!$A$1:$J$32</formula>
    <oldFormula>'14'!$A$1:$J$32</oldFormula>
  </rdn>
  <rdn rId="0" localSheetId="8" customView="1" name="Z_C09A3046_0EA5_410D_A18C_0F3029D3DB37_.wvu.PrintArea" hidden="1" oldHidden="1">
    <formula>'16'!$A$1:$J$32</formula>
    <oldFormula>'16'!$A$1:$J$32</oldFormula>
  </rdn>
  <rdn rId="0" localSheetId="9" customView="1" name="Z_C09A3046_0EA5_410D_A18C_0F3029D3DB37_.wvu.PrintArea" hidden="1" oldHidden="1">
    <formula>'18'!$A$1:$J$32</formula>
    <oldFormula>'18'!$A$1:$J$32</oldFormula>
  </rdn>
  <rdn rId="0" localSheetId="10" customView="1" name="Z_C09A3046_0EA5_410D_A18C_0F3029D3DB37_.wvu.PrintArea" hidden="1" oldHidden="1">
    <formula>'21'!$A$1:$J$32</formula>
    <oldFormula>'21'!$A$1:$J$32</oldFormula>
  </rdn>
  <rdn rId="0" localSheetId="11" customView="1" name="Z_C09A3046_0EA5_410D_A18C_0F3029D3DB37_.wvu.PrintArea" hidden="1" oldHidden="1">
    <formula>'23'!$A$1:$J$32</formula>
    <oldFormula>'23'!$A$1:$J$32</oldFormula>
  </rdn>
  <rdn rId="0" localSheetId="12" customView="1" name="Z_C09A3046_0EA5_410D_A18C_0F3029D3DB37_.wvu.PrintArea" hidden="1" oldHidden="1">
    <formula>'25'!$A$1:$J$32</formula>
    <oldFormula>'25'!$A$1:$J$32</oldFormula>
  </rdn>
  <rdn rId="0" localSheetId="13" customView="1" name="Z_C09A3046_0EA5_410D_A18C_0F3029D3DB37_.wvu.PrintArea" hidden="1" oldHidden="1">
    <formula>'28'!$A$1:$J$32</formula>
    <oldFormula>'28'!$A$1:$J$32</oldFormula>
  </rdn>
  <rdn rId="0" localSheetId="14" customView="1" name="Z_C09A3046_0EA5_410D_A18C_0F3029D3DB37_.wvu.PrintArea" hidden="1" oldHidden="1">
    <formula>'30'!$A$1:$J$32</formula>
    <oldFormula>'30'!$A$1:$J$32</oldFormula>
  </rdn>
  <rcv guid="{C09A3046-0EA5-410D-A18C-0F3029D3DB37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" sId="5">
    <nc r="C8" t="inlineStr">
      <is>
        <t>BOOKING CLOSED</t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C8">
    <dxf>
      <fill>
        <patternFill>
          <bgColor rgb="FFFF0000"/>
        </patternFill>
      </fill>
    </dxf>
  </rfmt>
  <rcc rId="59" sId="5">
    <nc r="B9">
      <v>324</v>
    </nc>
  </rcc>
  <rcc rId="60" sId="5">
    <nc r="E9">
      <v>2</v>
    </nc>
  </rcc>
  <rcc rId="61" sId="5">
    <nc r="J9" t="inlineStr">
      <is>
        <t>Maaji</t>
      </is>
    </nc>
  </rcc>
  <rcc rId="62" sId="5" numFmtId="19">
    <nc r="D9">
      <v>46123</v>
    </nc>
  </rcc>
  <rcc rId="63" sId="5">
    <nc r="C9" t="inlineStr">
      <is>
        <t>Siqi Chen</t>
      </is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" sId="5">
    <nc r="E10">
      <v>2</v>
    </nc>
  </rcc>
  <rcc rId="65" sId="5">
    <nc r="F10">
      <v>1</v>
    </nc>
  </rcc>
  <rcc rId="66" sId="5">
    <nc r="B10">
      <v>816</v>
    </nc>
  </rcc>
  <rcc rId="67" sId="5">
    <nc r="C10" t="inlineStr">
      <is>
        <t>Carl Duckworth</t>
      </is>
    </nc>
  </rcc>
  <rcc rId="68" sId="5" numFmtId="19">
    <nc r="D10">
      <v>46123</v>
    </nc>
  </rcc>
  <rcc rId="69" sId="5">
    <nc r="J10" t="inlineStr">
      <is>
        <t>Rahil</t>
      </is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" sId="5">
    <oc r="E9">
      <v>2</v>
    </oc>
    <nc r="E9" t="inlineStr">
      <is>
        <t>CLx2</t>
      </is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" sId="6">
    <nc r="B9">
      <v>693</v>
    </nc>
  </rcc>
  <rcc rId="72" sId="6">
    <nc r="E9">
      <v>2</v>
    </nc>
  </rcc>
  <rcc rId="73" sId="6">
    <nc r="J9" t="inlineStr">
      <is>
        <t>Aneem</t>
      </is>
    </nc>
  </rcc>
  <rcc rId="74" sId="6">
    <nc r="C9" t="inlineStr">
      <is>
        <t>Aleksei Gavaev</t>
      </is>
    </nc>
  </rcc>
  <rcc rId="75" sId="6" numFmtId="19">
    <nc r="D9">
      <v>46125</v>
    </nc>
  </rcc>
  <rcv guid="{C09A3046-0EA5-410D-A18C-0F3029D3DB37}" action="delete"/>
  <rdn rId="0" localSheetId="1" customView="1" name="Z_C09A3046_0EA5_410D_A18C_0F3029D3DB37_.wvu.PrintArea" hidden="1" oldHidden="1">
    <formula>'2'!$A$1:$J$32</formula>
    <oldFormula>'2'!$A$1:$J$32</oldFormula>
  </rdn>
  <rdn rId="0" localSheetId="2" customView="1" name="Z_C09A3046_0EA5_410D_A18C_0F3029D3DB37_.wvu.PrintArea" hidden="1" oldHidden="1">
    <formula>'3'!$A$1:$J$32</formula>
    <oldFormula>'3'!$A$1:$J$32</oldFormula>
  </rdn>
  <rdn rId="0" localSheetId="3" customView="1" name="Z_C09A3046_0EA5_410D_A18C_0F3029D3DB37_.wvu.PrintArea" hidden="1" oldHidden="1">
    <formula>'4'!$A$1:$J$32</formula>
    <oldFormula>'4'!$A$1:$J$32</oldFormula>
  </rdn>
  <rdn rId="0" localSheetId="4" customView="1" name="Z_C09A3046_0EA5_410D_A18C_0F3029D3DB37_.wvu.PrintArea" hidden="1" oldHidden="1">
    <formula>'7'!$A$1:$J$32</formula>
    <oldFormula>'7'!$A$1:$J$32</oldFormula>
  </rdn>
  <rdn rId="0" localSheetId="5" customView="1" name="Z_C09A3046_0EA5_410D_A18C_0F3029D3DB37_.wvu.PrintArea" hidden="1" oldHidden="1">
    <formula>'9'!$A$1:$J$32</formula>
    <oldFormula>'9'!$A$1:$J$32</oldFormula>
  </rdn>
  <rdn rId="0" localSheetId="6" customView="1" name="Z_C09A3046_0EA5_410D_A18C_0F3029D3DB37_.wvu.PrintArea" hidden="1" oldHidden="1">
    <formula>'11'!$A$1:$J$32</formula>
    <oldFormula>'11'!$A$1:$J$32</oldFormula>
  </rdn>
  <rdn rId="0" localSheetId="7" customView="1" name="Z_C09A3046_0EA5_410D_A18C_0F3029D3DB37_.wvu.PrintArea" hidden="1" oldHidden="1">
    <formula>'14'!$A$1:$J$32</formula>
    <oldFormula>'14'!$A$1:$J$32</oldFormula>
  </rdn>
  <rdn rId="0" localSheetId="8" customView="1" name="Z_C09A3046_0EA5_410D_A18C_0F3029D3DB37_.wvu.PrintArea" hidden="1" oldHidden="1">
    <formula>'16'!$A$1:$J$32</formula>
    <oldFormula>'16'!$A$1:$J$32</oldFormula>
  </rdn>
  <rdn rId="0" localSheetId="9" customView="1" name="Z_C09A3046_0EA5_410D_A18C_0F3029D3DB37_.wvu.PrintArea" hidden="1" oldHidden="1">
    <formula>'18'!$A$1:$J$32</formula>
    <oldFormula>'18'!$A$1:$J$32</oldFormula>
  </rdn>
  <rdn rId="0" localSheetId="10" customView="1" name="Z_C09A3046_0EA5_410D_A18C_0F3029D3DB37_.wvu.PrintArea" hidden="1" oldHidden="1">
    <formula>'21'!$A$1:$J$32</formula>
    <oldFormula>'21'!$A$1:$J$32</oldFormula>
  </rdn>
  <rdn rId="0" localSheetId="11" customView="1" name="Z_C09A3046_0EA5_410D_A18C_0F3029D3DB37_.wvu.PrintArea" hidden="1" oldHidden="1">
    <formula>'23'!$A$1:$J$32</formula>
    <oldFormula>'23'!$A$1:$J$32</oldFormula>
  </rdn>
  <rdn rId="0" localSheetId="12" customView="1" name="Z_C09A3046_0EA5_410D_A18C_0F3029D3DB37_.wvu.PrintArea" hidden="1" oldHidden="1">
    <formula>'25'!$A$1:$J$32</formula>
    <oldFormula>'25'!$A$1:$J$32</oldFormula>
  </rdn>
  <rdn rId="0" localSheetId="13" customView="1" name="Z_C09A3046_0EA5_410D_A18C_0F3029D3DB37_.wvu.PrintArea" hidden="1" oldHidden="1">
    <formula>'28'!$A$1:$J$32</formula>
    <oldFormula>'28'!$A$1:$J$32</oldFormula>
  </rdn>
  <rdn rId="0" localSheetId="14" customView="1" name="Z_C09A3046_0EA5_410D_A18C_0F3029D3DB37_.wvu.PrintArea" hidden="1" oldHidden="1">
    <formula>'30'!$A$1:$J$32</formula>
    <oldFormula>'30'!$A$1:$J$32</oldFormula>
  </rdn>
  <rcv guid="{C09A3046-0EA5-410D-A18C-0F3029D3DB37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" sId="6">
    <oc r="E9">
      <v>2</v>
    </oc>
    <nc r="E9">
      <v>3</v>
    </nc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" sId="6">
    <oc r="B8">
      <v>667</v>
    </oc>
    <nc r="B8" t="inlineStr">
      <is>
        <t>667/806</t>
      </is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" sId="9">
    <nc r="B8">
      <v>329</v>
    </nc>
  </rcc>
  <rcc rId="93" sId="9">
    <nc r="E8">
      <v>2</v>
    </nc>
  </rcc>
  <rcc rId="94" sId="9">
    <nc r="J8" t="inlineStr">
      <is>
        <t>Lorenzo/Rahil</t>
      </is>
    </nc>
  </rcc>
  <rcc rId="95" sId="9">
    <nc r="C8" t="inlineStr">
      <is>
        <t>Meryem Senhaji</t>
      </is>
    </nc>
  </rcc>
  <rcc rId="96" sId="9" numFmtId="19">
    <nc r="D8">
      <v>46132</v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" sId="7">
    <nc r="C8" t="inlineStr">
      <is>
        <t>Booking closed</t>
      </is>
    </nc>
  </rcc>
  <rfmt sheetId="7" sqref="C8">
    <dxf>
      <fill>
        <patternFill>
          <bgColor rgb="FFFF0000"/>
        </patternFill>
      </fill>
    </dxf>
  </rfmt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" sId="8" odxf="1" dxf="1">
    <nc r="C8" t="inlineStr">
      <is>
        <t>Booking closed</t>
      </is>
    </nc>
    <odxf>
      <fill>
        <patternFill>
          <bgColor theme="0"/>
        </patternFill>
      </fill>
    </odxf>
    <ndxf>
      <fill>
        <patternFill>
          <bgColor rgb="FFFF0000"/>
        </patternFill>
      </fill>
    </ndxf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" sId="9">
    <oc r="E8">
      <v>2</v>
    </oc>
    <nc r="E8" t="inlineStr">
      <is>
        <t>CXL2</t>
      </is>
    </nc>
  </rcc>
  <rcv guid="{C09A3046-0EA5-410D-A18C-0F3029D3DB37}" action="delete"/>
  <rdn rId="0" localSheetId="1" customView="1" name="Z_C09A3046_0EA5_410D_A18C_0F3029D3DB37_.wvu.PrintArea" hidden="1" oldHidden="1">
    <formula>'2'!$A$1:$J$32</formula>
    <oldFormula>'2'!$A$1:$J$32</oldFormula>
  </rdn>
  <rdn rId="0" localSheetId="2" customView="1" name="Z_C09A3046_0EA5_410D_A18C_0F3029D3DB37_.wvu.PrintArea" hidden="1" oldHidden="1">
    <formula>'3'!$A$1:$J$32</formula>
    <oldFormula>'3'!$A$1:$J$32</oldFormula>
  </rdn>
  <rdn rId="0" localSheetId="3" customView="1" name="Z_C09A3046_0EA5_410D_A18C_0F3029D3DB37_.wvu.PrintArea" hidden="1" oldHidden="1">
    <formula>'4'!$A$1:$J$32</formula>
    <oldFormula>'4'!$A$1:$J$32</oldFormula>
  </rdn>
  <rdn rId="0" localSheetId="4" customView="1" name="Z_C09A3046_0EA5_410D_A18C_0F3029D3DB37_.wvu.PrintArea" hidden="1" oldHidden="1">
    <formula>'7'!$A$1:$J$32</formula>
    <oldFormula>'7'!$A$1:$J$32</oldFormula>
  </rdn>
  <rdn rId="0" localSheetId="5" customView="1" name="Z_C09A3046_0EA5_410D_A18C_0F3029D3DB37_.wvu.PrintArea" hidden="1" oldHidden="1">
    <formula>'9'!$A$1:$J$32</formula>
    <oldFormula>'9'!$A$1:$J$32</oldFormula>
  </rdn>
  <rdn rId="0" localSheetId="6" customView="1" name="Z_C09A3046_0EA5_410D_A18C_0F3029D3DB37_.wvu.PrintArea" hidden="1" oldHidden="1">
    <formula>'11'!$A$1:$J$32</formula>
    <oldFormula>'11'!$A$1:$J$32</oldFormula>
  </rdn>
  <rdn rId="0" localSheetId="7" customView="1" name="Z_C09A3046_0EA5_410D_A18C_0F3029D3DB37_.wvu.PrintArea" hidden="1" oldHidden="1">
    <formula>'14'!$A$1:$J$32</formula>
    <oldFormula>'14'!$A$1:$J$32</oldFormula>
  </rdn>
  <rdn rId="0" localSheetId="8" customView="1" name="Z_C09A3046_0EA5_410D_A18C_0F3029D3DB37_.wvu.PrintArea" hidden="1" oldHidden="1">
    <formula>'16'!$A$1:$J$32</formula>
    <oldFormula>'16'!$A$1:$J$32</oldFormula>
  </rdn>
  <rdn rId="0" localSheetId="9" customView="1" name="Z_C09A3046_0EA5_410D_A18C_0F3029D3DB37_.wvu.PrintArea" hidden="1" oldHidden="1">
    <formula>'18'!$A$1:$J$32</formula>
    <oldFormula>'18'!$A$1:$J$32</oldFormula>
  </rdn>
  <rdn rId="0" localSheetId="10" customView="1" name="Z_C09A3046_0EA5_410D_A18C_0F3029D3DB37_.wvu.PrintArea" hidden="1" oldHidden="1">
    <formula>'21'!$A$1:$J$32</formula>
    <oldFormula>'21'!$A$1:$J$32</oldFormula>
  </rdn>
  <rdn rId="0" localSheetId="11" customView="1" name="Z_C09A3046_0EA5_410D_A18C_0F3029D3DB37_.wvu.PrintArea" hidden="1" oldHidden="1">
    <formula>'23'!$A$1:$J$32</formula>
    <oldFormula>'23'!$A$1:$J$32</oldFormula>
  </rdn>
  <rdn rId="0" localSheetId="12" customView="1" name="Z_C09A3046_0EA5_410D_A18C_0F3029D3DB37_.wvu.PrintArea" hidden="1" oldHidden="1">
    <formula>'25'!$A$1:$J$32</formula>
    <oldFormula>'25'!$A$1:$J$32</oldFormula>
  </rdn>
  <rdn rId="0" localSheetId="13" customView="1" name="Z_C09A3046_0EA5_410D_A18C_0F3029D3DB37_.wvu.PrintArea" hidden="1" oldHidden="1">
    <formula>'28'!$A$1:$J$32</formula>
    <oldFormula>'28'!$A$1:$J$32</oldFormula>
  </rdn>
  <rdn rId="0" localSheetId="14" customView="1" name="Z_C09A3046_0EA5_410D_A18C_0F3029D3DB37_.wvu.PrintArea" hidden="1" oldHidden="1">
    <formula>'30'!$A$1:$J$32</formula>
    <oldFormula>'30'!$A$1:$J$32</oldFormula>
  </rdn>
  <rcv guid="{C09A3046-0EA5-410D-A18C-0F3029D3DB37}" action="add"/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4" sId="9">
    <nc r="C9" t="inlineStr">
      <is>
        <t>BOOKING CLOSED</t>
      </is>
    </nc>
  </rcc>
  <rfmt sheetId="9" sqref="C9">
    <dxf>
      <fill>
        <patternFill>
          <bgColor rgb="FFFF0000"/>
        </patternFill>
      </fill>
    </dxf>
  </rfmt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" sId="10" odxf="1" dxf="1">
    <nc r="C8" t="inlineStr">
      <is>
        <t>BOOKING CLOSED</t>
      </is>
    </nc>
    <odxf>
      <fill>
        <patternFill>
          <bgColor theme="0"/>
        </patternFill>
      </fill>
    </odxf>
    <ndxf>
      <fill>
        <patternFill>
          <bgColor rgb="FFFF0000"/>
        </patternFill>
      </fill>
    </ndxf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6" sId="11" odxf="1" dxf="1">
    <nc r="C8" t="inlineStr">
      <is>
        <t>BOOKING CLOSED</t>
      </is>
    </nc>
    <odxf>
      <fill>
        <patternFill>
          <bgColor theme="0"/>
        </patternFill>
      </fill>
    </odxf>
    <ndxf>
      <fill>
        <patternFill>
          <bgColor rgb="FFFF0000"/>
        </patternFill>
      </fill>
    </ndxf>
  </rcc>
  <rcc rId="117" sId="12" odxf="1" dxf="1">
    <nc r="C8" t="inlineStr">
      <is>
        <t>BOOKING CLOSED</t>
      </is>
    </nc>
    <odxf>
      <fill>
        <patternFill>
          <bgColor theme="0"/>
        </patternFill>
      </fill>
    </odxf>
    <ndxf>
      <fill>
        <patternFill>
          <bgColor rgb="FFFF0000"/>
        </patternFill>
      </fill>
    </ndxf>
  </rcc>
  <rcc rId="118" sId="13" odxf="1" dxf="1">
    <nc r="C8" t="inlineStr">
      <is>
        <t>BOOKING CLOSED</t>
      </is>
    </nc>
    <odxf>
      <fill>
        <patternFill>
          <bgColor theme="0"/>
        </patternFill>
      </fill>
    </odxf>
    <ndxf>
      <fill>
        <patternFill>
          <bgColor rgb="FFFF0000"/>
        </patternFill>
      </fill>
    </ndxf>
  </rcc>
  <rcc rId="119" sId="14" odxf="1" dxf="1">
    <nc r="C8" t="inlineStr">
      <is>
        <t>BOOKING CLOSED</t>
      </is>
    </nc>
    <odxf>
      <fill>
        <patternFill>
          <bgColor theme="0"/>
        </patternFill>
      </fill>
    </odxf>
    <ndxf>
      <fill>
        <patternFill>
          <bgColor rgb="FFFF0000"/>
        </patternFill>
      </fill>
    </ndxf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0" sId="7" odxf="1" dxf="1">
    <oc r="C8" t="inlineStr">
      <is>
        <t>Booking closed</t>
      </is>
    </oc>
    <nc r="C8"/>
    <odxf>
      <fill>
        <patternFill>
          <bgColor rgb="FFFF0000"/>
        </patternFill>
      </fill>
    </odxf>
    <ndxf>
      <fill>
        <patternFill>
          <bgColor theme="0"/>
        </patternFill>
      </fill>
    </ndxf>
  </rcc>
  <rcc rId="121" sId="8" odxf="1" dxf="1">
    <oc r="C8" t="inlineStr">
      <is>
        <t>Booking closed</t>
      </is>
    </oc>
    <nc r="C8"/>
    <odxf>
      <fill>
        <patternFill>
          <bgColor rgb="FFFF0000"/>
        </patternFill>
      </fill>
    </odxf>
    <ndxf>
      <fill>
        <patternFill>
          <bgColor theme="0"/>
        </patternFill>
      </fill>
    </ndxf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C09A3046-0EA5-410D-A18C-0F3029D3DB37}" action="delete"/>
  <rdn rId="0" localSheetId="1" customView="1" name="Z_C09A3046_0EA5_410D_A18C_0F3029D3DB37_.wvu.PrintArea" hidden="1" oldHidden="1">
    <formula>'2'!$A$1:$J$32</formula>
    <oldFormula>'2'!$A$1:$J$32</oldFormula>
  </rdn>
  <rdn rId="0" localSheetId="2" customView="1" name="Z_C09A3046_0EA5_410D_A18C_0F3029D3DB37_.wvu.PrintArea" hidden="1" oldHidden="1">
    <formula>'3'!$A$1:$J$32</formula>
    <oldFormula>'3'!$A$1:$J$32</oldFormula>
  </rdn>
  <rdn rId="0" localSheetId="3" customView="1" name="Z_C09A3046_0EA5_410D_A18C_0F3029D3DB37_.wvu.PrintArea" hidden="1" oldHidden="1">
    <formula>'4'!$A$1:$J$32</formula>
    <oldFormula>'4'!$A$1:$J$32</oldFormula>
  </rdn>
  <rdn rId="0" localSheetId="4" customView="1" name="Z_C09A3046_0EA5_410D_A18C_0F3029D3DB37_.wvu.PrintArea" hidden="1" oldHidden="1">
    <formula>'7'!$A$1:$J$32</formula>
    <oldFormula>'7'!$A$1:$J$32</oldFormula>
  </rdn>
  <rdn rId="0" localSheetId="5" customView="1" name="Z_C09A3046_0EA5_410D_A18C_0F3029D3DB37_.wvu.PrintArea" hidden="1" oldHidden="1">
    <formula>'9'!$A$1:$J$32</formula>
    <oldFormula>'9'!$A$1:$J$32</oldFormula>
  </rdn>
  <rdn rId="0" localSheetId="6" customView="1" name="Z_C09A3046_0EA5_410D_A18C_0F3029D3DB37_.wvu.PrintArea" hidden="1" oldHidden="1">
    <formula>'11'!$A$1:$J$32</formula>
    <oldFormula>'11'!$A$1:$J$32</oldFormula>
  </rdn>
  <rdn rId="0" localSheetId="7" customView="1" name="Z_C09A3046_0EA5_410D_A18C_0F3029D3DB37_.wvu.PrintArea" hidden="1" oldHidden="1">
    <formula>'14'!$A$1:$J$32</formula>
    <oldFormula>'14'!$A$1:$J$32</oldFormula>
  </rdn>
  <rdn rId="0" localSheetId="8" customView="1" name="Z_C09A3046_0EA5_410D_A18C_0F3029D3DB37_.wvu.PrintArea" hidden="1" oldHidden="1">
    <formula>'16'!$A$1:$J$32</formula>
    <oldFormula>'16'!$A$1:$J$32</oldFormula>
  </rdn>
  <rdn rId="0" localSheetId="9" customView="1" name="Z_C09A3046_0EA5_410D_A18C_0F3029D3DB37_.wvu.PrintArea" hidden="1" oldHidden="1">
    <formula>'18'!$A$1:$J$32</formula>
    <oldFormula>'18'!$A$1:$J$32</oldFormula>
  </rdn>
  <rdn rId="0" localSheetId="10" customView="1" name="Z_C09A3046_0EA5_410D_A18C_0F3029D3DB37_.wvu.PrintArea" hidden="1" oldHidden="1">
    <formula>'21'!$A$1:$J$32</formula>
    <oldFormula>'21'!$A$1:$J$32</oldFormula>
  </rdn>
  <rdn rId="0" localSheetId="11" customView="1" name="Z_C09A3046_0EA5_410D_A18C_0F3029D3DB37_.wvu.PrintArea" hidden="1" oldHidden="1">
    <formula>'23'!$A$1:$J$32</formula>
    <oldFormula>'23'!$A$1:$J$32</oldFormula>
  </rdn>
  <rdn rId="0" localSheetId="12" customView="1" name="Z_C09A3046_0EA5_410D_A18C_0F3029D3DB37_.wvu.PrintArea" hidden="1" oldHidden="1">
    <formula>'25'!$A$1:$J$32</formula>
    <oldFormula>'25'!$A$1:$J$32</oldFormula>
  </rdn>
  <rdn rId="0" localSheetId="13" customView="1" name="Z_C09A3046_0EA5_410D_A18C_0F3029D3DB37_.wvu.PrintArea" hidden="1" oldHidden="1">
    <formula>'28'!$A$1:$J$32</formula>
    <oldFormula>'28'!$A$1:$J$32</oldFormula>
  </rdn>
  <rdn rId="0" localSheetId="14" customView="1" name="Z_C09A3046_0EA5_410D_A18C_0F3029D3DB37_.wvu.PrintArea" hidden="1" oldHidden="1">
    <formula>'30'!$A$1:$J$32</formula>
    <oldFormula>'30'!$A$1:$J$32</oldFormula>
  </rdn>
  <rcv guid="{C09A3046-0EA5-410D-A18C-0F3029D3DB37}" action="add"/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6" sId="13">
    <nc r="B9">
      <v>683</v>
    </nc>
  </rcc>
  <rcc rId="137" sId="13">
    <nc r="E9">
      <v>3</v>
    </nc>
  </rcc>
  <rcc rId="138" sId="13">
    <nc r="J9" t="inlineStr">
      <is>
        <t>Aiper/Faiha</t>
      </is>
    </nc>
  </rcc>
  <rcv guid="{C09A3046-0EA5-410D-A18C-0F3029D3DB37}" action="delete"/>
  <rdn rId="0" localSheetId="1" customView="1" name="Z_C09A3046_0EA5_410D_A18C_0F3029D3DB37_.wvu.PrintArea" hidden="1" oldHidden="1">
    <formula>'2'!$A$1:$J$32</formula>
    <oldFormula>'2'!$A$1:$J$32</oldFormula>
  </rdn>
  <rdn rId="0" localSheetId="2" customView="1" name="Z_C09A3046_0EA5_410D_A18C_0F3029D3DB37_.wvu.PrintArea" hidden="1" oldHidden="1">
    <formula>'3'!$A$1:$J$32</formula>
    <oldFormula>'3'!$A$1:$J$32</oldFormula>
  </rdn>
  <rdn rId="0" localSheetId="3" customView="1" name="Z_C09A3046_0EA5_410D_A18C_0F3029D3DB37_.wvu.PrintArea" hidden="1" oldHidden="1">
    <formula>'4'!$A$1:$J$32</formula>
    <oldFormula>'4'!$A$1:$J$32</oldFormula>
  </rdn>
  <rdn rId="0" localSheetId="4" customView="1" name="Z_C09A3046_0EA5_410D_A18C_0F3029D3DB37_.wvu.PrintArea" hidden="1" oldHidden="1">
    <formula>'7'!$A$1:$J$32</formula>
    <oldFormula>'7'!$A$1:$J$32</oldFormula>
  </rdn>
  <rdn rId="0" localSheetId="5" customView="1" name="Z_C09A3046_0EA5_410D_A18C_0F3029D3DB37_.wvu.PrintArea" hidden="1" oldHidden="1">
    <formula>'9'!$A$1:$J$32</formula>
    <oldFormula>'9'!$A$1:$J$32</oldFormula>
  </rdn>
  <rdn rId="0" localSheetId="6" customView="1" name="Z_C09A3046_0EA5_410D_A18C_0F3029D3DB37_.wvu.PrintArea" hidden="1" oldHidden="1">
    <formula>'11'!$A$1:$J$32</formula>
    <oldFormula>'11'!$A$1:$J$32</oldFormula>
  </rdn>
  <rdn rId="0" localSheetId="7" customView="1" name="Z_C09A3046_0EA5_410D_A18C_0F3029D3DB37_.wvu.PrintArea" hidden="1" oldHidden="1">
    <formula>'14'!$A$1:$J$32</formula>
    <oldFormula>'14'!$A$1:$J$32</oldFormula>
  </rdn>
  <rdn rId="0" localSheetId="8" customView="1" name="Z_C09A3046_0EA5_410D_A18C_0F3029D3DB37_.wvu.PrintArea" hidden="1" oldHidden="1">
    <formula>'16'!$A$1:$J$32</formula>
    <oldFormula>'16'!$A$1:$J$32</oldFormula>
  </rdn>
  <rdn rId="0" localSheetId="9" customView="1" name="Z_C09A3046_0EA5_410D_A18C_0F3029D3DB37_.wvu.PrintArea" hidden="1" oldHidden="1">
    <formula>'18'!$A$1:$J$32</formula>
    <oldFormula>'18'!$A$1:$J$32</oldFormula>
  </rdn>
  <rdn rId="0" localSheetId="10" customView="1" name="Z_C09A3046_0EA5_410D_A18C_0F3029D3DB37_.wvu.PrintArea" hidden="1" oldHidden="1">
    <formula>'21'!$A$1:$J$32</formula>
    <oldFormula>'21'!$A$1:$J$32</oldFormula>
  </rdn>
  <rdn rId="0" localSheetId="11" customView="1" name="Z_C09A3046_0EA5_410D_A18C_0F3029D3DB37_.wvu.PrintArea" hidden="1" oldHidden="1">
    <formula>'23'!$A$1:$J$32</formula>
    <oldFormula>'23'!$A$1:$J$32</oldFormula>
  </rdn>
  <rdn rId="0" localSheetId="12" customView="1" name="Z_C09A3046_0EA5_410D_A18C_0F3029D3DB37_.wvu.PrintArea" hidden="1" oldHidden="1">
    <formula>'25'!$A$1:$J$32</formula>
    <oldFormula>'25'!$A$1:$J$32</oldFormula>
  </rdn>
  <rdn rId="0" localSheetId="13" customView="1" name="Z_C09A3046_0EA5_410D_A18C_0F3029D3DB37_.wvu.PrintArea" hidden="1" oldHidden="1">
    <formula>'28'!$A$1:$J$32</formula>
    <oldFormula>'28'!$A$1:$J$32</oldFormula>
  </rdn>
  <rdn rId="0" localSheetId="14" customView="1" name="Z_C09A3046_0EA5_410D_A18C_0F3029D3DB37_.wvu.PrintArea" hidden="1" oldHidden="1">
    <formula>'30'!$A$1:$J$32</formula>
    <oldFormula>'30'!$A$1:$J$32</oldFormula>
  </rdn>
  <rcv guid="{C09A3046-0EA5-410D-A18C-0F3029D3DB37}" action="add"/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" sId="13">
    <nc r="C9" t="inlineStr">
      <is>
        <t>Aiden Forrester</t>
      </is>
    </nc>
  </rcc>
  <rcc rId="154" sId="13" numFmtId="19">
    <nc r="D9">
      <v>46137</v>
    </nc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" sId="13">
    <nc r="B10">
      <v>883</v>
    </nc>
  </rcc>
  <rcc rId="156" sId="13">
    <nc r="E10">
      <v>2</v>
    </nc>
  </rcc>
  <rcc rId="157" sId="13">
    <nc r="J10" t="inlineStr">
      <is>
        <t>Maaji</t>
      </is>
    </nc>
  </rcc>
  <rcv guid="{C09A3046-0EA5-410D-A18C-0F3029D3DB37}" action="delete"/>
  <rdn rId="0" localSheetId="1" customView="1" name="Z_C09A3046_0EA5_410D_A18C_0F3029D3DB37_.wvu.PrintArea" hidden="1" oldHidden="1">
    <formula>'2'!$A$1:$J$32</formula>
    <oldFormula>'2'!$A$1:$J$32</oldFormula>
  </rdn>
  <rdn rId="0" localSheetId="2" customView="1" name="Z_C09A3046_0EA5_410D_A18C_0F3029D3DB37_.wvu.PrintArea" hidden="1" oldHidden="1">
    <formula>'3'!$A$1:$J$32</formula>
    <oldFormula>'3'!$A$1:$J$32</oldFormula>
  </rdn>
  <rdn rId="0" localSheetId="3" customView="1" name="Z_C09A3046_0EA5_410D_A18C_0F3029D3DB37_.wvu.PrintArea" hidden="1" oldHidden="1">
    <formula>'4'!$A$1:$J$32</formula>
    <oldFormula>'4'!$A$1:$J$32</oldFormula>
  </rdn>
  <rdn rId="0" localSheetId="4" customView="1" name="Z_C09A3046_0EA5_410D_A18C_0F3029D3DB37_.wvu.PrintArea" hidden="1" oldHidden="1">
    <formula>'7'!$A$1:$J$32</formula>
    <oldFormula>'7'!$A$1:$J$32</oldFormula>
  </rdn>
  <rdn rId="0" localSheetId="5" customView="1" name="Z_C09A3046_0EA5_410D_A18C_0F3029D3DB37_.wvu.PrintArea" hidden="1" oldHidden="1">
    <formula>'9'!$A$1:$J$32</formula>
    <oldFormula>'9'!$A$1:$J$32</oldFormula>
  </rdn>
  <rdn rId="0" localSheetId="6" customView="1" name="Z_C09A3046_0EA5_410D_A18C_0F3029D3DB37_.wvu.PrintArea" hidden="1" oldHidden="1">
    <formula>'11'!$A$1:$J$32</formula>
    <oldFormula>'11'!$A$1:$J$32</oldFormula>
  </rdn>
  <rdn rId="0" localSheetId="7" customView="1" name="Z_C09A3046_0EA5_410D_A18C_0F3029D3DB37_.wvu.PrintArea" hidden="1" oldHidden="1">
    <formula>'14'!$A$1:$J$32</formula>
    <oldFormula>'14'!$A$1:$J$32</oldFormula>
  </rdn>
  <rdn rId="0" localSheetId="8" customView="1" name="Z_C09A3046_0EA5_410D_A18C_0F3029D3DB37_.wvu.PrintArea" hidden="1" oldHidden="1">
    <formula>'16'!$A$1:$J$32</formula>
    <oldFormula>'16'!$A$1:$J$32</oldFormula>
  </rdn>
  <rdn rId="0" localSheetId="9" customView="1" name="Z_C09A3046_0EA5_410D_A18C_0F3029D3DB37_.wvu.PrintArea" hidden="1" oldHidden="1">
    <formula>'18'!$A$1:$J$32</formula>
    <oldFormula>'18'!$A$1:$J$32</oldFormula>
  </rdn>
  <rdn rId="0" localSheetId="10" customView="1" name="Z_C09A3046_0EA5_410D_A18C_0F3029D3DB37_.wvu.PrintArea" hidden="1" oldHidden="1">
    <formula>'21'!$A$1:$J$32</formula>
    <oldFormula>'21'!$A$1:$J$32</oldFormula>
  </rdn>
  <rdn rId="0" localSheetId="11" customView="1" name="Z_C09A3046_0EA5_410D_A18C_0F3029D3DB37_.wvu.PrintArea" hidden="1" oldHidden="1">
    <formula>'23'!$A$1:$J$32</formula>
    <oldFormula>'23'!$A$1:$J$32</oldFormula>
  </rdn>
  <rdn rId="0" localSheetId="12" customView="1" name="Z_C09A3046_0EA5_410D_A18C_0F3029D3DB37_.wvu.PrintArea" hidden="1" oldHidden="1">
    <formula>'25'!$A$1:$J$32</formula>
    <oldFormula>'25'!$A$1:$J$32</oldFormula>
  </rdn>
  <rdn rId="0" localSheetId="13" customView="1" name="Z_C09A3046_0EA5_410D_A18C_0F3029D3DB37_.wvu.PrintArea" hidden="1" oldHidden="1">
    <formula>'28'!$A$1:$J$32</formula>
    <oldFormula>'28'!$A$1:$J$32</oldFormula>
  </rdn>
  <rdn rId="0" localSheetId="14" customView="1" name="Z_C09A3046_0EA5_410D_A18C_0F3029D3DB37_.wvu.PrintArea" hidden="1" oldHidden="1">
    <formula>'30'!$A$1:$J$32</formula>
    <oldFormula>'30'!$A$1:$J$32</oldFormula>
  </rdn>
  <rcv guid="{C09A3046-0EA5-410D-A18C-0F3029D3DB37}" action="add"/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" sId="13" odxf="1" dxf="1">
    <nc r="C10" t="inlineStr">
      <is>
        <t>SONG YUHUI / MR</t>
      </is>
    </nc>
    <odxf>
      <font>
        <sz val="14"/>
      </font>
      <fill>
        <patternFill patternType="solid">
          <bgColor theme="0"/>
        </patternFill>
      </fill>
      <alignment horizontal="left" vertical="top" readingOrder="0"/>
      <border outline="0">
        <top/>
      </border>
    </odxf>
    <ndxf>
      <font>
        <sz val="14"/>
        <color auto="1"/>
      </font>
      <fill>
        <patternFill patternType="none">
          <bgColor indexed="65"/>
        </patternFill>
      </fill>
      <alignment horizontal="center" vertical="center" readingOrder="0"/>
      <border outline="0">
        <top style="thin">
          <color indexed="64"/>
        </top>
      </border>
    </ndxf>
  </rcc>
  <rcc rId="173" sId="13" odxf="1" dxf="1" numFmtId="19">
    <nc r="D10">
      <v>46141</v>
    </nc>
    <odxf>
      <font>
        <sz val="14"/>
      </font>
      <alignment vertical="top" readingOrder="0"/>
      <border outline="0">
        <top/>
      </border>
    </odxf>
    <ndxf>
      <font>
        <sz val="14"/>
        <color auto="1"/>
      </font>
      <alignment vertical="center" readingOrder="0"/>
      <border outline="0">
        <top style="thin">
          <color indexed="64"/>
        </top>
      </border>
    </ndxf>
  </rcc>
  <rfmt sheetId="13" sqref="E10" start="0" length="0">
    <dxf>
      <font>
        <sz val="14"/>
        <color auto="1"/>
      </font>
      <alignment vertical="center" readingOrder="0"/>
      <border outline="0">
        <top style="thin">
          <color indexed="64"/>
        </top>
      </border>
    </dxf>
  </rfmt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" sId="13" odxf="1" dxf="1">
    <oc r="C8" t="inlineStr">
      <is>
        <t>BOOKING CLOSED</t>
      </is>
    </oc>
    <nc r="C8"/>
    <odxf>
      <fill>
        <patternFill>
          <bgColor rgb="FFFF0000"/>
        </patternFill>
      </fill>
    </odxf>
    <ndxf>
      <fill>
        <patternFill>
          <bgColor theme="0"/>
        </patternFill>
      </fill>
    </ndxf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" sId="13">
    <oc r="B9">
      <v>683</v>
    </oc>
    <nc r="B9">
      <v>681</v>
    </nc>
  </rcc>
  <rcc rId="176" sId="13">
    <oc r="C9" t="inlineStr">
      <is>
        <t>Aiden Forrester</t>
      </is>
    </oc>
    <nc r="C9" t="inlineStr">
      <is>
        <t>Stepan Popov</t>
      </is>
    </nc>
  </rcc>
  <rcc rId="177" sId="13" numFmtId="19">
    <oc r="D9">
      <v>46137</v>
    </oc>
    <nc r="D9">
      <v>46141</v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3" sqref="A9:A10">
    <dxf>
      <fill>
        <patternFill>
          <bgColor rgb="FF92D050"/>
        </patternFill>
      </fill>
    </dxf>
  </rfmt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7">
  <userInfo guid="{298475C5-9951-45A1-BF56-1C317A1C7A8C}" name="Dive Centre Office" id="-387609501" dateTime="2026-04-02T14:41:25"/>
  <userInfo guid="{895AF599-A0A2-4EEC-B74E-3CF224F59811}" name="Dive Centre Office" id="-387638979" dateTime="2026-04-11T11:08:32"/>
  <userInfo guid="{D7D1005A-76A6-45EB-AC9F-BB11DFABF5EA}" name="Dive Centre Office" id="-387637377" dateTime="2026-04-16T10:54:25"/>
  <userInfo guid="{F7801979-54EC-428A-8FE7-8890FF3069B7}" name="Dive Centre Office" id="-387592681" dateTime="2026-04-22T09:10:19"/>
  <userInfo guid="{7CBA28A6-2B61-4293-930A-E15B195F730B}" name="Dive Centre Office" id="-387586290" dateTime="2026-04-24T11:02:08"/>
  <userInfo guid="{BB02B08B-BE68-4176-9D2E-21FFDA0CE552}" name="Dive Centre Office" id="-387603185" dateTime="2026-04-25T09:42:02"/>
  <userInfo guid="{40A611AE-FE6E-4152-84FF-FA8AC8199B46}" name="Dive Centre Office" id="-387610707" dateTime="2026-04-26T16:31:49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15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1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2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.bin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2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5" Type="http://schemas.openxmlformats.org/officeDocument/2006/relationships/drawing" Target="../drawings/drawing8.xml"/><Relationship Id="rId4" Type="http://schemas.openxmlformats.org/officeDocument/2006/relationships/printerSettings" Target="../printerSettings/printerSettings3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5" Type="http://schemas.openxmlformats.org/officeDocument/2006/relationships/drawing" Target="../drawings/drawing9.xml"/><Relationship Id="rId4" Type="http://schemas.openxmlformats.org/officeDocument/2006/relationships/printerSettings" Target="../printerSettings/printerSettings3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.bin"/><Relationship Id="rId2" Type="http://schemas.openxmlformats.org/officeDocument/2006/relationships/printerSettings" Target="../printerSettings/printerSettings37.bin"/><Relationship Id="rId1" Type="http://schemas.openxmlformats.org/officeDocument/2006/relationships/printerSettings" Target="../printerSettings/printerSettings36.bin"/><Relationship Id="rId5" Type="http://schemas.openxmlformats.org/officeDocument/2006/relationships/drawing" Target="../drawings/drawing10.xml"/><Relationship Id="rId4" Type="http://schemas.openxmlformats.org/officeDocument/2006/relationships/printerSettings" Target="../printerSettings/printerSettings3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5" Type="http://schemas.openxmlformats.org/officeDocument/2006/relationships/drawing" Target="../drawings/drawing11.xml"/><Relationship Id="rId4" Type="http://schemas.openxmlformats.org/officeDocument/2006/relationships/printerSettings" Target="../printerSettings/printerSettings4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45.bin"/><Relationship Id="rId1" Type="http://schemas.openxmlformats.org/officeDocument/2006/relationships/printerSettings" Target="../printerSettings/printerSettings44.bin"/><Relationship Id="rId5" Type="http://schemas.openxmlformats.org/officeDocument/2006/relationships/drawing" Target="../drawings/drawing12.xml"/><Relationship Id="rId4" Type="http://schemas.openxmlformats.org/officeDocument/2006/relationships/printerSettings" Target="../printerSettings/printerSettings4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.bin"/><Relationship Id="rId2" Type="http://schemas.openxmlformats.org/officeDocument/2006/relationships/printerSettings" Target="../printerSettings/printerSettings49.bin"/><Relationship Id="rId1" Type="http://schemas.openxmlformats.org/officeDocument/2006/relationships/printerSettings" Target="../printerSettings/printerSettings48.bin"/><Relationship Id="rId5" Type="http://schemas.openxmlformats.org/officeDocument/2006/relationships/drawing" Target="../drawings/drawing13.xml"/><Relationship Id="rId4" Type="http://schemas.openxmlformats.org/officeDocument/2006/relationships/printerSettings" Target="../printerSettings/printerSettings5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Relationship Id="rId5" Type="http://schemas.openxmlformats.org/officeDocument/2006/relationships/drawing" Target="../drawings/drawing14.xml"/><Relationship Id="rId4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F11" sqref="F11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68" t="s">
        <v>22</v>
      </c>
      <c r="B6" s="69"/>
      <c r="C6" s="69"/>
      <c r="D6" s="69"/>
      <c r="E6" s="69"/>
      <c r="F6" s="69"/>
      <c r="G6" s="69"/>
      <c r="H6" s="70"/>
      <c r="I6" s="31" t="s">
        <v>21</v>
      </c>
      <c r="J6" s="51" t="str">
        <f ca="1">CONCATENATE((MID(CELL("filename",J6),FIND("]",CELL("filename",J6))+1,255)),"/04/2026")</f>
        <v>2/04/2026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61" t="s">
        <v>32</v>
      </c>
      <c r="C8" s="50" t="s">
        <v>23</v>
      </c>
      <c r="D8" s="40">
        <v>46114</v>
      </c>
      <c r="E8" s="33">
        <v>2</v>
      </c>
      <c r="F8" s="33"/>
      <c r="G8" s="33"/>
      <c r="H8" s="33"/>
      <c r="I8" s="33"/>
      <c r="J8" s="34" t="s">
        <v>24</v>
      </c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61" t="s">
        <v>29</v>
      </c>
      <c r="C9" s="50" t="s">
        <v>27</v>
      </c>
      <c r="D9" s="40"/>
      <c r="E9" s="33">
        <v>2</v>
      </c>
      <c r="F9" s="33"/>
      <c r="G9" s="33"/>
      <c r="H9" s="33"/>
      <c r="I9" s="33" t="s">
        <v>28</v>
      </c>
      <c r="J9" s="34" t="s">
        <v>24</v>
      </c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>
        <v>649</v>
      </c>
      <c r="C10" s="50" t="s">
        <v>26</v>
      </c>
      <c r="D10" s="40">
        <v>46117</v>
      </c>
      <c r="E10" s="33" t="s">
        <v>30</v>
      </c>
      <c r="F10" s="33" t="s">
        <v>31</v>
      </c>
      <c r="G10" s="33"/>
      <c r="H10" s="33"/>
      <c r="I10" s="33"/>
      <c r="J10" s="34" t="s">
        <v>25</v>
      </c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ht="18.600000000000001" thickBot="1" x14ac:dyDescent="0.4">
      <c r="A17" s="52">
        <v>10</v>
      </c>
      <c r="B17" s="53"/>
      <c r="C17" s="54"/>
      <c r="D17" s="55"/>
      <c r="E17" s="53"/>
      <c r="F17" s="53"/>
      <c r="G17" s="53"/>
      <c r="H17" s="53"/>
      <c r="I17" s="53"/>
      <c r="J17" s="56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4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A46F1B63-ED5A-4399-85A9-B34AF5ABBB0C}" fitToPage="1">
      <selection activeCell="C12" sqref="C12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EB5AF4DB-FF30-466E-9AB7-B9508507F017}" fitToPage="1">
      <selection activeCell="J12" sqref="J12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  <customSheetView guid="{C09A3046-0EA5-410D-A18C-0F3029D3DB37}" showPageBreaks="1" fitToPage="1" printArea="1">
      <selection activeCell="F11" sqref="F11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3"/>
    </customSheetView>
  </customSheetViews>
  <mergeCells count="1">
    <mergeCell ref="A6:H6"/>
  </mergeCells>
  <conditionalFormatting sqref="K8:K17">
    <cfRule type="containsText" dxfId="13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4"/>
  <rowBreaks count="1" manualBreakCount="1">
    <brk id="36" max="7" man="1"/>
  </rowBrea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B8" sqref="B8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68" t="s">
        <v>22</v>
      </c>
      <c r="B6" s="69"/>
      <c r="C6" s="69"/>
      <c r="D6" s="69"/>
      <c r="E6" s="69"/>
      <c r="F6" s="69"/>
      <c r="G6" s="69"/>
      <c r="H6" s="70"/>
      <c r="I6" s="31" t="s">
        <v>21</v>
      </c>
      <c r="J6" s="30" t="str">
        <f ca="1">CONCATENATE((MID(CELL("filename",J6),FIND("]",CELL("filename",J6))+1,255)),"/04/2026")</f>
        <v>3/04/2026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62">
        <v>659</v>
      </c>
      <c r="C8" s="50" t="s">
        <v>26</v>
      </c>
      <c r="D8" s="40">
        <v>46117</v>
      </c>
      <c r="E8" s="33">
        <v>4</v>
      </c>
      <c r="F8" s="33"/>
      <c r="G8" s="33"/>
      <c r="H8" s="33"/>
      <c r="I8" s="33"/>
      <c r="J8" s="34" t="s">
        <v>25</v>
      </c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62">
        <v>681</v>
      </c>
      <c r="C9" s="50"/>
      <c r="D9" s="40"/>
      <c r="E9" s="33">
        <v>3</v>
      </c>
      <c r="F9" s="33"/>
      <c r="G9" s="33"/>
      <c r="H9" s="33"/>
      <c r="I9" s="33"/>
      <c r="J9" s="34"/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62">
        <v>652</v>
      </c>
      <c r="C10" s="50"/>
      <c r="D10" s="40"/>
      <c r="E10" s="33">
        <v>3</v>
      </c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10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A46F1B63-ED5A-4399-85A9-B34AF5ABBB0C}" fitToPage="1">
      <selection activeCell="B8" sqref="B8:J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C09A3046-0EA5-410D-A18C-0F3029D3DB37}" showPageBreaks="1" fitToPage="1" printArea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</customSheetViews>
  <mergeCells count="1">
    <mergeCell ref="A6:H6"/>
  </mergeCells>
  <conditionalFormatting sqref="K8:K17">
    <cfRule type="containsText" dxfId="12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3"/>
  <rowBreaks count="1" manualBreakCount="1">
    <brk id="36" max="7" man="1"/>
  </rowBrea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B8" sqref="B8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68" t="s">
        <v>22</v>
      </c>
      <c r="B6" s="69"/>
      <c r="C6" s="69"/>
      <c r="D6" s="69"/>
      <c r="E6" s="69"/>
      <c r="F6" s="69"/>
      <c r="G6" s="69"/>
      <c r="H6" s="70"/>
      <c r="I6" s="31" t="s">
        <v>21</v>
      </c>
      <c r="J6" s="30" t="str">
        <f ca="1">CONCATENATE((MID(CELL("filename",J6),FIND("]",CELL("filename",J6))+1,255)),"/04/2026")</f>
        <v>4/04/2026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58"/>
      <c r="C8" s="58"/>
      <c r="D8" s="59"/>
      <c r="E8" s="58"/>
      <c r="F8" s="58"/>
      <c r="G8" s="58"/>
      <c r="H8" s="60"/>
      <c r="I8" s="58"/>
      <c r="J8" s="58"/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/>
      <c r="C9" s="50"/>
      <c r="D9" s="40"/>
      <c r="E9" s="33"/>
      <c r="F9" s="33"/>
      <c r="G9" s="33"/>
      <c r="H9" s="33"/>
      <c r="I9" s="33"/>
      <c r="J9" s="34"/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/>
      <c r="C10" s="50"/>
      <c r="D10" s="40"/>
      <c r="E10" s="33"/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0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A46F1B63-ED5A-4399-85A9-B34AF5ABBB0C}" fitToPage="1">
      <selection activeCell="C17" sqref="C17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EB5AF4DB-FF30-466E-9AB7-B9508507F017}" fitToPage="1">
      <selection activeCell="C12" sqref="C12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  <customSheetView guid="{C09A3046-0EA5-410D-A18C-0F3029D3DB37}" showPageBreaks="1" fitToPage="1" printArea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3"/>
    </customSheetView>
  </customSheetViews>
  <mergeCells count="1">
    <mergeCell ref="A6:H6"/>
  </mergeCells>
  <conditionalFormatting sqref="K8:K17">
    <cfRule type="containsText" dxfId="11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4"/>
  <rowBreaks count="1" manualBreakCount="1">
    <brk id="36" max="7" man="1"/>
  </rowBrea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C10" sqref="C10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68" t="s">
        <v>22</v>
      </c>
      <c r="B6" s="69"/>
      <c r="C6" s="69"/>
      <c r="D6" s="69"/>
      <c r="E6" s="69"/>
      <c r="F6" s="69"/>
      <c r="G6" s="69"/>
      <c r="H6" s="70"/>
      <c r="I6" s="31" t="s">
        <v>21</v>
      </c>
      <c r="J6" s="30" t="str">
        <f ca="1">CONCATENATE((MID(CELL("filename",J6),FIND("]",CELL("filename",J6))+1,255)),"/04/2026")</f>
        <v>7/04/2026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/>
      <c r="C8" s="50"/>
      <c r="D8" s="40"/>
      <c r="E8" s="33"/>
      <c r="F8" s="33"/>
      <c r="G8" s="33"/>
      <c r="H8" s="33"/>
      <c r="I8" s="33"/>
      <c r="J8" s="34"/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/>
      <c r="C9" s="50"/>
      <c r="D9" s="40"/>
      <c r="E9" s="33"/>
      <c r="F9" s="33"/>
      <c r="G9" s="33"/>
      <c r="H9" s="33"/>
      <c r="I9" s="33"/>
      <c r="J9" s="34"/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/>
      <c r="C10" s="50"/>
      <c r="D10" s="40"/>
      <c r="E10" s="33"/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0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A46F1B63-ED5A-4399-85A9-B34AF5ABBB0C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EB5AF4DB-FF30-466E-9AB7-B9508507F017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  <customSheetView guid="{C09A3046-0EA5-410D-A18C-0F3029D3DB37}" showPageBreaks="1" fitToPage="1" printArea="1">
      <selection activeCell="C10" sqref="C10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3"/>
    </customSheetView>
  </customSheetViews>
  <mergeCells count="1">
    <mergeCell ref="A6:H6"/>
  </mergeCells>
  <conditionalFormatting sqref="K8:K17">
    <cfRule type="containsText" dxfId="10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4"/>
  <rowBreaks count="1" manualBreakCount="1">
    <brk id="36" max="7" man="1"/>
  </rowBrea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B8" sqref="B8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68" t="s">
        <v>22</v>
      </c>
      <c r="B6" s="69"/>
      <c r="C6" s="69"/>
      <c r="D6" s="69"/>
      <c r="E6" s="69"/>
      <c r="F6" s="69"/>
      <c r="G6" s="69"/>
      <c r="H6" s="70"/>
      <c r="I6" s="31" t="s">
        <v>21</v>
      </c>
      <c r="J6" s="30" t="str">
        <f ca="1">CONCATENATE((MID(CELL("filename",J6),FIND("]",CELL("filename",J6))+1,255)),"/04/2026")</f>
        <v>9/04/2026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/>
      <c r="C8" s="63" t="s">
        <v>35</v>
      </c>
      <c r="D8" s="40"/>
      <c r="E8" s="33"/>
      <c r="F8" s="33"/>
      <c r="G8" s="33"/>
      <c r="H8" s="33"/>
      <c r="I8" s="33"/>
      <c r="J8" s="34"/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>
        <v>324</v>
      </c>
      <c r="C9" s="50" t="s">
        <v>36</v>
      </c>
      <c r="D9" s="40">
        <v>46123</v>
      </c>
      <c r="E9" s="33" t="s">
        <v>39</v>
      </c>
      <c r="F9" s="33"/>
      <c r="G9" s="33"/>
      <c r="H9" s="33"/>
      <c r="I9" s="33"/>
      <c r="J9" s="34" t="s">
        <v>33</v>
      </c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>
        <v>816</v>
      </c>
      <c r="C10" s="50" t="s">
        <v>37</v>
      </c>
      <c r="D10" s="40">
        <v>46123</v>
      </c>
      <c r="E10" s="33">
        <v>2</v>
      </c>
      <c r="F10" s="33">
        <v>1</v>
      </c>
      <c r="G10" s="33"/>
      <c r="H10" s="33"/>
      <c r="I10" s="33"/>
      <c r="J10" s="34" t="s">
        <v>38</v>
      </c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2</v>
      </c>
      <c r="F18" s="29">
        <f>SUM(F8:F17)</f>
        <v>1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A46F1B63-ED5A-4399-85A9-B34AF5ABBB0C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EB5AF4DB-FF30-466E-9AB7-B9508507F017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  <customSheetView guid="{C09A3046-0EA5-410D-A18C-0F3029D3DB37}" showPageBreaks="1" fitToPage="1" printArea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3"/>
    </customSheetView>
  </customSheetViews>
  <mergeCells count="1">
    <mergeCell ref="A6:H6"/>
  </mergeCells>
  <conditionalFormatting sqref="K8:K17">
    <cfRule type="containsText" dxfId="9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4"/>
  <rowBreaks count="1" manualBreakCount="1">
    <brk id="36" max="7" man="1"/>
  </rowBrea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D10" sqref="D10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6.3320312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68" t="s">
        <v>22</v>
      </c>
      <c r="B6" s="69"/>
      <c r="C6" s="69"/>
      <c r="D6" s="69"/>
      <c r="E6" s="69"/>
      <c r="F6" s="69"/>
      <c r="G6" s="69"/>
      <c r="H6" s="70"/>
      <c r="I6" s="31" t="s">
        <v>21</v>
      </c>
      <c r="J6" s="30" t="str">
        <f ca="1">CONCATENATE((MID(CELL("filename",J6),FIND("]",CELL("filename",J6))+1,255)),"/04/2026")</f>
        <v>11/04/2026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 t="s">
        <v>42</v>
      </c>
      <c r="C8" s="50" t="s">
        <v>34</v>
      </c>
      <c r="D8" s="40">
        <v>46121</v>
      </c>
      <c r="E8" s="33">
        <v>2</v>
      </c>
      <c r="F8" s="33">
        <v>2</v>
      </c>
      <c r="G8" s="33"/>
      <c r="H8" s="33"/>
      <c r="I8" s="33"/>
      <c r="J8" s="34" t="s">
        <v>33</v>
      </c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>
        <v>693</v>
      </c>
      <c r="C9" s="50" t="s">
        <v>41</v>
      </c>
      <c r="D9" s="40">
        <v>46125</v>
      </c>
      <c r="E9" s="33">
        <v>3</v>
      </c>
      <c r="F9" s="33"/>
      <c r="G9" s="33"/>
      <c r="H9" s="33"/>
      <c r="I9" s="33"/>
      <c r="J9" s="34" t="s">
        <v>40</v>
      </c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/>
      <c r="C10" s="50"/>
      <c r="D10" s="40"/>
      <c r="E10" s="33"/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5</v>
      </c>
      <c r="F18" s="29">
        <f>SUM(F8:F17)</f>
        <v>2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A46F1B63-ED5A-4399-85A9-B34AF5ABBB0C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EB5AF4DB-FF30-466E-9AB7-B9508507F017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  <customSheetView guid="{C09A3046-0EA5-410D-A18C-0F3029D3DB37}" showPageBreaks="1" fitToPage="1" printArea="1">
      <selection activeCell="D10" sqref="D10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3"/>
    </customSheetView>
  </customSheetViews>
  <mergeCells count="1">
    <mergeCell ref="A6:H6"/>
  </mergeCells>
  <conditionalFormatting sqref="K8:K17">
    <cfRule type="containsText" dxfId="8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4"/>
  <rowBreaks count="1" manualBreakCount="1">
    <brk id="36" max="7" man="1"/>
  </rowBrea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B8" sqref="B8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68" t="s">
        <v>22</v>
      </c>
      <c r="B6" s="69"/>
      <c r="C6" s="69"/>
      <c r="D6" s="69"/>
      <c r="E6" s="69"/>
      <c r="F6" s="69"/>
      <c r="G6" s="69"/>
      <c r="H6" s="70"/>
      <c r="I6" s="31" t="s">
        <v>21</v>
      </c>
      <c r="J6" s="30" t="str">
        <f ca="1">CONCATENATE((MID(CELL("filename",J6),FIND("]",CELL("filename",J6))+1,255)),"/04/2026")</f>
        <v>14/04/2026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/>
      <c r="C8" s="50"/>
      <c r="D8" s="40"/>
      <c r="E8" s="33"/>
      <c r="F8" s="33"/>
      <c r="G8" s="33"/>
      <c r="H8" s="33"/>
      <c r="I8" s="33"/>
      <c r="J8" s="34"/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/>
      <c r="C9" s="50"/>
      <c r="D9" s="40"/>
      <c r="E9" s="33"/>
      <c r="F9" s="33"/>
      <c r="G9" s="33"/>
      <c r="H9" s="33"/>
      <c r="I9" s="33"/>
      <c r="J9" s="34"/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/>
      <c r="C10" s="50"/>
      <c r="D10" s="40"/>
      <c r="E10" s="33"/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0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A46F1B63-ED5A-4399-85A9-B34AF5ABBB0C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EB5AF4DB-FF30-466E-9AB7-B9508507F017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  <customSheetView guid="{C09A3046-0EA5-410D-A18C-0F3029D3DB37}" showPageBreaks="1" fitToPage="1" printArea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3"/>
    </customSheetView>
  </customSheetViews>
  <mergeCells count="1">
    <mergeCell ref="A6:H6"/>
  </mergeCells>
  <conditionalFormatting sqref="K8:K17">
    <cfRule type="containsText" dxfId="7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4"/>
  <rowBreaks count="1" manualBreakCount="1">
    <brk id="36" max="7" man="1"/>
  </rowBreak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B8" sqref="B8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68" t="s">
        <v>22</v>
      </c>
      <c r="B6" s="69"/>
      <c r="C6" s="69"/>
      <c r="D6" s="69"/>
      <c r="E6" s="69"/>
      <c r="F6" s="69"/>
      <c r="G6" s="69"/>
      <c r="H6" s="70"/>
      <c r="I6" s="31" t="s">
        <v>21</v>
      </c>
      <c r="J6" s="30" t="str">
        <f ca="1">CONCATENATE((MID(CELL("filename",J6),FIND("]",CELL("filename",J6))+1,255)),"/04/2026")</f>
        <v>16/04/2026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/>
      <c r="C8" s="50"/>
      <c r="D8" s="40"/>
      <c r="E8" s="33"/>
      <c r="F8" s="33"/>
      <c r="G8" s="33"/>
      <c r="H8" s="33"/>
      <c r="I8" s="33"/>
      <c r="J8" s="34"/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/>
      <c r="C9" s="50"/>
      <c r="D9" s="40"/>
      <c r="E9" s="33"/>
      <c r="F9" s="33"/>
      <c r="G9" s="33"/>
      <c r="H9" s="33"/>
      <c r="I9" s="33"/>
      <c r="J9" s="34"/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/>
      <c r="C10" s="50"/>
      <c r="D10" s="40"/>
      <c r="E10" s="33"/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0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A46F1B63-ED5A-4399-85A9-B34AF5ABBB0C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EB5AF4DB-FF30-466E-9AB7-B9508507F017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  <customSheetView guid="{C09A3046-0EA5-410D-A18C-0F3029D3DB37}" showPageBreaks="1" fitToPage="1" printArea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3"/>
    </customSheetView>
  </customSheetViews>
  <mergeCells count="1">
    <mergeCell ref="A6:H6"/>
  </mergeCells>
  <conditionalFormatting sqref="K8:K17">
    <cfRule type="containsText" dxfId="6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4"/>
  <rowBreaks count="1" manualBreakCount="1">
    <brk id="36" max="7" man="1"/>
  </rowBreaks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E9" sqref="E9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68" t="s">
        <v>22</v>
      </c>
      <c r="B6" s="69"/>
      <c r="C6" s="69"/>
      <c r="D6" s="69"/>
      <c r="E6" s="69"/>
      <c r="F6" s="69"/>
      <c r="G6" s="69"/>
      <c r="H6" s="70"/>
      <c r="I6" s="31" t="s">
        <v>21</v>
      </c>
      <c r="J6" s="30" t="str">
        <f ca="1">CONCATENATE((MID(CELL("filename",J6),FIND("]",CELL("filename",J6))+1,255)),"/04/2026")</f>
        <v>18/04/2026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>
        <v>329</v>
      </c>
      <c r="C8" s="50" t="s">
        <v>44</v>
      </c>
      <c r="D8" s="40">
        <v>46132</v>
      </c>
      <c r="E8" s="33" t="s">
        <v>45</v>
      </c>
      <c r="F8" s="33"/>
      <c r="G8" s="33"/>
      <c r="H8" s="33"/>
      <c r="I8" s="33"/>
      <c r="J8" s="34" t="s">
        <v>43</v>
      </c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/>
      <c r="C9" s="63" t="s">
        <v>35</v>
      </c>
      <c r="D9" s="40"/>
      <c r="E9" s="33"/>
      <c r="F9" s="33"/>
      <c r="G9" s="33"/>
      <c r="H9" s="33"/>
      <c r="I9" s="33"/>
      <c r="J9" s="34"/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/>
      <c r="C10" s="50"/>
      <c r="D10" s="40"/>
      <c r="E10" s="33"/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0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A46F1B63-ED5A-4399-85A9-B34AF5ABBB0C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EB5AF4DB-FF30-466E-9AB7-B9508507F017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  <customSheetView guid="{C09A3046-0EA5-410D-A18C-0F3029D3DB37}" showPageBreaks="1" fitToPage="1" printArea="1">
      <selection activeCell="E9" sqref="E9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3"/>
    </customSheetView>
  </customSheetViews>
  <mergeCells count="1">
    <mergeCell ref="A6:H6"/>
  </mergeCells>
  <conditionalFormatting sqref="K8:K17">
    <cfRule type="containsText" dxfId="5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4"/>
  <rowBreaks count="1" manualBreakCount="1">
    <brk id="36" max="7" man="1"/>
  </rowBrea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B8" sqref="B8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68" t="s">
        <v>22</v>
      </c>
      <c r="B6" s="69"/>
      <c r="C6" s="69"/>
      <c r="D6" s="69"/>
      <c r="E6" s="69"/>
      <c r="F6" s="69"/>
      <c r="G6" s="69"/>
      <c r="H6" s="70"/>
      <c r="I6" s="31" t="s">
        <v>21</v>
      </c>
      <c r="J6" s="30" t="str">
        <f ca="1">CONCATENATE((MID(CELL("filename",J6),FIND("]",CELL("filename",J6))+1,255)),"/04/2026")</f>
        <v>21/04/2026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/>
      <c r="C8" s="63" t="s">
        <v>35</v>
      </c>
      <c r="D8" s="40"/>
      <c r="E8" s="33"/>
      <c r="F8" s="33"/>
      <c r="G8" s="33"/>
      <c r="H8" s="33"/>
      <c r="I8" s="33"/>
      <c r="J8" s="34"/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/>
      <c r="C9" s="50"/>
      <c r="D9" s="40"/>
      <c r="E9" s="33"/>
      <c r="F9" s="33"/>
      <c r="G9" s="33"/>
      <c r="H9" s="33"/>
      <c r="I9" s="33"/>
      <c r="J9" s="34"/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/>
      <c r="C10" s="50"/>
      <c r="D10" s="40"/>
      <c r="E10" s="33"/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0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A46F1B63-ED5A-4399-85A9-B34AF5ABBB0C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EB5AF4DB-FF30-466E-9AB7-B9508507F017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  <customSheetView guid="{C09A3046-0EA5-410D-A18C-0F3029D3DB37}" showPageBreaks="1" fitToPage="1" printArea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3"/>
    </customSheetView>
  </customSheetViews>
  <mergeCells count="1">
    <mergeCell ref="A6:H6"/>
  </mergeCells>
  <conditionalFormatting sqref="K8:K17">
    <cfRule type="containsText" dxfId="4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4"/>
  <rowBreaks count="1" manualBreakCount="1">
    <brk id="36" max="7" man="1"/>
  </rowBreaks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B8" sqref="B8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68" t="s">
        <v>22</v>
      </c>
      <c r="B6" s="69"/>
      <c r="C6" s="69"/>
      <c r="D6" s="69"/>
      <c r="E6" s="69"/>
      <c r="F6" s="69"/>
      <c r="G6" s="69"/>
      <c r="H6" s="70"/>
      <c r="I6" s="31" t="s">
        <v>21</v>
      </c>
      <c r="J6" s="30" t="str">
        <f ca="1">CONCATENATE((MID(CELL("filename",J6),FIND("]",CELL("filename",J6))+1,255)),"/04/2026")</f>
        <v>23/04/2026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/>
      <c r="C8" s="63" t="s">
        <v>35</v>
      </c>
      <c r="D8" s="40"/>
      <c r="E8" s="33"/>
      <c r="F8" s="33"/>
      <c r="G8" s="33"/>
      <c r="H8" s="33"/>
      <c r="I8" s="33"/>
      <c r="J8" s="34"/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/>
      <c r="C9" s="50"/>
      <c r="D9" s="40"/>
      <c r="E9" s="33"/>
      <c r="F9" s="33"/>
      <c r="G9" s="33"/>
      <c r="H9" s="33"/>
      <c r="I9" s="33"/>
      <c r="J9" s="34"/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/>
      <c r="C10" s="50"/>
      <c r="D10" s="40"/>
      <c r="E10" s="33"/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0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A46F1B63-ED5A-4399-85A9-B34AF5ABBB0C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EB5AF4DB-FF30-466E-9AB7-B9508507F017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  <customSheetView guid="{C09A3046-0EA5-410D-A18C-0F3029D3DB37}" showPageBreaks="1" fitToPage="1" printArea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3"/>
    </customSheetView>
  </customSheetViews>
  <mergeCells count="1">
    <mergeCell ref="A6:H6"/>
  </mergeCells>
  <conditionalFormatting sqref="K8:K17">
    <cfRule type="containsText" dxfId="3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4"/>
  <rowBreaks count="1" manualBreakCount="1">
    <brk id="36" max="7" man="1"/>
  </rowBrea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B8" sqref="B8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68" t="s">
        <v>22</v>
      </c>
      <c r="B6" s="69"/>
      <c r="C6" s="69"/>
      <c r="D6" s="69"/>
      <c r="E6" s="69"/>
      <c r="F6" s="69"/>
      <c r="G6" s="69"/>
      <c r="H6" s="70"/>
      <c r="I6" s="31" t="s">
        <v>21</v>
      </c>
      <c r="J6" s="30" t="str">
        <f ca="1">CONCATENATE((MID(CELL("filename",J6),FIND("]",CELL("filename",J6))+1,255)),"/04/2026")</f>
        <v>25/04/2026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/>
      <c r="C8" s="63" t="s">
        <v>35</v>
      </c>
      <c r="D8" s="40"/>
      <c r="E8" s="33"/>
      <c r="F8" s="33"/>
      <c r="G8" s="33"/>
      <c r="H8" s="33"/>
      <c r="I8" s="33"/>
      <c r="J8" s="34"/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/>
      <c r="C9" s="50"/>
      <c r="D9" s="40"/>
      <c r="E9" s="33"/>
      <c r="F9" s="33"/>
      <c r="G9" s="33"/>
      <c r="H9" s="33"/>
      <c r="I9" s="33"/>
      <c r="J9" s="34"/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/>
      <c r="C10" s="50"/>
      <c r="D10" s="40"/>
      <c r="E10" s="33"/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0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A46F1B63-ED5A-4399-85A9-B34AF5ABBB0C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EB5AF4DB-FF30-466E-9AB7-B9508507F017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  <customSheetView guid="{C09A3046-0EA5-410D-A18C-0F3029D3DB37}" showPageBreaks="1" fitToPage="1" printArea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3"/>
    </customSheetView>
  </customSheetViews>
  <mergeCells count="1">
    <mergeCell ref="A6:H6"/>
  </mergeCells>
  <conditionalFormatting sqref="K8:K17">
    <cfRule type="containsText" dxfId="2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4"/>
  <rowBreaks count="1" manualBreakCount="1">
    <brk id="36" max="7" man="1"/>
  </rowBreaks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workbookViewId="0">
      <selection activeCell="C13" sqref="C13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68" t="s">
        <v>22</v>
      </c>
      <c r="B6" s="69"/>
      <c r="C6" s="69"/>
      <c r="D6" s="69"/>
      <c r="E6" s="69"/>
      <c r="F6" s="69"/>
      <c r="G6" s="69"/>
      <c r="H6" s="70"/>
      <c r="I6" s="31" t="s">
        <v>21</v>
      </c>
      <c r="J6" s="30" t="str">
        <f ca="1">CONCATENATE((MID(CELL("filename",J6),FIND("]",CELL("filename",J6))+1,255)),"/04/2026")</f>
        <v>28/04/2026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/>
      <c r="C8" s="50"/>
      <c r="D8" s="40"/>
      <c r="E8" s="33"/>
      <c r="F8" s="33"/>
      <c r="G8" s="33"/>
      <c r="H8" s="33"/>
      <c r="I8" s="33"/>
      <c r="J8" s="34"/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67">
        <v>2</v>
      </c>
      <c r="B9" s="33">
        <v>681</v>
      </c>
      <c r="C9" s="50" t="s">
        <v>48</v>
      </c>
      <c r="D9" s="40">
        <v>46141</v>
      </c>
      <c r="E9" s="33">
        <v>3</v>
      </c>
      <c r="F9" s="33"/>
      <c r="G9" s="33"/>
      <c r="H9" s="33"/>
      <c r="I9" s="33"/>
      <c r="J9" s="34" t="s">
        <v>46</v>
      </c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67">
        <v>3</v>
      </c>
      <c r="B10" s="33">
        <v>883</v>
      </c>
      <c r="C10" s="64" t="s">
        <v>47</v>
      </c>
      <c r="D10" s="65">
        <v>46141</v>
      </c>
      <c r="E10" s="66">
        <v>2</v>
      </c>
      <c r="F10" s="33"/>
      <c r="G10" s="33"/>
      <c r="H10" s="33"/>
      <c r="I10" s="33"/>
      <c r="J10" s="34" t="s">
        <v>33</v>
      </c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5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A46F1B63-ED5A-4399-85A9-B34AF5ABBB0C}" fitToPage="1">
      <selection activeCell="C12" sqref="C12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EB5AF4DB-FF30-466E-9AB7-B9508507F017}" fitToPage="1">
      <selection activeCell="C12" sqref="C12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  <customSheetView guid="{C09A3046-0EA5-410D-A18C-0F3029D3DB37}" showPageBreaks="1" fitToPage="1" printArea="1">
      <selection activeCell="J11" sqref="J11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3"/>
    </customSheetView>
  </customSheetViews>
  <mergeCells count="1">
    <mergeCell ref="A6:H6"/>
  </mergeCells>
  <conditionalFormatting sqref="K8:K17">
    <cfRule type="containsText" dxfId="1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4"/>
  <rowBreaks count="1" manualBreakCount="1">
    <brk id="36" max="7" man="1"/>
  </rowBreaks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tabSelected="1" zoomScaleNormal="100" zoomScaleSheetLayoutView="100" workbookViewId="0">
      <selection activeCell="C12" sqref="C12"/>
    </sheetView>
  </sheetViews>
  <sheetFormatPr defaultColWidth="9.109375" defaultRowHeight="18" x14ac:dyDescent="0.35"/>
  <cols>
    <col min="1" max="1" width="6.6640625" style="1" customWidth="1"/>
    <col min="2" max="2" width="11.109375" style="1" bestFit="1" customWidth="1"/>
    <col min="3" max="3" width="43.5546875" style="1" customWidth="1"/>
    <col min="4" max="4" width="15.109375" style="38" customWidth="1"/>
    <col min="5" max="5" width="13.33203125" style="1" customWidth="1"/>
    <col min="6" max="6" width="12.6640625" style="1" bestFit="1" customWidth="1"/>
    <col min="7" max="7" width="12.44140625" style="1" customWidth="1"/>
    <col min="8" max="8" width="10.44140625" style="1" customWidth="1"/>
    <col min="9" max="9" width="21.109375" style="1" bestFit="1" customWidth="1"/>
    <col min="10" max="10" width="24" style="1" customWidth="1"/>
    <col min="11" max="16384" width="9.109375" style="1"/>
  </cols>
  <sheetData>
    <row r="2" spans="1:11" x14ac:dyDescent="0.35">
      <c r="D2" s="36" t="s">
        <v>0</v>
      </c>
      <c r="E2" s="2"/>
      <c r="F2" s="2"/>
      <c r="G2" s="2"/>
    </row>
    <row r="3" spans="1:11" x14ac:dyDescent="0.35">
      <c r="D3" s="37"/>
      <c r="E3" s="3"/>
      <c r="F3" s="3"/>
      <c r="G3" s="3"/>
    </row>
    <row r="4" spans="1:11" x14ac:dyDescent="0.35">
      <c r="G4" s="4"/>
    </row>
    <row r="5" spans="1:11" s="5" customFormat="1" thickBot="1" x14ac:dyDescent="0.4">
      <c r="D5" s="39"/>
      <c r="E5" s="6"/>
      <c r="F5" s="6"/>
      <c r="G5" s="6"/>
      <c r="H5" s="6"/>
      <c r="I5" s="6"/>
      <c r="J5" s="7"/>
    </row>
    <row r="6" spans="1:11" s="27" customFormat="1" ht="24" thickBot="1" x14ac:dyDescent="0.5">
      <c r="A6" s="68" t="s">
        <v>22</v>
      </c>
      <c r="B6" s="69"/>
      <c r="C6" s="69"/>
      <c r="D6" s="69"/>
      <c r="E6" s="69"/>
      <c r="F6" s="69"/>
      <c r="G6" s="69"/>
      <c r="H6" s="70"/>
      <c r="I6" s="31" t="s">
        <v>21</v>
      </c>
      <c r="J6" s="30" t="str">
        <f ca="1">CONCATENATE((MID(CELL("filename",J6),FIND("]",CELL("filename",J6))+1,255)),"/04/2026")</f>
        <v>30/04/2026</v>
      </c>
    </row>
    <row r="7" spans="1:11" s="26" customFormat="1" x14ac:dyDescent="0.35">
      <c r="A7" s="32"/>
      <c r="B7" s="33" t="s">
        <v>1</v>
      </c>
      <c r="C7" s="33" t="s">
        <v>2</v>
      </c>
      <c r="D7" s="40" t="s">
        <v>16</v>
      </c>
      <c r="E7" s="33" t="s">
        <v>17</v>
      </c>
      <c r="F7" s="33" t="s">
        <v>18</v>
      </c>
      <c r="G7" s="33" t="s">
        <v>3</v>
      </c>
      <c r="H7" s="33" t="s">
        <v>4</v>
      </c>
      <c r="I7" s="33" t="s">
        <v>19</v>
      </c>
      <c r="J7" s="34" t="s">
        <v>5</v>
      </c>
    </row>
    <row r="8" spans="1:11" s="26" customFormat="1" x14ac:dyDescent="0.35">
      <c r="A8" s="35">
        <v>1</v>
      </c>
      <c r="B8" s="33"/>
      <c r="C8" s="63" t="s">
        <v>35</v>
      </c>
      <c r="D8" s="40"/>
      <c r="E8" s="33"/>
      <c r="F8" s="33"/>
      <c r="G8" s="33"/>
      <c r="H8" s="33"/>
      <c r="I8" s="33"/>
      <c r="J8" s="34"/>
      <c r="K8" s="57" t="str">
        <f>IF(OR(NOT(ISERROR(MATCH(RIGHT(B8,3)+0,#REF!,0))),NOT(ISERROR(MATCH(LEFT(B8,3)+0,#REF!,0)))),"No Post","")</f>
        <v/>
      </c>
    </row>
    <row r="9" spans="1:11" s="26" customFormat="1" x14ac:dyDescent="0.35">
      <c r="A9" s="35">
        <v>2</v>
      </c>
      <c r="B9" s="33"/>
      <c r="C9" s="50"/>
      <c r="D9" s="40"/>
      <c r="E9" s="33"/>
      <c r="F9" s="33"/>
      <c r="G9" s="33"/>
      <c r="H9" s="33"/>
      <c r="I9" s="33"/>
      <c r="J9" s="34"/>
      <c r="K9" s="57" t="str">
        <f>IF(OR(NOT(ISERROR(MATCH(RIGHT(B9,3)+0,#REF!,0))),NOT(ISERROR(MATCH(LEFT(B9,3)+0,#REF!,0)))),"No Post","")</f>
        <v/>
      </c>
    </row>
    <row r="10" spans="1:11" s="26" customFormat="1" x14ac:dyDescent="0.35">
      <c r="A10" s="35">
        <v>3</v>
      </c>
      <c r="B10" s="33"/>
      <c r="C10" s="50"/>
      <c r="D10" s="40"/>
      <c r="E10" s="33"/>
      <c r="F10" s="33"/>
      <c r="G10" s="33"/>
      <c r="H10" s="33"/>
      <c r="I10" s="33"/>
      <c r="J10" s="34"/>
      <c r="K10" s="57" t="str">
        <f>IF(OR(NOT(ISERROR(MATCH(RIGHT(B10,3)+0,#REF!,0))),NOT(ISERROR(MATCH(LEFT(B10,3)+0,#REF!,0)))),"No Post","")</f>
        <v/>
      </c>
    </row>
    <row r="11" spans="1:11" s="26" customFormat="1" x14ac:dyDescent="0.35">
      <c r="A11" s="35">
        <v>4</v>
      </c>
      <c r="B11" s="33"/>
      <c r="C11" s="50"/>
      <c r="D11" s="40"/>
      <c r="E11" s="33"/>
      <c r="F11" s="33"/>
      <c r="G11" s="33"/>
      <c r="H11" s="33"/>
      <c r="I11" s="33"/>
      <c r="J11" s="34"/>
      <c r="K11" s="57" t="str">
        <f>IF(OR(NOT(ISERROR(MATCH(RIGHT(B11,3)+0,#REF!,0))),NOT(ISERROR(MATCH(LEFT(B11,3)+0,#REF!,0)))),"No Post","")</f>
        <v/>
      </c>
    </row>
    <row r="12" spans="1:11" s="26" customFormat="1" x14ac:dyDescent="0.35">
      <c r="A12" s="35">
        <v>5</v>
      </c>
      <c r="B12" s="33"/>
      <c r="C12" s="50"/>
      <c r="D12" s="40"/>
      <c r="E12" s="33"/>
      <c r="F12" s="33"/>
      <c r="G12" s="33"/>
      <c r="H12" s="33"/>
      <c r="I12" s="33"/>
      <c r="J12" s="34"/>
      <c r="K12" s="57" t="str">
        <f>IF(OR(NOT(ISERROR(MATCH(RIGHT(B12,3)+0,#REF!,0))),NOT(ISERROR(MATCH(LEFT(B12,3)+0,#REF!,0)))),"No Post","")</f>
        <v/>
      </c>
    </row>
    <row r="13" spans="1:11" s="26" customFormat="1" x14ac:dyDescent="0.35">
      <c r="A13" s="35">
        <v>6</v>
      </c>
      <c r="B13" s="33"/>
      <c r="C13" s="50"/>
      <c r="D13" s="40"/>
      <c r="E13" s="33"/>
      <c r="F13" s="33"/>
      <c r="G13" s="33"/>
      <c r="H13" s="33"/>
      <c r="I13" s="33"/>
      <c r="J13" s="34"/>
      <c r="K13" s="57" t="str">
        <f>IF(OR(NOT(ISERROR(MATCH(RIGHT(B13,3)+0,#REF!,0))),NOT(ISERROR(MATCH(LEFT(B13,3)+0,#REF!,0)))),"No Post","")</f>
        <v/>
      </c>
    </row>
    <row r="14" spans="1:11" s="26" customFormat="1" x14ac:dyDescent="0.35">
      <c r="A14" s="35">
        <v>7</v>
      </c>
      <c r="B14" s="33"/>
      <c r="C14" s="50"/>
      <c r="D14" s="40"/>
      <c r="E14" s="33"/>
      <c r="F14" s="33"/>
      <c r="G14" s="33"/>
      <c r="H14" s="33"/>
      <c r="I14" s="33"/>
      <c r="J14" s="34"/>
      <c r="K14" s="57" t="str">
        <f>IF(OR(NOT(ISERROR(MATCH(RIGHT(B14,3)+0,#REF!,0))),NOT(ISERROR(MATCH(LEFT(B14,3)+0,#REF!,0)))),"No Post","")</f>
        <v/>
      </c>
    </row>
    <row r="15" spans="1:11" s="26" customFormat="1" x14ac:dyDescent="0.35">
      <c r="A15" s="35">
        <v>8</v>
      </c>
      <c r="B15" s="33"/>
      <c r="C15" s="50"/>
      <c r="D15" s="40"/>
      <c r="E15" s="33"/>
      <c r="F15" s="33"/>
      <c r="G15" s="33"/>
      <c r="H15" s="33"/>
      <c r="I15" s="33"/>
      <c r="J15" s="34"/>
      <c r="K15" s="57" t="str">
        <f>IF(OR(NOT(ISERROR(MATCH(RIGHT(B15,3)+0,#REF!,0))),NOT(ISERROR(MATCH(LEFT(B15,3)+0,#REF!,0)))),"No Post","")</f>
        <v/>
      </c>
    </row>
    <row r="16" spans="1:11" s="26" customFormat="1" x14ac:dyDescent="0.35">
      <c r="A16" s="35">
        <v>9</v>
      </c>
      <c r="B16" s="33"/>
      <c r="C16" s="50"/>
      <c r="D16" s="40"/>
      <c r="E16" s="33"/>
      <c r="F16" s="33"/>
      <c r="G16" s="33"/>
      <c r="H16" s="33"/>
      <c r="I16" s="33"/>
      <c r="J16" s="34"/>
      <c r="K16" s="57" t="str">
        <f>IF(OR(NOT(ISERROR(MATCH(RIGHT(B16,3)+0,#REF!,0))),NOT(ISERROR(MATCH(LEFT(B16,3)+0,#REF!,0)))),"No Post","")</f>
        <v/>
      </c>
    </row>
    <row r="17" spans="1:11" s="26" customFormat="1" x14ac:dyDescent="0.35">
      <c r="A17" s="35">
        <v>10</v>
      </c>
      <c r="B17" s="33"/>
      <c r="C17" s="50"/>
      <c r="D17" s="40"/>
      <c r="E17" s="33"/>
      <c r="F17" s="33"/>
      <c r="G17" s="33"/>
      <c r="H17" s="33"/>
      <c r="I17" s="33"/>
      <c r="J17" s="34"/>
      <c r="K17" s="57" t="str">
        <f>IF(OR(NOT(ISERROR(MATCH(RIGHT(B17,3)+0,#REF!,0))),NOT(ISERROR(MATCH(LEFT(B17,3)+0,#REF!,0)))),"No Post","")</f>
        <v/>
      </c>
    </row>
    <row r="18" spans="1:11" s="26" customFormat="1" ht="20.25" customHeight="1" x14ac:dyDescent="0.35">
      <c r="B18" s="28"/>
      <c r="C18" s="28"/>
      <c r="D18" s="41" t="s">
        <v>20</v>
      </c>
      <c r="E18" s="29">
        <f>SUM(E8:E17)</f>
        <v>0</v>
      </c>
      <c r="F18" s="29">
        <f>SUM(F8:F17)</f>
        <v>0</v>
      </c>
      <c r="G18" s="28"/>
      <c r="H18" s="28"/>
      <c r="I18" s="28"/>
    </row>
    <row r="19" spans="1:11" ht="20.25" customHeight="1" x14ac:dyDescent="0.35">
      <c r="A19" s="9"/>
      <c r="B19" s="9"/>
      <c r="C19" s="9"/>
      <c r="D19" s="42"/>
      <c r="E19" s="9"/>
      <c r="F19" s="9"/>
      <c r="G19" s="9"/>
      <c r="H19" s="9"/>
      <c r="I19" s="9"/>
      <c r="J19" s="9"/>
    </row>
    <row r="20" spans="1:11" ht="20.25" customHeight="1" x14ac:dyDescent="0.35">
      <c r="A20" s="9"/>
      <c r="B20" s="9"/>
      <c r="C20" s="9"/>
      <c r="D20" s="42"/>
      <c r="E20" s="9"/>
      <c r="F20" s="9"/>
      <c r="G20" s="9"/>
      <c r="H20" s="9"/>
      <c r="I20" s="9"/>
      <c r="J20" s="9"/>
    </row>
    <row r="21" spans="1:11" ht="20.25" customHeight="1" x14ac:dyDescent="0.35">
      <c r="C21" s="8" t="s">
        <v>6</v>
      </c>
      <c r="D21" s="43"/>
      <c r="E21" s="8"/>
      <c r="F21" s="8"/>
      <c r="G21" s="8"/>
    </row>
    <row r="22" spans="1:11" ht="20.25" customHeight="1" x14ac:dyDescent="0.35">
      <c r="C22" s="9" t="s">
        <v>7</v>
      </c>
      <c r="D22" s="42"/>
      <c r="E22" s="9"/>
      <c r="F22" s="9"/>
      <c r="G22" s="9"/>
      <c r="H22" s="9"/>
    </row>
    <row r="23" spans="1:11" ht="20.25" customHeight="1" x14ac:dyDescent="0.35">
      <c r="C23" s="9" t="s">
        <v>8</v>
      </c>
      <c r="D23" s="42"/>
      <c r="E23" s="9"/>
      <c r="F23" s="9"/>
      <c r="G23" s="9"/>
      <c r="H23" s="9"/>
    </row>
    <row r="24" spans="1:11" ht="20.25" customHeight="1" x14ac:dyDescent="0.35">
      <c r="C24" s="9" t="s">
        <v>9</v>
      </c>
      <c r="D24" s="42"/>
      <c r="E24" s="9"/>
      <c r="F24" s="9"/>
      <c r="G24" s="9"/>
      <c r="H24" s="9"/>
    </row>
    <row r="25" spans="1:11" x14ac:dyDescent="0.35">
      <c r="C25" s="9" t="s">
        <v>10</v>
      </c>
      <c r="D25" s="42"/>
      <c r="E25" s="9"/>
      <c r="F25" s="9"/>
      <c r="G25" s="9"/>
      <c r="H25" s="9"/>
    </row>
    <row r="26" spans="1:11" x14ac:dyDescent="0.35">
      <c r="C26" s="9" t="s">
        <v>11</v>
      </c>
      <c r="D26" s="42"/>
      <c r="E26" s="9"/>
      <c r="F26" s="9"/>
      <c r="G26" s="9"/>
      <c r="H26" s="9"/>
    </row>
    <row r="27" spans="1:11" s="12" customFormat="1" x14ac:dyDescent="0.35">
      <c r="C27" s="9" t="s">
        <v>12</v>
      </c>
      <c r="D27" s="42"/>
      <c r="E27" s="9"/>
      <c r="F27" s="9"/>
      <c r="G27" s="9"/>
      <c r="H27" s="10"/>
      <c r="I27" s="11"/>
      <c r="J27" s="11"/>
    </row>
    <row r="28" spans="1:11" s="16" customFormat="1" ht="15.6" x14ac:dyDescent="0.3">
      <c r="C28" s="13" t="s">
        <v>13</v>
      </c>
      <c r="D28" s="44"/>
      <c r="E28" s="13"/>
      <c r="F28" s="13"/>
      <c r="G28" s="13"/>
      <c r="H28" s="14"/>
      <c r="I28" s="15"/>
      <c r="J28" s="15"/>
    </row>
    <row r="29" spans="1:11" s="16" customFormat="1" ht="15.6" x14ac:dyDescent="0.3">
      <c r="C29" s="13" t="s">
        <v>14</v>
      </c>
      <c r="D29" s="44"/>
      <c r="E29" s="13"/>
      <c r="F29" s="13"/>
      <c r="G29" s="13"/>
      <c r="H29" s="14"/>
      <c r="I29" s="15"/>
      <c r="J29" s="15"/>
    </row>
    <row r="30" spans="1:11" s="21" customFormat="1" ht="20.25" customHeight="1" x14ac:dyDescent="0.35">
      <c r="C30" s="17" t="s">
        <v>15</v>
      </c>
      <c r="D30" s="45"/>
      <c r="E30" s="18"/>
      <c r="F30" s="18"/>
      <c r="G30" s="18"/>
      <c r="H30" s="19"/>
      <c r="I30" s="20"/>
      <c r="J30" s="20"/>
    </row>
    <row r="31" spans="1:11" s="8" customFormat="1" ht="14.4" x14ac:dyDescent="0.3">
      <c r="C31" s="22"/>
      <c r="D31" s="46"/>
      <c r="E31" s="23"/>
      <c r="F31" s="23"/>
      <c r="G31" s="23"/>
      <c r="H31" s="23"/>
    </row>
    <row r="32" spans="1:11" s="9" customFormat="1" ht="13.8" x14ac:dyDescent="0.3">
      <c r="C32" s="23"/>
      <c r="D32" s="46"/>
      <c r="E32" s="23"/>
      <c r="F32" s="23"/>
      <c r="G32" s="23"/>
      <c r="H32" s="23"/>
    </row>
    <row r="33" spans="3:8" x14ac:dyDescent="0.35">
      <c r="C33" s="23"/>
      <c r="D33" s="46"/>
      <c r="E33" s="23"/>
      <c r="F33" s="23"/>
      <c r="G33" s="23"/>
      <c r="H33" s="23"/>
    </row>
    <row r="34" spans="3:8" x14ac:dyDescent="0.35">
      <c r="C34" s="24"/>
      <c r="D34" s="47"/>
      <c r="E34" s="24"/>
      <c r="F34" s="24"/>
      <c r="G34" s="24"/>
      <c r="H34" s="24"/>
    </row>
    <row r="35" spans="3:8" x14ac:dyDescent="0.35">
      <c r="C35" s="23"/>
      <c r="D35" s="46"/>
      <c r="E35" s="23"/>
      <c r="F35" s="23"/>
      <c r="G35" s="23"/>
      <c r="H35" s="23"/>
    </row>
    <row r="36" spans="3:8" x14ac:dyDescent="0.35">
      <c r="C36" s="23"/>
      <c r="D36" s="46"/>
      <c r="E36" s="23"/>
      <c r="F36" s="23"/>
      <c r="G36" s="23"/>
      <c r="H36" s="23"/>
    </row>
    <row r="37" spans="3:8" x14ac:dyDescent="0.35">
      <c r="C37" s="23"/>
      <c r="D37" s="46"/>
      <c r="E37" s="23"/>
      <c r="F37" s="23"/>
      <c r="G37" s="23"/>
      <c r="H37" s="23"/>
    </row>
    <row r="38" spans="3:8" x14ac:dyDescent="0.35">
      <c r="C38" s="23"/>
      <c r="D38" s="46"/>
      <c r="E38" s="23"/>
      <c r="F38" s="23"/>
      <c r="G38" s="23"/>
      <c r="H38" s="23"/>
    </row>
    <row r="39" spans="3:8" x14ac:dyDescent="0.35">
      <c r="C39" s="23"/>
      <c r="D39" s="46"/>
      <c r="E39" s="23"/>
      <c r="F39" s="23"/>
      <c r="G39" s="23"/>
      <c r="H39" s="23"/>
    </row>
    <row r="40" spans="3:8" x14ac:dyDescent="0.35">
      <c r="C40" s="23"/>
      <c r="D40" s="46"/>
      <c r="E40" s="23"/>
      <c r="F40" s="23"/>
      <c r="G40" s="23"/>
      <c r="H40" s="23"/>
    </row>
    <row r="41" spans="3:8" x14ac:dyDescent="0.35">
      <c r="C41" s="22"/>
      <c r="D41" s="46"/>
      <c r="E41" s="23"/>
      <c r="F41" s="23"/>
      <c r="G41" s="23"/>
      <c r="H41" s="23"/>
    </row>
    <row r="42" spans="3:8" x14ac:dyDescent="0.35">
      <c r="C42" s="23"/>
      <c r="D42" s="46"/>
      <c r="E42" s="23"/>
      <c r="F42" s="23"/>
      <c r="G42" s="23"/>
      <c r="H42" s="23"/>
    </row>
    <row r="43" spans="3:8" x14ac:dyDescent="0.35">
      <c r="C43" s="11"/>
      <c r="D43" s="48"/>
      <c r="E43" s="11"/>
      <c r="F43" s="11"/>
      <c r="G43" s="11"/>
      <c r="H43" s="11"/>
    </row>
    <row r="44" spans="3:8" x14ac:dyDescent="0.35">
      <c r="C44" s="25"/>
      <c r="D44" s="49"/>
      <c r="E44" s="25"/>
      <c r="F44" s="25"/>
      <c r="G44" s="25"/>
      <c r="H44" s="25"/>
    </row>
    <row r="45" spans="3:8" x14ac:dyDescent="0.35">
      <c r="C45" s="11"/>
      <c r="D45" s="48"/>
      <c r="E45" s="11"/>
      <c r="F45" s="11"/>
      <c r="G45" s="11"/>
      <c r="H45" s="11"/>
    </row>
    <row r="46" spans="3:8" x14ac:dyDescent="0.35">
      <c r="C46" s="11"/>
      <c r="D46" s="48"/>
      <c r="E46" s="11"/>
      <c r="F46" s="11"/>
      <c r="G46" s="11"/>
      <c r="H46" s="11"/>
    </row>
    <row r="47" spans="3:8" x14ac:dyDescent="0.35">
      <c r="C47" s="11"/>
      <c r="D47" s="48"/>
      <c r="E47" s="11"/>
      <c r="F47" s="11"/>
      <c r="G47" s="11"/>
      <c r="H47" s="11"/>
    </row>
    <row r="48" spans="3:8" x14ac:dyDescent="0.35">
      <c r="C48" s="11"/>
      <c r="D48" s="48"/>
      <c r="E48" s="11"/>
      <c r="F48" s="11"/>
      <c r="G48" s="11"/>
      <c r="H48" s="11"/>
    </row>
    <row r="49" spans="3:8" x14ac:dyDescent="0.35">
      <c r="C49" s="11"/>
      <c r="D49" s="48"/>
      <c r="E49" s="11"/>
      <c r="F49" s="11"/>
      <c r="G49" s="11"/>
      <c r="H49" s="11"/>
    </row>
    <row r="50" spans="3:8" x14ac:dyDescent="0.35">
      <c r="C50" s="11"/>
      <c r="D50" s="48"/>
      <c r="E50" s="11"/>
      <c r="F50" s="11"/>
      <c r="G50" s="11"/>
      <c r="H50" s="11"/>
    </row>
    <row r="51" spans="3:8" x14ac:dyDescent="0.35">
      <c r="C51" s="11"/>
      <c r="D51" s="48"/>
      <c r="E51" s="11"/>
      <c r="F51" s="11"/>
      <c r="G51" s="11"/>
      <c r="H51" s="11"/>
    </row>
    <row r="52" spans="3:8" x14ac:dyDescent="0.35">
      <c r="C52" s="11"/>
      <c r="D52" s="48"/>
      <c r="E52" s="11"/>
      <c r="F52" s="11"/>
      <c r="G52" s="11"/>
      <c r="H52" s="11"/>
    </row>
    <row r="53" spans="3:8" x14ac:dyDescent="0.35">
      <c r="C53" s="11"/>
      <c r="D53" s="48"/>
      <c r="E53" s="11"/>
      <c r="F53" s="11"/>
      <c r="G53" s="11"/>
      <c r="H53" s="11"/>
    </row>
    <row r="54" spans="3:8" x14ac:dyDescent="0.35">
      <c r="C54" s="11"/>
      <c r="D54" s="48"/>
      <c r="E54" s="11"/>
      <c r="F54" s="11"/>
      <c r="G54" s="11"/>
      <c r="H54" s="11"/>
    </row>
    <row r="55" spans="3:8" x14ac:dyDescent="0.35">
      <c r="C55" s="11"/>
      <c r="D55" s="48"/>
      <c r="E55" s="11"/>
      <c r="F55" s="11"/>
      <c r="G55" s="11"/>
      <c r="H55" s="11"/>
    </row>
    <row r="56" spans="3:8" x14ac:dyDescent="0.35">
      <c r="C56" s="11"/>
      <c r="D56" s="48"/>
      <c r="E56" s="11"/>
      <c r="F56" s="11"/>
      <c r="G56" s="11"/>
      <c r="H56" s="11"/>
    </row>
    <row r="57" spans="3:8" x14ac:dyDescent="0.35">
      <c r="C57" s="11"/>
      <c r="D57" s="48"/>
      <c r="E57" s="11"/>
      <c r="F57" s="11"/>
      <c r="G57" s="11"/>
      <c r="H57" s="11"/>
    </row>
    <row r="58" spans="3:8" x14ac:dyDescent="0.35">
      <c r="C58" s="11"/>
      <c r="D58" s="48"/>
      <c r="E58" s="11"/>
      <c r="F58" s="11"/>
      <c r="G58" s="11"/>
      <c r="H58" s="11"/>
    </row>
    <row r="59" spans="3:8" x14ac:dyDescent="0.35">
      <c r="C59" s="23"/>
      <c r="D59" s="46"/>
      <c r="E59" s="23"/>
      <c r="F59" s="23"/>
      <c r="G59" s="23"/>
      <c r="H59" s="23"/>
    </row>
    <row r="60" spans="3:8" x14ac:dyDescent="0.35">
      <c r="C60" s="23"/>
      <c r="D60" s="46"/>
      <c r="E60" s="23"/>
      <c r="F60" s="23"/>
      <c r="G60" s="23"/>
      <c r="H60" s="23"/>
    </row>
    <row r="61" spans="3:8" x14ac:dyDescent="0.35">
      <c r="C61" s="23"/>
      <c r="D61" s="46"/>
      <c r="E61" s="23"/>
      <c r="F61" s="23"/>
      <c r="G61" s="23"/>
      <c r="H61" s="23"/>
    </row>
    <row r="62" spans="3:8" x14ac:dyDescent="0.35">
      <c r="C62" s="22"/>
      <c r="D62" s="46"/>
      <c r="E62" s="23"/>
      <c r="F62" s="23"/>
      <c r="G62" s="23"/>
      <c r="H62" s="23"/>
    </row>
    <row r="63" spans="3:8" x14ac:dyDescent="0.35">
      <c r="C63" s="23"/>
      <c r="D63" s="46"/>
      <c r="E63" s="23"/>
      <c r="F63" s="23"/>
      <c r="G63" s="23"/>
      <c r="H63" s="23"/>
    </row>
  </sheetData>
  <customSheetViews>
    <customSheetView guid="{A46F1B63-ED5A-4399-85A9-B34AF5ABBB0C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1"/>
    </customSheetView>
    <customSheetView guid="{EB5AF4DB-FF30-466E-9AB7-B9508507F017}" fitToPage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2"/>
    </customSheetView>
    <customSheetView guid="{C09A3046-0EA5-410D-A18C-0F3029D3DB37}" showPageBreaks="1" fitToPage="1" printArea="1">
      <selection activeCell="B8" sqref="B8"/>
      <rowBreaks count="1" manualBreakCount="1">
        <brk id="36" max="7" man="1"/>
      </rowBreaks>
      <pageMargins left="0.7" right="0.7" top="0.75" bottom="0.75" header="0.3" footer="0.3"/>
      <pageSetup scale="71" fitToHeight="0" orientation="landscape" r:id="rId3"/>
    </customSheetView>
  </customSheetViews>
  <mergeCells count="1">
    <mergeCell ref="A6:H6"/>
  </mergeCells>
  <conditionalFormatting sqref="K8:K17">
    <cfRule type="containsText" dxfId="0" priority="1" operator="containsText" text="No Post">
      <formula>NOT(ISERROR(SEARCH("No Post",K8)))</formula>
    </cfRule>
  </conditionalFormatting>
  <pageMargins left="0.7" right="0.7" top="0.75" bottom="0.75" header="0.3" footer="0.3"/>
  <pageSetup scale="71" fitToHeight="0" orientation="landscape" r:id="rId4"/>
  <rowBreaks count="1" manualBreakCount="1">
    <brk id="36" max="7" man="1"/>
  </rowBreaks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2</vt:lpstr>
      <vt:lpstr>3</vt:lpstr>
      <vt:lpstr>4</vt:lpstr>
      <vt:lpstr>7</vt:lpstr>
      <vt:lpstr>9</vt:lpstr>
      <vt:lpstr>11</vt:lpstr>
      <vt:lpstr>14</vt:lpstr>
      <vt:lpstr>16</vt:lpstr>
      <vt:lpstr>18</vt:lpstr>
      <vt:lpstr>21</vt:lpstr>
      <vt:lpstr>23</vt:lpstr>
      <vt:lpstr>25</vt:lpstr>
      <vt:lpstr>28</vt:lpstr>
      <vt:lpstr>30</vt:lpstr>
      <vt:lpstr>'11'!Print_Area</vt:lpstr>
      <vt:lpstr>'14'!Print_Area</vt:lpstr>
      <vt:lpstr>'16'!Print_Area</vt:lpstr>
      <vt:lpstr>'18'!Print_Area</vt:lpstr>
      <vt:lpstr>'2'!Print_Area</vt:lpstr>
      <vt:lpstr>'21'!Print_Area</vt:lpstr>
      <vt:lpstr>'23'!Print_Area</vt:lpstr>
      <vt:lpstr>'25'!Print_Area</vt:lpstr>
      <vt:lpstr>'28'!Print_Area</vt:lpstr>
      <vt:lpstr>'3'!Print_Area</vt:lpstr>
      <vt:lpstr>'30'!Print_Area</vt:lpstr>
      <vt:lpstr>'4'!Print_Area</vt:lpstr>
      <vt:lpstr>'7'!Print_Area</vt:lpstr>
      <vt:lpstr>'9'!Print_Area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AVasques</dc:creator>
  <cp:lastModifiedBy>Dive Centre Office</cp:lastModifiedBy>
  <cp:lastPrinted>2021-08-15T11:55:17Z</cp:lastPrinted>
  <dcterms:created xsi:type="dcterms:W3CDTF">2019-01-14T09:10:06Z</dcterms:created>
  <dcterms:modified xsi:type="dcterms:W3CDTF">2026-04-29T12:20:55Z</dcterms:modified>
</cp:coreProperties>
</file>