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wsSortMap1.xml" ContentType="application/vnd.ms-excel.wsSortMap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bookViews>
    <workbookView xWindow="0" yWindow="0" windowWidth="23040" windowHeight="9072" activeTab="7"/>
  </bookViews>
  <sheets>
    <sheet name="1" sheetId="1" r:id="rId1"/>
    <sheet name="3" sheetId="2" r:id="rId2"/>
    <sheet name="4" sheetId="3" r:id="rId3"/>
    <sheet name="6" sheetId="4" r:id="rId4"/>
    <sheet name="8" sheetId="5" r:id="rId5"/>
    <sheet name="10" sheetId="6" r:id="rId6"/>
    <sheet name="11" sheetId="7" r:id="rId7"/>
    <sheet name="13" sheetId="8" r:id="rId8"/>
    <sheet name="15" sheetId="9" r:id="rId9"/>
    <sheet name="17" sheetId="10" r:id="rId10"/>
    <sheet name="18" sheetId="11" r:id="rId11"/>
    <sheet name="20" sheetId="12" r:id="rId12"/>
    <sheet name="22" sheetId="13" r:id="rId13"/>
    <sheet name="24" sheetId="14" r:id="rId14"/>
    <sheet name="25" sheetId="15" r:id="rId15"/>
    <sheet name="27" sheetId="16" r:id="rId16"/>
    <sheet name="29" sheetId="17" r:id="rId17"/>
    <sheet name="31" sheetId="18" r:id="rId18"/>
  </sheets>
  <definedNames>
    <definedName name="_xlnm.Print_Area" localSheetId="0">'1'!$A$1:$J$30</definedName>
    <definedName name="_xlnm.Print_Area" localSheetId="5">'10'!$A$1:$J$30</definedName>
    <definedName name="_xlnm.Print_Area" localSheetId="6">'11'!$A$1:$J$30</definedName>
    <definedName name="_xlnm.Print_Area" localSheetId="7">'13'!$A$1:$J$30</definedName>
    <definedName name="_xlnm.Print_Area" localSheetId="8">'15'!$A$1:$J$30</definedName>
    <definedName name="_xlnm.Print_Area" localSheetId="9">'17'!$A$1:$J$30</definedName>
    <definedName name="_xlnm.Print_Area" localSheetId="10">'18'!$A$1:$J$30</definedName>
    <definedName name="_xlnm.Print_Area" localSheetId="11">'20'!$A$1:$J$30</definedName>
    <definedName name="_xlnm.Print_Area" localSheetId="12">'22'!$A$1:$J$30</definedName>
    <definedName name="_xlnm.Print_Area" localSheetId="13">'24'!$A$1:$J$30</definedName>
    <definedName name="_xlnm.Print_Area" localSheetId="14">'25'!$A$1:$J$30</definedName>
    <definedName name="_xlnm.Print_Area" localSheetId="15">'27'!$A$1:$J$30</definedName>
    <definedName name="_xlnm.Print_Area" localSheetId="16">'29'!$A$1:$J$30</definedName>
    <definedName name="_xlnm.Print_Area" localSheetId="1">'3'!$A$1:$J$30</definedName>
    <definedName name="_xlnm.Print_Area" localSheetId="17">'31'!$A$1:$J$30</definedName>
    <definedName name="_xlnm.Print_Area" localSheetId="2">'4'!$A$1:$J$30</definedName>
    <definedName name="_xlnm.Print_Area" localSheetId="3">'6'!$A$1:$J$30</definedName>
    <definedName name="_xlnm.Print_Area" localSheetId="4">'8'!$A$1:$J$30</definedName>
    <definedName name="Z_66A3FF2F_1AA8_4A03_AFB2_C743A0B8A831_.wvu.PrintArea" localSheetId="0" hidden="1">'1'!$A$1:$J$30</definedName>
    <definedName name="Z_66A3FF2F_1AA8_4A03_AFB2_C743A0B8A831_.wvu.PrintArea" localSheetId="5" hidden="1">'10'!$A$1:$J$30</definedName>
    <definedName name="Z_66A3FF2F_1AA8_4A03_AFB2_C743A0B8A831_.wvu.PrintArea" localSheetId="6" hidden="1">'11'!$A$1:$J$30</definedName>
    <definedName name="Z_66A3FF2F_1AA8_4A03_AFB2_C743A0B8A831_.wvu.PrintArea" localSheetId="7" hidden="1">'13'!$A$1:$J$30</definedName>
    <definedName name="Z_66A3FF2F_1AA8_4A03_AFB2_C743A0B8A831_.wvu.PrintArea" localSheetId="8" hidden="1">'15'!$A$1:$J$30</definedName>
    <definedName name="Z_66A3FF2F_1AA8_4A03_AFB2_C743A0B8A831_.wvu.PrintArea" localSheetId="9" hidden="1">'17'!$A$1:$J$30</definedName>
    <definedName name="Z_66A3FF2F_1AA8_4A03_AFB2_C743A0B8A831_.wvu.PrintArea" localSheetId="10" hidden="1">'18'!$A$1:$J$30</definedName>
    <definedName name="Z_66A3FF2F_1AA8_4A03_AFB2_C743A0B8A831_.wvu.PrintArea" localSheetId="11" hidden="1">'20'!$A$1:$J$30</definedName>
    <definedName name="Z_66A3FF2F_1AA8_4A03_AFB2_C743A0B8A831_.wvu.PrintArea" localSheetId="12" hidden="1">'22'!$A$1:$J$30</definedName>
    <definedName name="Z_66A3FF2F_1AA8_4A03_AFB2_C743A0B8A831_.wvu.PrintArea" localSheetId="13" hidden="1">'24'!$A$1:$J$30</definedName>
    <definedName name="Z_66A3FF2F_1AA8_4A03_AFB2_C743A0B8A831_.wvu.PrintArea" localSheetId="14" hidden="1">'25'!$A$1:$J$30</definedName>
    <definedName name="Z_66A3FF2F_1AA8_4A03_AFB2_C743A0B8A831_.wvu.PrintArea" localSheetId="15" hidden="1">'27'!$A$1:$J$30</definedName>
    <definedName name="Z_66A3FF2F_1AA8_4A03_AFB2_C743A0B8A831_.wvu.PrintArea" localSheetId="16" hidden="1">'29'!$A$1:$J$30</definedName>
    <definedName name="Z_66A3FF2F_1AA8_4A03_AFB2_C743A0B8A831_.wvu.PrintArea" localSheetId="1" hidden="1">'3'!$A$1:$J$30</definedName>
    <definedName name="Z_66A3FF2F_1AA8_4A03_AFB2_C743A0B8A831_.wvu.PrintArea" localSheetId="17" hidden="1">'31'!$A$1:$J$30</definedName>
    <definedName name="Z_66A3FF2F_1AA8_4A03_AFB2_C743A0B8A831_.wvu.PrintArea" localSheetId="2" hidden="1">'4'!$A$1:$J$30</definedName>
    <definedName name="Z_66A3FF2F_1AA8_4A03_AFB2_C743A0B8A831_.wvu.PrintArea" localSheetId="3" hidden="1">'6'!$A$1:$J$30</definedName>
    <definedName name="Z_66A3FF2F_1AA8_4A03_AFB2_C743A0B8A831_.wvu.PrintArea" localSheetId="4" hidden="1">'8'!$A$1:$J$30</definedName>
    <definedName name="Z_8F41B6D6_A2ED_49A0_BD3A_88F42735B824_.wvu.PrintArea" localSheetId="0" hidden="1">'1'!$A$1:$J$30</definedName>
    <definedName name="Z_8F41B6D6_A2ED_49A0_BD3A_88F42735B824_.wvu.PrintArea" localSheetId="5" hidden="1">'10'!$A$1:$J$30</definedName>
    <definedName name="Z_8F41B6D6_A2ED_49A0_BD3A_88F42735B824_.wvu.PrintArea" localSheetId="6" hidden="1">'11'!$A$1:$J$30</definedName>
    <definedName name="Z_8F41B6D6_A2ED_49A0_BD3A_88F42735B824_.wvu.PrintArea" localSheetId="7" hidden="1">'13'!$A$1:$J$30</definedName>
    <definedName name="Z_8F41B6D6_A2ED_49A0_BD3A_88F42735B824_.wvu.PrintArea" localSheetId="8" hidden="1">'15'!$A$1:$J$30</definedName>
    <definedName name="Z_8F41B6D6_A2ED_49A0_BD3A_88F42735B824_.wvu.PrintArea" localSheetId="9" hidden="1">'17'!$A$1:$J$30</definedName>
    <definedName name="Z_8F41B6D6_A2ED_49A0_BD3A_88F42735B824_.wvu.PrintArea" localSheetId="10" hidden="1">'18'!$A$1:$J$30</definedName>
    <definedName name="Z_8F41B6D6_A2ED_49A0_BD3A_88F42735B824_.wvu.PrintArea" localSheetId="11" hidden="1">'20'!$A$1:$J$30</definedName>
    <definedName name="Z_8F41B6D6_A2ED_49A0_BD3A_88F42735B824_.wvu.PrintArea" localSheetId="12" hidden="1">'22'!$A$1:$J$30</definedName>
    <definedName name="Z_8F41B6D6_A2ED_49A0_BD3A_88F42735B824_.wvu.PrintArea" localSheetId="13" hidden="1">'24'!$A$1:$J$30</definedName>
    <definedName name="Z_8F41B6D6_A2ED_49A0_BD3A_88F42735B824_.wvu.PrintArea" localSheetId="14" hidden="1">'25'!$A$1:$J$30</definedName>
    <definedName name="Z_8F41B6D6_A2ED_49A0_BD3A_88F42735B824_.wvu.PrintArea" localSheetId="15" hidden="1">'27'!$A$1:$J$30</definedName>
    <definedName name="Z_8F41B6D6_A2ED_49A0_BD3A_88F42735B824_.wvu.PrintArea" localSheetId="16" hidden="1">'29'!$A$1:$J$30</definedName>
    <definedName name="Z_8F41B6D6_A2ED_49A0_BD3A_88F42735B824_.wvu.PrintArea" localSheetId="1" hidden="1">'3'!$A$1:$J$30</definedName>
    <definedName name="Z_8F41B6D6_A2ED_49A0_BD3A_88F42735B824_.wvu.PrintArea" localSheetId="17" hidden="1">'31'!$A$1:$J$30</definedName>
    <definedName name="Z_8F41B6D6_A2ED_49A0_BD3A_88F42735B824_.wvu.PrintArea" localSheetId="2" hidden="1">'4'!$A$1:$J$30</definedName>
    <definedName name="Z_8F41B6D6_A2ED_49A0_BD3A_88F42735B824_.wvu.PrintArea" localSheetId="3" hidden="1">'6'!$A$1:$J$30</definedName>
    <definedName name="Z_8F41B6D6_A2ED_49A0_BD3A_88F42735B824_.wvu.PrintArea" localSheetId="4" hidden="1">'8'!$A$1:$J$30</definedName>
    <definedName name="Z_EF6E8789_B4C7_45F7_89B4_94EF3DAB98CE_.wvu.PrintArea" localSheetId="0" hidden="1">'1'!$A$1:$J$30</definedName>
    <definedName name="Z_EF6E8789_B4C7_45F7_89B4_94EF3DAB98CE_.wvu.PrintArea" localSheetId="5" hidden="1">'10'!$A$1:$J$30</definedName>
    <definedName name="Z_EF6E8789_B4C7_45F7_89B4_94EF3DAB98CE_.wvu.PrintArea" localSheetId="6" hidden="1">'11'!$A$1:$J$30</definedName>
    <definedName name="Z_EF6E8789_B4C7_45F7_89B4_94EF3DAB98CE_.wvu.PrintArea" localSheetId="7" hidden="1">'13'!$A$1:$J$30</definedName>
    <definedName name="Z_EF6E8789_B4C7_45F7_89B4_94EF3DAB98CE_.wvu.PrintArea" localSheetId="8" hidden="1">'15'!$A$1:$J$30</definedName>
    <definedName name="Z_EF6E8789_B4C7_45F7_89B4_94EF3DAB98CE_.wvu.PrintArea" localSheetId="9" hidden="1">'17'!$A$1:$J$30</definedName>
    <definedName name="Z_EF6E8789_B4C7_45F7_89B4_94EF3DAB98CE_.wvu.PrintArea" localSheetId="10" hidden="1">'18'!$A$1:$J$30</definedName>
    <definedName name="Z_EF6E8789_B4C7_45F7_89B4_94EF3DAB98CE_.wvu.PrintArea" localSheetId="11" hidden="1">'20'!$A$1:$J$30</definedName>
    <definedName name="Z_EF6E8789_B4C7_45F7_89B4_94EF3DAB98CE_.wvu.PrintArea" localSheetId="12" hidden="1">'22'!$A$1:$J$30</definedName>
    <definedName name="Z_EF6E8789_B4C7_45F7_89B4_94EF3DAB98CE_.wvu.PrintArea" localSheetId="13" hidden="1">'24'!$A$1:$J$30</definedName>
    <definedName name="Z_EF6E8789_B4C7_45F7_89B4_94EF3DAB98CE_.wvu.PrintArea" localSheetId="14" hidden="1">'25'!$A$1:$J$30</definedName>
    <definedName name="Z_EF6E8789_B4C7_45F7_89B4_94EF3DAB98CE_.wvu.PrintArea" localSheetId="15" hidden="1">'27'!$A$1:$J$30</definedName>
    <definedName name="Z_EF6E8789_B4C7_45F7_89B4_94EF3DAB98CE_.wvu.PrintArea" localSheetId="16" hidden="1">'29'!$A$1:$J$30</definedName>
    <definedName name="Z_EF6E8789_B4C7_45F7_89B4_94EF3DAB98CE_.wvu.PrintArea" localSheetId="1" hidden="1">'3'!$A$1:$J$30</definedName>
    <definedName name="Z_EF6E8789_B4C7_45F7_89B4_94EF3DAB98CE_.wvu.PrintArea" localSheetId="17" hidden="1">'31'!$A$1:$J$30</definedName>
    <definedName name="Z_EF6E8789_B4C7_45F7_89B4_94EF3DAB98CE_.wvu.PrintArea" localSheetId="2" hidden="1">'4'!$A$1:$J$30</definedName>
    <definedName name="Z_EF6E8789_B4C7_45F7_89B4_94EF3DAB98CE_.wvu.PrintArea" localSheetId="3" hidden="1">'6'!$A$1:$J$30</definedName>
    <definedName name="Z_EF6E8789_B4C7_45F7_89B4_94EF3DAB98CE_.wvu.PrintArea" localSheetId="4" hidden="1">'8'!$A$1:$J$30</definedName>
  </definedNames>
  <calcPr calcId="162913" calcOnSave="0"/>
  <customWorkbookViews>
    <customWorkbookView name="Dive Centre Office - Personal View" guid="{8F41B6D6-A2ED-49A0-BD3A-88F42735B824}" mergeInterval="0" personalView="1" maximized="1" xWindow="-9" yWindow="-9" windowWidth="1938" windowHeight="1038" activeSheetId="7"/>
    <customWorkbookView name="Dhigurah Water Sports - Personal View" guid="{66A3FF2F-1AA8-4A03-AFB2-C743A0B8A831}" mergeInterval="0" personalView="1" maximized="1" xWindow="-8" yWindow="-8" windowWidth="1382" windowHeight="736" activeSheetId="3"/>
    <customWorkbookView name="Assistant DiveCenter Manager - Personal View" guid="{EF6E8789-B4C7-45F7-89B4-94EF3DAB98CE}" mergeInterval="0" personalView="1" maximized="1" showHorizontalScroll="0" showVerticalScroll="0" xWindow="-9" yWindow="-9" windowWidth="1938" windowHeight="1038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7" i="18" l="1"/>
  <c r="E17" i="18"/>
  <c r="K16" i="18"/>
  <c r="K15" i="18"/>
  <c r="K14" i="18"/>
  <c r="K13" i="18"/>
  <c r="K12" i="18"/>
  <c r="K11" i="18"/>
  <c r="K10" i="18"/>
  <c r="K9" i="18"/>
  <c r="K8" i="18"/>
  <c r="K7" i="18"/>
  <c r="J5" i="18"/>
  <c r="F17" i="14"/>
  <c r="E17" i="14"/>
  <c r="K16" i="14"/>
  <c r="K15" i="14"/>
  <c r="K14" i="14"/>
  <c r="K13" i="14"/>
  <c r="K12" i="14"/>
  <c r="K11" i="14"/>
  <c r="K10" i="14"/>
  <c r="K9" i="14"/>
  <c r="K8" i="14"/>
  <c r="K7" i="14"/>
  <c r="J5" i="14"/>
  <c r="F17" i="10"/>
  <c r="E17" i="10"/>
  <c r="K16" i="10"/>
  <c r="K15" i="10"/>
  <c r="K14" i="10"/>
  <c r="K13" i="10"/>
  <c r="K12" i="10"/>
  <c r="K11" i="10"/>
  <c r="K10" i="10"/>
  <c r="K9" i="10"/>
  <c r="K8" i="10"/>
  <c r="K7" i="10"/>
  <c r="J5" i="10"/>
  <c r="F17" i="6"/>
  <c r="E17" i="6"/>
  <c r="K16" i="6"/>
  <c r="K15" i="6"/>
  <c r="K14" i="6"/>
  <c r="K13" i="6"/>
  <c r="K12" i="6"/>
  <c r="K11" i="6"/>
  <c r="K10" i="6"/>
  <c r="K9" i="6"/>
  <c r="K8" i="6"/>
  <c r="K7" i="6"/>
  <c r="J5" i="6"/>
  <c r="F17" i="2"/>
  <c r="E17" i="2"/>
  <c r="K16" i="2"/>
  <c r="K15" i="2"/>
  <c r="K14" i="2"/>
  <c r="K13" i="2"/>
  <c r="K12" i="2"/>
  <c r="K11" i="2"/>
  <c r="K10" i="2"/>
  <c r="K9" i="2"/>
  <c r="K8" i="2"/>
  <c r="K7" i="2"/>
  <c r="J5" i="2"/>
  <c r="J5" i="17" l="1"/>
  <c r="J5" i="16"/>
  <c r="J5" i="15"/>
  <c r="J5" i="13"/>
  <c r="J5" i="12"/>
  <c r="J5" i="11"/>
  <c r="J5" i="9"/>
  <c r="J5" i="8"/>
  <c r="J5" i="7"/>
  <c r="J5" i="5"/>
  <c r="J5" i="4"/>
  <c r="J5" i="3"/>
  <c r="J5" i="1"/>
  <c r="K16" i="17" l="1"/>
  <c r="K15" i="17"/>
  <c r="K14" i="17"/>
  <c r="K13" i="17"/>
  <c r="K12" i="17"/>
  <c r="K11" i="17"/>
  <c r="K10" i="17"/>
  <c r="K9" i="17"/>
  <c r="K8" i="17"/>
  <c r="K7" i="17"/>
  <c r="K16" i="16"/>
  <c r="K15" i="16"/>
  <c r="K14" i="16"/>
  <c r="K13" i="16"/>
  <c r="K12" i="16"/>
  <c r="K11" i="16"/>
  <c r="K10" i="16"/>
  <c r="K9" i="16"/>
  <c r="K8" i="16"/>
  <c r="K7" i="16"/>
  <c r="K16" i="15"/>
  <c r="K15" i="15"/>
  <c r="K14" i="15"/>
  <c r="K13" i="15"/>
  <c r="K12" i="15"/>
  <c r="K11" i="15"/>
  <c r="K10" i="15"/>
  <c r="K9" i="15"/>
  <c r="K8" i="15"/>
  <c r="K7" i="15"/>
  <c r="K16" i="13"/>
  <c r="K15" i="13"/>
  <c r="K14" i="13"/>
  <c r="K13" i="13"/>
  <c r="K12" i="13"/>
  <c r="K11" i="13"/>
  <c r="K10" i="13"/>
  <c r="K9" i="13"/>
  <c r="K8" i="13"/>
  <c r="K7" i="13"/>
  <c r="K16" i="12"/>
  <c r="K15" i="12"/>
  <c r="K14" i="12"/>
  <c r="K13" i="12"/>
  <c r="K12" i="12"/>
  <c r="K11" i="12"/>
  <c r="K10" i="12"/>
  <c r="K9" i="12"/>
  <c r="K8" i="12"/>
  <c r="K7" i="12"/>
  <c r="K16" i="11"/>
  <c r="K15" i="11"/>
  <c r="K14" i="11"/>
  <c r="K13" i="11"/>
  <c r="K12" i="11"/>
  <c r="K11" i="11"/>
  <c r="K10" i="11"/>
  <c r="K9" i="11"/>
  <c r="K8" i="11"/>
  <c r="K7" i="11"/>
  <c r="K16" i="9"/>
  <c r="K15" i="9"/>
  <c r="K14" i="9"/>
  <c r="K13" i="9"/>
  <c r="K12" i="9"/>
  <c r="K11" i="9"/>
  <c r="K10" i="9"/>
  <c r="K9" i="9"/>
  <c r="K8" i="9"/>
  <c r="K7" i="9"/>
  <c r="K16" i="8"/>
  <c r="K15" i="8"/>
  <c r="K14" i="8"/>
  <c r="K13" i="8"/>
  <c r="K12" i="8"/>
  <c r="K11" i="8"/>
  <c r="K10" i="8"/>
  <c r="K9" i="8"/>
  <c r="K8" i="8"/>
  <c r="K7" i="8"/>
  <c r="K16" i="7"/>
  <c r="K15" i="7"/>
  <c r="K14" i="7"/>
  <c r="K13" i="7"/>
  <c r="K12" i="7"/>
  <c r="K11" i="7"/>
  <c r="K10" i="7"/>
  <c r="K9" i="7"/>
  <c r="K8" i="7"/>
  <c r="K7" i="7"/>
  <c r="K16" i="5"/>
  <c r="K15" i="5"/>
  <c r="K14" i="5"/>
  <c r="K13" i="5"/>
  <c r="K12" i="5"/>
  <c r="K11" i="5"/>
  <c r="K10" i="5"/>
  <c r="K9" i="5"/>
  <c r="K8" i="5"/>
  <c r="K7" i="5"/>
  <c r="K16" i="4"/>
  <c r="K15" i="4"/>
  <c r="K14" i="4"/>
  <c r="K13" i="4"/>
  <c r="K12" i="4"/>
  <c r="K11" i="4"/>
  <c r="K10" i="4"/>
  <c r="K9" i="4"/>
  <c r="K8" i="4"/>
  <c r="K7" i="4"/>
  <c r="K16" i="3"/>
  <c r="K15" i="3"/>
  <c r="K14" i="3"/>
  <c r="K13" i="3"/>
  <c r="K12" i="3"/>
  <c r="K11" i="3"/>
  <c r="K10" i="3"/>
  <c r="K9" i="3"/>
  <c r="K8" i="3"/>
  <c r="K7" i="3"/>
  <c r="K8" i="1"/>
  <c r="K9" i="1"/>
  <c r="K10" i="1"/>
  <c r="K11" i="1"/>
  <c r="K12" i="1"/>
  <c r="K13" i="1"/>
  <c r="K14" i="1"/>
  <c r="K15" i="1"/>
  <c r="F17" i="3" l="1"/>
  <c r="F17" i="4"/>
  <c r="F17" i="5"/>
  <c r="F17" i="7"/>
  <c r="F17" i="8"/>
  <c r="F17" i="9"/>
  <c r="F17" i="11"/>
  <c r="F17" i="12"/>
  <c r="F17" i="13"/>
  <c r="F17" i="15"/>
  <c r="F17" i="16"/>
  <c r="F17" i="17"/>
  <c r="F17" i="1"/>
  <c r="E17" i="3"/>
  <c r="E17" i="4"/>
  <c r="E17" i="5"/>
  <c r="E17" i="7"/>
  <c r="E17" i="8"/>
  <c r="E17" i="9"/>
  <c r="E17" i="11"/>
  <c r="E17" i="12"/>
  <c r="E17" i="13"/>
  <c r="E17" i="15"/>
  <c r="E17" i="16"/>
  <c r="E17" i="17"/>
  <c r="E17" i="1"/>
  <c r="K16" i="1" l="1"/>
  <c r="K7" i="1" l="1"/>
</calcChain>
</file>

<file path=xl/sharedStrings.xml><?xml version="1.0" encoding="utf-8"?>
<sst xmlns="http://schemas.openxmlformats.org/spreadsheetml/2006/main" count="449" uniqueCount="46">
  <si>
    <t xml:space="preserve">Note :  we require a booking  of 4 guests minimum </t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</si>
  <si>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</si>
  <si>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</si>
  <si>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</si>
  <si>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</si>
  <si>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</si>
  <si>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</si>
  <si>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</si>
  <si>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</si>
  <si>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</si>
  <si>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</si>
  <si>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</si>
  <si>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</si>
  <si>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</si>
  <si>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</si>
  <si>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</si>
  <si>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 xml:space="preserve">Date:                </t>
  </si>
  <si>
    <t>Adults</t>
  </si>
  <si>
    <t>Child</t>
  </si>
  <si>
    <t>Remarks</t>
  </si>
  <si>
    <t>TOTAL</t>
  </si>
  <si>
    <t>Departure</t>
  </si>
  <si>
    <t>STARRY NIGHT   (MAX 08 PAX)  USD$75PP  20:00 TO 21:00</t>
  </si>
  <si>
    <t>Gavin David Hogg</t>
  </si>
  <si>
    <t>2890676TRMD</t>
  </si>
  <si>
    <t>Shamrath/Tarush</t>
  </si>
  <si>
    <t>Win/Faiha</t>
  </si>
  <si>
    <t>Junyang Ma</t>
  </si>
  <si>
    <t>Faiha</t>
  </si>
  <si>
    <t>Seungjo Ko</t>
  </si>
  <si>
    <t>Tianan Liu</t>
  </si>
  <si>
    <t>UV/Faiha</t>
  </si>
  <si>
    <t>Jun Seo</t>
  </si>
  <si>
    <t>PP2</t>
  </si>
  <si>
    <t>683/880</t>
  </si>
  <si>
    <t>623/881</t>
  </si>
  <si>
    <t>818/877</t>
  </si>
  <si>
    <t>Kakeru Osanai</t>
  </si>
  <si>
    <t>Junyang MA</t>
  </si>
  <si>
    <t>Jinyong Nam</t>
  </si>
  <si>
    <t>666/852</t>
  </si>
  <si>
    <t>CXL 2</t>
  </si>
  <si>
    <t>CXL2</t>
  </si>
  <si>
    <t>Ng Kok</t>
  </si>
  <si>
    <t>Tarush</t>
  </si>
  <si>
    <t>Eugene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</si>
</sst>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</font>
    <font>
      <sz val="12"/>
      <color theme="1"/>
      <name val="Times New Roman"/>
      <family val="1"/>
    </font>
    <font>
      <b/>
      <sz val="12"/>
      <color rgb="FF4F36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Border="1"/>
    <xf numFmtId="0" fontId="0" fillId="0" borderId="0" xfId="0" applyFont="1"/>
    <xf numFmtId="0" fontId="6" fillId="0" borderId="0" xfId="0" applyFont="1"/>
    <xf numFmtId="0" fontId="2" fillId="0" borderId="0" xfId="0" applyFont="1" applyBorder="1"/>
    <xf numFmtId="0" fontId="7" fillId="0" borderId="0" xfId="0" applyFont="1" applyBorder="1"/>
    <xf numFmtId="0" fontId="7" fillId="2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8" fillId="0" borderId="0" xfId="0" applyFont="1" applyBorder="1"/>
    <xf numFmtId="0" fontId="8" fillId="2" borderId="0" xfId="0" applyFont="1" applyFill="1"/>
    <xf numFmtId="0" fontId="8" fillId="0" borderId="0" xfId="0" applyFont="1"/>
    <xf numFmtId="0" fontId="9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14" fontId="10" fillId="0" borderId="3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 applyFill="1"/>
    <xf numFmtId="14" fontId="2" fillId="3" borderId="1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14" fontId="0" fillId="0" borderId="0" xfId="0" applyNumberFormat="1" applyFont="1"/>
    <xf numFmtId="14" fontId="6" fillId="0" borderId="0" xfId="0" applyNumberFormat="1" applyFont="1"/>
    <xf numFmtId="14" fontId="7" fillId="2" borderId="0" xfId="0" applyNumberFormat="1" applyFont="1" applyFill="1"/>
    <xf numFmtId="14" fontId="8" fillId="0" borderId="0" xfId="0" applyNumberFormat="1" applyFont="1"/>
    <xf numFmtId="14" fontId="6" fillId="0" borderId="0" xfId="0" applyNumberFormat="1" applyFont="1" applyFill="1" applyBorder="1"/>
    <xf numFmtId="14" fontId="0" fillId="0" borderId="0" xfId="0" applyNumberFormat="1" applyFont="1" applyFill="1" applyBorder="1"/>
    <xf numFmtId="14" fontId="2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2" fillId="4" borderId="0" xfId="0" applyFont="1" applyFill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revisionHeaders" Target="revisions/revisionHeaders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4AE47-CFCB-49DF-BA0F-83C51AB95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3DFC30-00C4-4F99-B363-06BCD6BC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C4681-418E-405D-91EA-F04A9BA0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1F04C-944E-4217-864D-C393A61A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AEC0D-B771-428D-810A-8246CF63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42D27-92DD-49F7-A83B-E56BD039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3C5B8-7235-47F8-9137-DEAE8EEA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FEA94F-A933-4F1D-A197-F763DBD8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6F85C-1B30-4465-8EDA-36A00B62B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D4FD24-6A4E-4AED-B4B8-EE4C91DC2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C4681-418E-405D-91EA-F04A9BA0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1F04C-944E-4217-864D-C393A61A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06DD3-A3F4-4842-A194-ADB2A8AD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03B077-FB74-4454-BECB-BF895F18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59737-8A5A-42DD-B03E-FCECEB08D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CFD4C2-018E-4EE7-B694-376FF41D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3544F-39DC-464E-A655-039ADE92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05B1C-049B-46B7-A4F0-8F71241D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C4681-418E-405D-91EA-F04A9BA0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1F04C-944E-4217-864D-C393A61A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DB66A-88BC-45FE-8AE5-9762AA03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8F4B3A-3CF4-4024-BB75-E670F5E4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E7C04-A97D-454B-B8E5-284DD7ECF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C19397-1543-4877-830D-61FC94EE6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528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C4681-418E-405D-91EA-F04A9BA0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1F04C-944E-4217-864D-C393A61A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EE177-3281-4707-B4AE-F36617822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D3A69-94C7-4FA3-8E95-9A9A4F5DA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69835-34CA-47FB-93C8-304466B0A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F30C81-3CE6-4259-A221-40578F55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C4681-418E-405D-91EA-F04A9BA0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1F04C-944E-4217-864D-C393A61A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C4681-418E-405D-91EA-F04A9BA0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1F04C-944E-4217-864D-C393A61A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8A0D57C-58A1-4720-9EA8-54BE68617867}" diskRevisions="1" revisionId="194" version="21">
  <header guid="{91D90F74-9144-4439-8274-6E3CD04546DA}" dateTime="2026-05-02T14:14:33" maxSheetId="19" userName="Dive Centre Office" r:id="rId1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63E47A96-2581-4BCA-95FA-9FD79F2828AF}" dateTime="2026-05-03T09:46:08" maxSheetId="19" userName="Dive Centre Office" r:id="rId2" minRId="1" maxRId="5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2CAE9D35-71F2-4354-A7EB-F2C2E2E7E01C}" dateTime="2026-05-03T09:46:28" maxSheetId="19" userName="Dive Centre Office" r:id="rId3" minRId="6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6A2125FD-8AF1-408F-8221-D19359AA2D8F}" dateTime="2026-05-03T10:53:41" maxSheetId="19" userName="Assistant DiveCenter Manager" r:id="rId4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C5BC17FE-BC09-4A13-A774-A8F5C6362883}" dateTime="2026-05-03T13:55:32" maxSheetId="19" userName="Dhigurah Water Sports" r:id="rId5" minRId="25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91A9542F-E6A0-4BE4-BE9B-B0B6C250F84D}" dateTime="2026-05-03T16:20:40" maxSheetId="19" userName="Dive Centre Office" r:id="rId6" minRId="44" maxRId="46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CE1F370D-8348-40BC-BA8B-43D4513192C0}" dateTime="2026-05-03T17:34:56" maxSheetId="19" userName="Dive Centre Office" r:id="rId7" minRId="47" maxRId="50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793C6E8A-EBB2-40B1-ADC0-9F69A2E17C7A}" dateTime="2026-05-04T11:03:23" maxSheetId="19" userName="Dive Centre Office" r:id="rId8" minRId="51" maxRId="52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17850B68-F008-41E3-91B3-F7848D50778D}" dateTime="2026-05-04T11:09:27" maxSheetId="19" userName="Dive Centre Office" r:id="rId9" minRId="53" maxRId="54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F5EC1D7A-0E9F-438B-8D77-0645FF8B10AC}" dateTime="2026-05-04T12:02:13" maxSheetId="19" userName="Dive Centre Office" r:id="rId10" minRId="55" maxRId="61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86ED0DB8-EF67-4AFB-A56B-E12AF4E638F7}" dateTime="2026-05-04T12:02:34" maxSheetId="19" userName="Dive Centre Office" r:id="rId11" minRId="62" maxRId="66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F089B488-B19A-40E2-9098-3127B5BBC0D9}" dateTime="2026-05-05T10:57:48" maxSheetId="19" userName="Dive Centre Office" r:id="rId12" minRId="85" maxRId="89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6351E4F2-7552-4F0D-A5A5-889BD37FD5C8}" dateTime="2026-05-06T14:12:48" maxSheetId="19" userName="Dive Centre Office" r:id="rId13" minRId="108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6241789F-7112-4444-8628-F0942B51DA68}" dateTime="2026-05-06T15:51:19" maxSheetId="19" userName="Dive Centre Office" r:id="rId14" minRId="127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87ED2664-46B9-44B4-A4C5-1C9F970D7403}" dateTime="2026-05-07T15:57:41" maxSheetId="19" userName="Assistant DiveCenter Manager" r:id="rId15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25811126-F72F-4167-9D1E-1A8AF3C146FA}" dateTime="2026-05-08T15:42:07" maxSheetId="19" userName="Dive Centre Office" r:id="rId16" minRId="146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9D5ECCC4-DEF0-40B8-B300-AC86B4E7F78D}" dateTime="2026-05-09T13:49:30" maxSheetId="19" userName="Dive Centre Office" r:id="rId17" minRId="147" maxRId="152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38BD4864-974B-44AD-A19B-E55CA605031F}" dateTime="2026-05-11T14:59:35" maxSheetId="19" userName="Dive Centre Office" r:id="rId18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4C5E8F89-2E7C-4B01-9272-C873F3099589}" dateTime="2026-05-11T17:14:03" maxSheetId="19" userName="Dive Centre Office" r:id="rId19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18A47149-CFE5-42C0-BCD8-C3D0CB1924B5}" dateTime="2026-05-12T11:07:19" maxSheetId="19" userName="Dive Centre Office" r:id="rId20" minRId="189" maxRId="193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  <header guid="{98A0D57C-58A1-4720-9EA8-54BE68617867}" dateTime="2026-05-14T10:39:48" maxSheetId="19" userName="Dive Centre Office" r:id="rId21" minRId="194">
    <sheetIdMap count="18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2" odxf="1" dxf="1">
    <nc r="B10">
      <v>818</v>
    </nc>
    <odxf>
      <border outline="0">
        <top style="thin">
          <color indexed="64"/>
        </top>
      </border>
    </odxf>
    <ndxf>
      <border outline="0">
        <top/>
      </border>
    </ndxf>
  </rcc>
  <rcc rId="2" sId="2" odxf="1" dxf="1">
    <nc r="C10" t="inlineStr">
      <is>
        <t>Seungjo Ko</t>
      </is>
    </nc>
    <odxf>
      <border outline="0">
        <top style="thin">
          <color indexed="64"/>
        </top>
      </border>
    </odxf>
    <ndxf>
      <border outline="0">
        <top/>
      </border>
    </ndxf>
  </rcc>
  <rcc rId="3" sId="2" odxf="1" dxf="1" numFmtId="19">
    <nc r="D10">
      <v>46145</v>
    </nc>
    <odxf>
      <border outline="0">
        <top style="thin">
          <color indexed="64"/>
        </top>
      </border>
    </odxf>
    <ndxf>
      <border outline="0">
        <top/>
      </border>
    </ndxf>
  </rcc>
  <rcc rId="4" sId="2" odxf="1" dxf="1">
    <nc r="E10">
      <v>2</v>
    </nc>
    <odxf>
      <border outline="0">
        <top style="thin">
          <color indexed="64"/>
        </top>
      </border>
    </odxf>
    <ndxf>
      <border outline="0">
        <top/>
      </border>
    </ndxf>
  </rcc>
  <rfmt sheetId="2" sqref="F10" start="0" length="0">
    <dxf>
      <border outline="0">
        <top/>
      </border>
    </dxf>
  </rfmt>
  <rfmt sheetId="2" sqref="G10" start="0" length="0">
    <dxf>
      <border outline="0">
        <top/>
      </border>
    </dxf>
  </rfmt>
  <rfmt sheetId="2" sqref="H10" start="0" length="0">
    <dxf>
      <border outline="0">
        <top/>
      </border>
    </dxf>
  </rfmt>
  <rfmt sheetId="2" sqref="I10" start="0" length="0">
    <dxf>
      <border outline="0">
        <top/>
      </border>
    </dxf>
  </rfmt>
  <rcc rId="5" sId="2" odxf="1" dxf="1">
    <nc r="J10" t="inlineStr">
      <is>
        <t>Faiha</t>
      </is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" sId="3">
    <oc r="E7">
      <v>2</v>
    </oc>
    <nc r="E7" t="inlineStr">
      <is>
        <t>PP2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EF6E8789_B4C7_45F7_89B4_94EF3DAB98CE_.wvu.PrintArea" hidden="1" oldHidden="1">
    <formula>'1'!$A$1:$J$30</formula>
  </rdn>
  <rdn rId="0" localSheetId="2" customView="1" name="Z_EF6E8789_B4C7_45F7_89B4_94EF3DAB98CE_.wvu.PrintArea" hidden="1" oldHidden="1">
    <formula>'3'!$A$1:$J$30</formula>
  </rdn>
  <rdn rId="0" localSheetId="3" customView="1" name="Z_EF6E8789_B4C7_45F7_89B4_94EF3DAB98CE_.wvu.PrintArea" hidden="1" oldHidden="1">
    <formula>'4'!$A$1:$J$30</formula>
  </rdn>
  <rdn rId="0" localSheetId="4" customView="1" name="Z_EF6E8789_B4C7_45F7_89B4_94EF3DAB98CE_.wvu.PrintArea" hidden="1" oldHidden="1">
    <formula>'6'!$A$1:$J$30</formula>
  </rdn>
  <rdn rId="0" localSheetId="5" customView="1" name="Z_EF6E8789_B4C7_45F7_89B4_94EF3DAB98CE_.wvu.PrintArea" hidden="1" oldHidden="1">
    <formula>'8'!$A$1:$J$30</formula>
  </rdn>
  <rdn rId="0" localSheetId="6" customView="1" name="Z_EF6E8789_B4C7_45F7_89B4_94EF3DAB98CE_.wvu.PrintArea" hidden="1" oldHidden="1">
    <formula>'10'!$A$1:$J$30</formula>
  </rdn>
  <rdn rId="0" localSheetId="7" customView="1" name="Z_EF6E8789_B4C7_45F7_89B4_94EF3DAB98CE_.wvu.PrintArea" hidden="1" oldHidden="1">
    <formula>'11'!$A$1:$J$30</formula>
  </rdn>
  <rdn rId="0" localSheetId="8" customView="1" name="Z_EF6E8789_B4C7_45F7_89B4_94EF3DAB98CE_.wvu.PrintArea" hidden="1" oldHidden="1">
    <formula>'13'!$A$1:$J$30</formula>
  </rdn>
  <rdn rId="0" localSheetId="9" customView="1" name="Z_EF6E8789_B4C7_45F7_89B4_94EF3DAB98CE_.wvu.PrintArea" hidden="1" oldHidden="1">
    <formula>'15'!$A$1:$J$30</formula>
  </rdn>
  <rdn rId="0" localSheetId="10" customView="1" name="Z_EF6E8789_B4C7_45F7_89B4_94EF3DAB98CE_.wvu.PrintArea" hidden="1" oldHidden="1">
    <formula>'17'!$A$1:$J$30</formula>
  </rdn>
  <rdn rId="0" localSheetId="11" customView="1" name="Z_EF6E8789_B4C7_45F7_89B4_94EF3DAB98CE_.wvu.PrintArea" hidden="1" oldHidden="1">
    <formula>'18'!$A$1:$J$30</formula>
  </rdn>
  <rdn rId="0" localSheetId="12" customView="1" name="Z_EF6E8789_B4C7_45F7_89B4_94EF3DAB98CE_.wvu.PrintArea" hidden="1" oldHidden="1">
    <formula>'20'!$A$1:$J$30</formula>
  </rdn>
  <rdn rId="0" localSheetId="13" customView="1" name="Z_EF6E8789_B4C7_45F7_89B4_94EF3DAB98CE_.wvu.PrintArea" hidden="1" oldHidden="1">
    <formula>'22'!$A$1:$J$30</formula>
  </rdn>
  <rdn rId="0" localSheetId="14" customView="1" name="Z_EF6E8789_B4C7_45F7_89B4_94EF3DAB98CE_.wvu.PrintArea" hidden="1" oldHidden="1">
    <formula>'24'!$A$1:$J$30</formula>
  </rdn>
  <rdn rId="0" localSheetId="15" customView="1" name="Z_EF6E8789_B4C7_45F7_89B4_94EF3DAB98CE_.wvu.PrintArea" hidden="1" oldHidden="1">
    <formula>'25'!$A$1:$J$30</formula>
  </rdn>
  <rdn rId="0" localSheetId="16" customView="1" name="Z_EF6E8789_B4C7_45F7_89B4_94EF3DAB98CE_.wvu.PrintArea" hidden="1" oldHidden="1">
    <formula>'27'!$A$1:$J$30</formula>
  </rdn>
  <rdn rId="0" localSheetId="17" customView="1" name="Z_EF6E8789_B4C7_45F7_89B4_94EF3DAB98CE_.wvu.PrintArea" hidden="1" oldHidden="1">
    <formula>'29'!$A$1:$J$30</formula>
  </rdn>
  <rdn rId="0" localSheetId="18" customView="1" name="Z_EF6E8789_B4C7_45F7_89B4_94EF3DAB98CE_.wvu.PrintArea" hidden="1" oldHidden="1">
    <formula>'31'!$A$1:$J$30</formula>
  </rdn>
  <rcv guid="{EF6E8789-B4C7-45F7-89B4-94EF3DAB98CE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" sId="2" odxf="1" dxf="1">
    <oc r="C7" t="inlineStr">
      <is>
        <t>NO BOOKINGS</t>
      </is>
    </oc>
    <nc r="C7"/>
    <odxf>
      <fill>
        <patternFill>
          <bgColor rgb="FFFF0000"/>
        </patternFill>
      </fill>
      <alignment horizontal="center" readingOrder="0"/>
      <border outline="0">
        <top/>
      </border>
    </odxf>
    <ndxf>
      <fill>
        <patternFill>
          <bgColor theme="0"/>
        </patternFill>
      </fill>
      <alignment horizontal="left" readingOrder="0"/>
      <border outline="0">
        <top style="thin">
          <color indexed="64"/>
        </top>
      </border>
    </ndxf>
  </rcc>
  <rdn rId="0" localSheetId="1" customView="1" name="Z_66A3FF2F_1AA8_4A03_AFB2_C743A0B8A831_.wvu.PrintArea" hidden="1" oldHidden="1">
    <formula>'1'!$A$1:$J$30</formula>
  </rdn>
  <rdn rId="0" localSheetId="2" customView="1" name="Z_66A3FF2F_1AA8_4A03_AFB2_C743A0B8A831_.wvu.PrintArea" hidden="1" oldHidden="1">
    <formula>'3'!$A$1:$J$30</formula>
  </rdn>
  <rdn rId="0" localSheetId="3" customView="1" name="Z_66A3FF2F_1AA8_4A03_AFB2_C743A0B8A831_.wvu.PrintArea" hidden="1" oldHidden="1">
    <formula>'4'!$A$1:$J$30</formula>
  </rdn>
  <rdn rId="0" localSheetId="4" customView="1" name="Z_66A3FF2F_1AA8_4A03_AFB2_C743A0B8A831_.wvu.PrintArea" hidden="1" oldHidden="1">
    <formula>'6'!$A$1:$J$30</formula>
  </rdn>
  <rdn rId="0" localSheetId="5" customView="1" name="Z_66A3FF2F_1AA8_4A03_AFB2_C743A0B8A831_.wvu.PrintArea" hidden="1" oldHidden="1">
    <formula>'8'!$A$1:$J$30</formula>
  </rdn>
  <rdn rId="0" localSheetId="6" customView="1" name="Z_66A3FF2F_1AA8_4A03_AFB2_C743A0B8A831_.wvu.PrintArea" hidden="1" oldHidden="1">
    <formula>'10'!$A$1:$J$30</formula>
  </rdn>
  <rdn rId="0" localSheetId="7" customView="1" name="Z_66A3FF2F_1AA8_4A03_AFB2_C743A0B8A831_.wvu.PrintArea" hidden="1" oldHidden="1">
    <formula>'11'!$A$1:$J$30</formula>
  </rdn>
  <rdn rId="0" localSheetId="8" customView="1" name="Z_66A3FF2F_1AA8_4A03_AFB2_C743A0B8A831_.wvu.PrintArea" hidden="1" oldHidden="1">
    <formula>'13'!$A$1:$J$30</formula>
  </rdn>
  <rdn rId="0" localSheetId="9" customView="1" name="Z_66A3FF2F_1AA8_4A03_AFB2_C743A0B8A831_.wvu.PrintArea" hidden="1" oldHidden="1">
    <formula>'15'!$A$1:$J$30</formula>
  </rdn>
  <rdn rId="0" localSheetId="10" customView="1" name="Z_66A3FF2F_1AA8_4A03_AFB2_C743A0B8A831_.wvu.PrintArea" hidden="1" oldHidden="1">
    <formula>'17'!$A$1:$J$30</formula>
  </rdn>
  <rdn rId="0" localSheetId="11" customView="1" name="Z_66A3FF2F_1AA8_4A03_AFB2_C743A0B8A831_.wvu.PrintArea" hidden="1" oldHidden="1">
    <formula>'18'!$A$1:$J$30</formula>
  </rdn>
  <rdn rId="0" localSheetId="12" customView="1" name="Z_66A3FF2F_1AA8_4A03_AFB2_C743A0B8A831_.wvu.PrintArea" hidden="1" oldHidden="1">
    <formula>'20'!$A$1:$J$30</formula>
  </rdn>
  <rdn rId="0" localSheetId="13" customView="1" name="Z_66A3FF2F_1AA8_4A03_AFB2_C743A0B8A831_.wvu.PrintArea" hidden="1" oldHidden="1">
    <formula>'22'!$A$1:$J$30</formula>
  </rdn>
  <rdn rId="0" localSheetId="14" customView="1" name="Z_66A3FF2F_1AA8_4A03_AFB2_C743A0B8A831_.wvu.PrintArea" hidden="1" oldHidden="1">
    <formula>'24'!$A$1:$J$30</formula>
  </rdn>
  <rdn rId="0" localSheetId="15" customView="1" name="Z_66A3FF2F_1AA8_4A03_AFB2_C743A0B8A831_.wvu.PrintArea" hidden="1" oldHidden="1">
    <formula>'25'!$A$1:$J$30</formula>
  </rdn>
  <rdn rId="0" localSheetId="16" customView="1" name="Z_66A3FF2F_1AA8_4A03_AFB2_C743A0B8A831_.wvu.PrintArea" hidden="1" oldHidden="1">
    <formula>'27'!$A$1:$J$30</formula>
  </rdn>
  <rdn rId="0" localSheetId="17" customView="1" name="Z_66A3FF2F_1AA8_4A03_AFB2_C743A0B8A831_.wvu.PrintArea" hidden="1" oldHidden="1">
    <formula>'29'!$A$1:$J$30</formula>
  </rdn>
  <rdn rId="0" localSheetId="18" customView="1" name="Z_66A3FF2F_1AA8_4A03_AFB2_C743A0B8A831_.wvu.PrintArea" hidden="1" oldHidden="1">
    <formula>'31'!$A$1:$J$30</formula>
  </rdn>
  <rcv guid="{66A3FF2F-1AA8-4A03-AFB2-C743A0B8A831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2">
    <oc r="B8">
      <v>683</v>
    </oc>
    <nc r="B8" t="inlineStr">
      <is>
        <t>683/880</t>
      </is>
    </nc>
  </rcc>
  <rcc rId="45" sId="2">
    <oc r="B9">
      <v>623</v>
    </oc>
    <nc r="B9" t="inlineStr">
      <is>
        <t>623/881</t>
      </is>
    </nc>
  </rcc>
  <rcc rId="46" sId="2">
    <oc r="B10">
      <v>818</v>
    </oc>
    <nc r="B10" t="inlineStr">
      <is>
        <t>818/877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" sId="3">
    <nc r="B9" t="inlineStr">
      <is>
        <t>623/881</t>
      </is>
    </nc>
  </rcc>
  <rcc rId="48" sId="3">
    <nc r="C9" t="inlineStr">
      <is>
        <t>Tianan Liu</t>
      </is>
    </nc>
  </rcc>
  <rcc rId="49" sId="3" numFmtId="19">
    <nc r="D9">
      <v>46145</v>
    </nc>
  </rcc>
  <rcc rId="50" sId="3">
    <nc r="E9">
      <v>2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3">
    <nc r="B10">
      <v>884</v>
    </nc>
  </rcc>
  <rcc rId="52" sId="3">
    <nc r="E10">
      <v>2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" sId="3">
    <nc r="B11">
      <v>880</v>
    </nc>
  </rcc>
  <rcc rId="54" sId="3">
    <nc r="E11">
      <v>2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" sId="3">
    <nc r="C10" t="inlineStr">
      <is>
        <t>Kakeru Osanai</t>
      </is>
    </nc>
  </rcc>
  <rcc rId="56" sId="3" numFmtId="19">
    <nc r="D10">
      <v>46149</v>
    </nc>
  </rcc>
  <rcc rId="57" sId="3">
    <nc r="C11" t="inlineStr">
      <is>
        <t>Junyang MA</t>
      </is>
    </nc>
  </rcc>
  <rcc rId="58" sId="3" numFmtId="19">
    <nc r="D11">
      <v>46147</v>
    </nc>
  </rcc>
  <rcc rId="59" sId="3">
    <nc r="J9" t="inlineStr">
      <is>
        <t>Faiha</t>
      </is>
    </nc>
  </rcc>
  <rcc rId="60" sId="3">
    <nc r="J10" t="inlineStr">
      <is>
        <t>Faiha</t>
      </is>
    </nc>
  </rcc>
  <rcc rId="61" sId="3">
    <nc r="J11" t="inlineStr">
      <is>
        <t>Faiha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62" sheetId="3" source="B7:J7" destination="B12:J12" sourceSheetId="3">
    <undo index="10" exp="ref" v="1" dr="B12" r="K12" sId="3"/>
    <undo index="0" exp="ref" v="1" dr="B12" r="K12" sId="3"/>
    <rfmt sheetId="3" sqref="B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2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63" sheetId="3" source="B11:J11" destination="B7:J7" sourceSheetId="3">
    <rfmt sheetId="3" sqref="B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C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D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E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F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G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H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I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3" sqref="J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64" sheetId="3" source="B10:J10" destination="B11:J11" sourceSheetId="3"/>
  <rm rId="65" sheetId="3" source="B9:J9" destination="B10:J10" sourceSheetId="3"/>
  <rm rId="66" sheetId="3" source="B12:J12" destination="B9:J9" sourceSheetId="3"/>
  <rfmt sheetId="3" sqref="B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12" start="0" length="0">
    <dxf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12" start="0" length="0">
    <dxf>
      <numFmt numFmtId="19" formatCode="dd/mm/yyyy"/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12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8F41B6D6-A2ED-49A0-BD3A-88F42735B824}" action="delete"/>
  <rdn rId="0" localSheetId="1" customView="1" name="Z_8F41B6D6_A2ED_49A0_BD3A_88F42735B824_.wvu.PrintArea" hidden="1" oldHidden="1">
    <formula>'1'!$A$1:$J$30</formula>
    <oldFormula>'1'!$A$1:$J$30</oldFormula>
  </rdn>
  <rdn rId="0" localSheetId="2" customView="1" name="Z_8F41B6D6_A2ED_49A0_BD3A_88F42735B824_.wvu.PrintArea" hidden="1" oldHidden="1">
    <formula>'3'!$A$1:$J$30</formula>
    <oldFormula>'3'!$A$1:$J$30</oldFormula>
  </rdn>
  <rdn rId="0" localSheetId="3" customView="1" name="Z_8F41B6D6_A2ED_49A0_BD3A_88F42735B824_.wvu.PrintArea" hidden="1" oldHidden="1">
    <formula>'4'!$A$1:$J$30</formula>
    <oldFormula>'4'!$A$1:$J$30</oldFormula>
  </rdn>
  <rdn rId="0" localSheetId="4" customView="1" name="Z_8F41B6D6_A2ED_49A0_BD3A_88F42735B824_.wvu.PrintArea" hidden="1" oldHidden="1">
    <formula>'6'!$A$1:$J$30</formula>
    <oldFormula>'6'!$A$1:$J$30</oldFormula>
  </rdn>
  <rdn rId="0" localSheetId="5" customView="1" name="Z_8F41B6D6_A2ED_49A0_BD3A_88F42735B824_.wvu.PrintArea" hidden="1" oldHidden="1">
    <formula>'8'!$A$1:$J$30</formula>
    <oldFormula>'8'!$A$1:$J$30</oldFormula>
  </rdn>
  <rdn rId="0" localSheetId="6" customView="1" name="Z_8F41B6D6_A2ED_49A0_BD3A_88F42735B824_.wvu.PrintArea" hidden="1" oldHidden="1">
    <formula>'10'!$A$1:$J$30</formula>
    <oldFormula>'10'!$A$1:$J$30</oldFormula>
  </rdn>
  <rdn rId="0" localSheetId="7" customView="1" name="Z_8F41B6D6_A2ED_49A0_BD3A_88F42735B824_.wvu.PrintArea" hidden="1" oldHidden="1">
    <formula>'11'!$A$1:$J$30</formula>
    <oldFormula>'11'!$A$1:$J$30</oldFormula>
  </rdn>
  <rdn rId="0" localSheetId="8" customView="1" name="Z_8F41B6D6_A2ED_49A0_BD3A_88F42735B824_.wvu.PrintArea" hidden="1" oldHidden="1">
    <formula>'13'!$A$1:$J$30</formula>
    <oldFormula>'13'!$A$1:$J$30</oldFormula>
  </rdn>
  <rdn rId="0" localSheetId="9" customView="1" name="Z_8F41B6D6_A2ED_49A0_BD3A_88F42735B824_.wvu.PrintArea" hidden="1" oldHidden="1">
    <formula>'15'!$A$1:$J$30</formula>
    <oldFormula>'15'!$A$1:$J$30</oldFormula>
  </rdn>
  <rdn rId="0" localSheetId="10" customView="1" name="Z_8F41B6D6_A2ED_49A0_BD3A_88F42735B824_.wvu.PrintArea" hidden="1" oldHidden="1">
    <formula>'17'!$A$1:$J$30</formula>
    <oldFormula>'17'!$A$1:$J$30</oldFormula>
  </rdn>
  <rdn rId="0" localSheetId="11" customView="1" name="Z_8F41B6D6_A2ED_49A0_BD3A_88F42735B824_.wvu.PrintArea" hidden="1" oldHidden="1">
    <formula>'18'!$A$1:$J$30</formula>
    <oldFormula>'18'!$A$1:$J$30</oldFormula>
  </rdn>
  <rdn rId="0" localSheetId="12" customView="1" name="Z_8F41B6D6_A2ED_49A0_BD3A_88F42735B824_.wvu.PrintArea" hidden="1" oldHidden="1">
    <formula>'20'!$A$1:$J$30</formula>
    <oldFormula>'20'!$A$1:$J$30</oldFormula>
  </rdn>
  <rdn rId="0" localSheetId="13" customView="1" name="Z_8F41B6D6_A2ED_49A0_BD3A_88F42735B824_.wvu.PrintArea" hidden="1" oldHidden="1">
    <formula>'22'!$A$1:$J$30</formula>
    <oldFormula>'22'!$A$1:$J$30</oldFormula>
  </rdn>
  <rdn rId="0" localSheetId="14" customView="1" name="Z_8F41B6D6_A2ED_49A0_BD3A_88F42735B824_.wvu.PrintArea" hidden="1" oldHidden="1">
    <formula>'24'!$A$1:$J$30</formula>
    <oldFormula>'24'!$A$1:$J$30</oldFormula>
  </rdn>
  <rdn rId="0" localSheetId="15" customView="1" name="Z_8F41B6D6_A2ED_49A0_BD3A_88F42735B824_.wvu.PrintArea" hidden="1" oldHidden="1">
    <formula>'25'!$A$1:$J$30</formula>
    <oldFormula>'25'!$A$1:$J$30</oldFormula>
  </rdn>
  <rdn rId="0" localSheetId="16" customView="1" name="Z_8F41B6D6_A2ED_49A0_BD3A_88F42735B824_.wvu.PrintArea" hidden="1" oldHidden="1">
    <formula>'27'!$A$1:$J$30</formula>
    <oldFormula>'27'!$A$1:$J$30</oldFormula>
  </rdn>
  <rdn rId="0" localSheetId="17" customView="1" name="Z_8F41B6D6_A2ED_49A0_BD3A_88F42735B824_.wvu.PrintArea" hidden="1" oldHidden="1">
    <formula>'29'!$A$1:$J$30</formula>
    <oldFormula>'29'!$A$1:$J$30</oldFormula>
  </rdn>
  <rdn rId="0" localSheetId="18" customView="1" name="Z_8F41B6D6_A2ED_49A0_BD3A_88F42735B824_.wvu.PrintArea" hidden="1" oldHidden="1">
    <formula>'31'!$A$1:$J$30</formula>
    <oldFormula>'31'!$A$1:$J$30</oldFormula>
  </rdn>
  <rcv guid="{8F41B6D6-A2ED-49A0-BD3A-88F42735B824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" sId="5">
    <nc r="B7">
      <v>666</v>
    </nc>
  </rcc>
  <rcc rId="86" sId="5">
    <nc r="C7" t="inlineStr">
      <is>
        <t>Jinyong Nam</t>
      </is>
    </nc>
  </rcc>
  <rcc rId="87" sId="5" numFmtId="19">
    <nc r="D7">
      <v>46148</v>
    </nc>
  </rcc>
  <rcc rId="88" sId="5">
    <nc r="E7">
      <v>2</v>
    </nc>
  </rcc>
  <rcc rId="89" sId="5">
    <nc r="J7" t="inlineStr">
      <is>
        <t>Win/Faiha</t>
      </is>
    </nc>
  </rcc>
  <rcv guid="{8F41B6D6-A2ED-49A0-BD3A-88F42735B824}" action="delete"/>
  <rdn rId="0" localSheetId="1" customView="1" name="Z_8F41B6D6_A2ED_49A0_BD3A_88F42735B824_.wvu.PrintArea" hidden="1" oldHidden="1">
    <formula>'1'!$A$1:$J$30</formula>
    <oldFormula>'1'!$A$1:$J$30</oldFormula>
  </rdn>
  <rdn rId="0" localSheetId="2" customView="1" name="Z_8F41B6D6_A2ED_49A0_BD3A_88F42735B824_.wvu.PrintArea" hidden="1" oldHidden="1">
    <formula>'3'!$A$1:$J$30</formula>
    <oldFormula>'3'!$A$1:$J$30</oldFormula>
  </rdn>
  <rdn rId="0" localSheetId="3" customView="1" name="Z_8F41B6D6_A2ED_49A0_BD3A_88F42735B824_.wvu.PrintArea" hidden="1" oldHidden="1">
    <formula>'4'!$A$1:$J$30</formula>
    <oldFormula>'4'!$A$1:$J$30</oldFormula>
  </rdn>
  <rdn rId="0" localSheetId="4" customView="1" name="Z_8F41B6D6_A2ED_49A0_BD3A_88F42735B824_.wvu.PrintArea" hidden="1" oldHidden="1">
    <formula>'6'!$A$1:$J$30</formula>
    <oldFormula>'6'!$A$1:$J$30</oldFormula>
  </rdn>
  <rdn rId="0" localSheetId="5" customView="1" name="Z_8F41B6D6_A2ED_49A0_BD3A_88F42735B824_.wvu.PrintArea" hidden="1" oldHidden="1">
    <formula>'8'!$A$1:$J$30</formula>
    <oldFormula>'8'!$A$1:$J$30</oldFormula>
  </rdn>
  <rdn rId="0" localSheetId="6" customView="1" name="Z_8F41B6D6_A2ED_49A0_BD3A_88F42735B824_.wvu.PrintArea" hidden="1" oldHidden="1">
    <formula>'10'!$A$1:$J$30</formula>
    <oldFormula>'10'!$A$1:$J$30</oldFormula>
  </rdn>
  <rdn rId="0" localSheetId="7" customView="1" name="Z_8F41B6D6_A2ED_49A0_BD3A_88F42735B824_.wvu.PrintArea" hidden="1" oldHidden="1">
    <formula>'11'!$A$1:$J$30</formula>
    <oldFormula>'11'!$A$1:$J$30</oldFormula>
  </rdn>
  <rdn rId="0" localSheetId="8" customView="1" name="Z_8F41B6D6_A2ED_49A0_BD3A_88F42735B824_.wvu.PrintArea" hidden="1" oldHidden="1">
    <formula>'13'!$A$1:$J$30</formula>
    <oldFormula>'13'!$A$1:$J$30</oldFormula>
  </rdn>
  <rdn rId="0" localSheetId="9" customView="1" name="Z_8F41B6D6_A2ED_49A0_BD3A_88F42735B824_.wvu.PrintArea" hidden="1" oldHidden="1">
    <formula>'15'!$A$1:$J$30</formula>
    <oldFormula>'15'!$A$1:$J$30</oldFormula>
  </rdn>
  <rdn rId="0" localSheetId="10" customView="1" name="Z_8F41B6D6_A2ED_49A0_BD3A_88F42735B824_.wvu.PrintArea" hidden="1" oldHidden="1">
    <formula>'17'!$A$1:$J$30</formula>
    <oldFormula>'17'!$A$1:$J$30</oldFormula>
  </rdn>
  <rdn rId="0" localSheetId="11" customView="1" name="Z_8F41B6D6_A2ED_49A0_BD3A_88F42735B824_.wvu.PrintArea" hidden="1" oldHidden="1">
    <formula>'18'!$A$1:$J$30</formula>
    <oldFormula>'18'!$A$1:$J$30</oldFormula>
  </rdn>
  <rdn rId="0" localSheetId="12" customView="1" name="Z_8F41B6D6_A2ED_49A0_BD3A_88F42735B824_.wvu.PrintArea" hidden="1" oldHidden="1">
    <formula>'20'!$A$1:$J$30</formula>
    <oldFormula>'20'!$A$1:$J$30</oldFormula>
  </rdn>
  <rdn rId="0" localSheetId="13" customView="1" name="Z_8F41B6D6_A2ED_49A0_BD3A_88F42735B824_.wvu.PrintArea" hidden="1" oldHidden="1">
    <formula>'22'!$A$1:$J$30</formula>
    <oldFormula>'22'!$A$1:$J$30</oldFormula>
  </rdn>
  <rdn rId="0" localSheetId="14" customView="1" name="Z_8F41B6D6_A2ED_49A0_BD3A_88F42735B824_.wvu.PrintArea" hidden="1" oldHidden="1">
    <formula>'24'!$A$1:$J$30</formula>
    <oldFormula>'24'!$A$1:$J$30</oldFormula>
  </rdn>
  <rdn rId="0" localSheetId="15" customView="1" name="Z_8F41B6D6_A2ED_49A0_BD3A_88F42735B824_.wvu.PrintArea" hidden="1" oldHidden="1">
    <formula>'25'!$A$1:$J$30</formula>
    <oldFormula>'25'!$A$1:$J$30</oldFormula>
  </rdn>
  <rdn rId="0" localSheetId="16" customView="1" name="Z_8F41B6D6_A2ED_49A0_BD3A_88F42735B824_.wvu.PrintArea" hidden="1" oldHidden="1">
    <formula>'27'!$A$1:$J$30</formula>
    <oldFormula>'27'!$A$1:$J$30</oldFormula>
  </rdn>
  <rdn rId="0" localSheetId="17" customView="1" name="Z_8F41B6D6_A2ED_49A0_BD3A_88F42735B824_.wvu.PrintArea" hidden="1" oldHidden="1">
    <formula>'29'!$A$1:$J$30</formula>
    <oldFormula>'29'!$A$1:$J$30</oldFormula>
  </rdn>
  <rdn rId="0" localSheetId="18" customView="1" name="Z_8F41B6D6_A2ED_49A0_BD3A_88F42735B824_.wvu.PrintArea" hidden="1" oldHidden="1">
    <formula>'31'!$A$1:$J$30</formula>
    <oldFormula>'31'!$A$1:$J$30</oldFormula>
  </rdn>
  <rcv guid="{8F41B6D6-A2ED-49A0-BD3A-88F42735B824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" sId="5">
    <oc r="B7">
      <v>666</v>
    </oc>
    <nc r="B7" t="inlineStr">
      <is>
        <t>666/852</t>
      </is>
    </nc>
  </rcc>
  <rcv guid="{8F41B6D6-A2ED-49A0-BD3A-88F42735B824}" action="delete"/>
  <rdn rId="0" localSheetId="1" customView="1" name="Z_8F41B6D6_A2ED_49A0_BD3A_88F42735B824_.wvu.PrintArea" hidden="1" oldHidden="1">
    <formula>'1'!$A$1:$J$30</formula>
    <oldFormula>'1'!$A$1:$J$30</oldFormula>
  </rdn>
  <rdn rId="0" localSheetId="2" customView="1" name="Z_8F41B6D6_A2ED_49A0_BD3A_88F42735B824_.wvu.PrintArea" hidden="1" oldHidden="1">
    <formula>'3'!$A$1:$J$30</formula>
    <oldFormula>'3'!$A$1:$J$30</oldFormula>
  </rdn>
  <rdn rId="0" localSheetId="3" customView="1" name="Z_8F41B6D6_A2ED_49A0_BD3A_88F42735B824_.wvu.PrintArea" hidden="1" oldHidden="1">
    <formula>'4'!$A$1:$J$30</formula>
    <oldFormula>'4'!$A$1:$J$30</oldFormula>
  </rdn>
  <rdn rId="0" localSheetId="4" customView="1" name="Z_8F41B6D6_A2ED_49A0_BD3A_88F42735B824_.wvu.PrintArea" hidden="1" oldHidden="1">
    <formula>'6'!$A$1:$J$30</formula>
    <oldFormula>'6'!$A$1:$J$30</oldFormula>
  </rdn>
  <rdn rId="0" localSheetId="5" customView="1" name="Z_8F41B6D6_A2ED_49A0_BD3A_88F42735B824_.wvu.PrintArea" hidden="1" oldHidden="1">
    <formula>'8'!$A$1:$J$30</formula>
    <oldFormula>'8'!$A$1:$J$30</oldFormula>
  </rdn>
  <rdn rId="0" localSheetId="6" customView="1" name="Z_8F41B6D6_A2ED_49A0_BD3A_88F42735B824_.wvu.PrintArea" hidden="1" oldHidden="1">
    <formula>'10'!$A$1:$J$30</formula>
    <oldFormula>'10'!$A$1:$J$30</oldFormula>
  </rdn>
  <rdn rId="0" localSheetId="7" customView="1" name="Z_8F41B6D6_A2ED_49A0_BD3A_88F42735B824_.wvu.PrintArea" hidden="1" oldHidden="1">
    <formula>'11'!$A$1:$J$30</formula>
    <oldFormula>'11'!$A$1:$J$30</oldFormula>
  </rdn>
  <rdn rId="0" localSheetId="8" customView="1" name="Z_8F41B6D6_A2ED_49A0_BD3A_88F42735B824_.wvu.PrintArea" hidden="1" oldHidden="1">
    <formula>'13'!$A$1:$J$30</formula>
    <oldFormula>'13'!$A$1:$J$30</oldFormula>
  </rdn>
  <rdn rId="0" localSheetId="9" customView="1" name="Z_8F41B6D6_A2ED_49A0_BD3A_88F42735B824_.wvu.PrintArea" hidden="1" oldHidden="1">
    <formula>'15'!$A$1:$J$30</formula>
    <oldFormula>'15'!$A$1:$J$30</oldFormula>
  </rdn>
  <rdn rId="0" localSheetId="10" customView="1" name="Z_8F41B6D6_A2ED_49A0_BD3A_88F42735B824_.wvu.PrintArea" hidden="1" oldHidden="1">
    <formula>'17'!$A$1:$J$30</formula>
    <oldFormula>'17'!$A$1:$J$30</oldFormula>
  </rdn>
  <rdn rId="0" localSheetId="11" customView="1" name="Z_8F41B6D6_A2ED_49A0_BD3A_88F42735B824_.wvu.PrintArea" hidden="1" oldHidden="1">
    <formula>'18'!$A$1:$J$30</formula>
    <oldFormula>'18'!$A$1:$J$30</oldFormula>
  </rdn>
  <rdn rId="0" localSheetId="12" customView="1" name="Z_8F41B6D6_A2ED_49A0_BD3A_88F42735B824_.wvu.PrintArea" hidden="1" oldHidden="1">
    <formula>'20'!$A$1:$J$30</formula>
    <oldFormula>'20'!$A$1:$J$30</oldFormula>
  </rdn>
  <rdn rId="0" localSheetId="13" customView="1" name="Z_8F41B6D6_A2ED_49A0_BD3A_88F42735B824_.wvu.PrintArea" hidden="1" oldHidden="1">
    <formula>'22'!$A$1:$J$30</formula>
    <oldFormula>'22'!$A$1:$J$30</oldFormula>
  </rdn>
  <rdn rId="0" localSheetId="14" customView="1" name="Z_8F41B6D6_A2ED_49A0_BD3A_88F42735B824_.wvu.PrintArea" hidden="1" oldHidden="1">
    <formula>'24'!$A$1:$J$30</formula>
    <oldFormula>'24'!$A$1:$J$30</oldFormula>
  </rdn>
  <rdn rId="0" localSheetId="15" customView="1" name="Z_8F41B6D6_A2ED_49A0_BD3A_88F42735B824_.wvu.PrintArea" hidden="1" oldHidden="1">
    <formula>'25'!$A$1:$J$30</formula>
    <oldFormula>'25'!$A$1:$J$30</oldFormula>
  </rdn>
  <rdn rId="0" localSheetId="16" customView="1" name="Z_8F41B6D6_A2ED_49A0_BD3A_88F42735B824_.wvu.PrintArea" hidden="1" oldHidden="1">
    <formula>'27'!$A$1:$J$30</formula>
    <oldFormula>'27'!$A$1:$J$30</oldFormula>
  </rdn>
  <rdn rId="0" localSheetId="17" customView="1" name="Z_8F41B6D6_A2ED_49A0_BD3A_88F42735B824_.wvu.PrintArea" hidden="1" oldHidden="1">
    <formula>'29'!$A$1:$J$30</formula>
    <oldFormula>'29'!$A$1:$J$30</oldFormula>
  </rdn>
  <rdn rId="0" localSheetId="18" customView="1" name="Z_8F41B6D6_A2ED_49A0_BD3A_88F42735B824_.wvu.PrintArea" hidden="1" oldHidden="1">
    <formula>'31'!$A$1:$J$30</formula>
    <oldFormula>'31'!$A$1:$J$30</oldFormula>
  </rdn>
  <rcv guid="{8F41B6D6-A2ED-49A0-BD3A-88F42735B824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" sId="4">
    <oc r="E7">
      <v>2</v>
    </oc>
    <nc r="E7" t="inlineStr">
      <is>
        <t>CXL 2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6E8789-B4C7-45F7-89B4-94EF3DAB98CE}" action="delete"/>
  <rdn rId="0" localSheetId="1" customView="1" name="Z_EF6E8789_B4C7_45F7_89B4_94EF3DAB98CE_.wvu.PrintArea" hidden="1" oldHidden="1">
    <formula>'1'!$A$1:$J$30</formula>
    <oldFormula>'1'!$A$1:$J$30</oldFormula>
  </rdn>
  <rdn rId="0" localSheetId="2" customView="1" name="Z_EF6E8789_B4C7_45F7_89B4_94EF3DAB98CE_.wvu.PrintArea" hidden="1" oldHidden="1">
    <formula>'3'!$A$1:$J$30</formula>
    <oldFormula>'3'!$A$1:$J$30</oldFormula>
  </rdn>
  <rdn rId="0" localSheetId="3" customView="1" name="Z_EF6E8789_B4C7_45F7_89B4_94EF3DAB98CE_.wvu.PrintArea" hidden="1" oldHidden="1">
    <formula>'4'!$A$1:$J$30</formula>
    <oldFormula>'4'!$A$1:$J$30</oldFormula>
  </rdn>
  <rdn rId="0" localSheetId="4" customView="1" name="Z_EF6E8789_B4C7_45F7_89B4_94EF3DAB98CE_.wvu.PrintArea" hidden="1" oldHidden="1">
    <formula>'6'!$A$1:$J$30</formula>
    <oldFormula>'6'!$A$1:$J$30</oldFormula>
  </rdn>
  <rdn rId="0" localSheetId="5" customView="1" name="Z_EF6E8789_B4C7_45F7_89B4_94EF3DAB98CE_.wvu.PrintArea" hidden="1" oldHidden="1">
    <formula>'8'!$A$1:$J$30</formula>
    <oldFormula>'8'!$A$1:$J$30</oldFormula>
  </rdn>
  <rdn rId="0" localSheetId="6" customView="1" name="Z_EF6E8789_B4C7_45F7_89B4_94EF3DAB98CE_.wvu.PrintArea" hidden="1" oldHidden="1">
    <formula>'10'!$A$1:$J$30</formula>
    <oldFormula>'10'!$A$1:$J$30</oldFormula>
  </rdn>
  <rdn rId="0" localSheetId="7" customView="1" name="Z_EF6E8789_B4C7_45F7_89B4_94EF3DAB98CE_.wvu.PrintArea" hidden="1" oldHidden="1">
    <formula>'11'!$A$1:$J$30</formula>
    <oldFormula>'11'!$A$1:$J$30</oldFormula>
  </rdn>
  <rdn rId="0" localSheetId="8" customView="1" name="Z_EF6E8789_B4C7_45F7_89B4_94EF3DAB98CE_.wvu.PrintArea" hidden="1" oldHidden="1">
    <formula>'13'!$A$1:$J$30</formula>
    <oldFormula>'13'!$A$1:$J$30</oldFormula>
  </rdn>
  <rdn rId="0" localSheetId="9" customView="1" name="Z_EF6E8789_B4C7_45F7_89B4_94EF3DAB98CE_.wvu.PrintArea" hidden="1" oldHidden="1">
    <formula>'15'!$A$1:$J$30</formula>
    <oldFormula>'15'!$A$1:$J$30</oldFormula>
  </rdn>
  <rdn rId="0" localSheetId="10" customView="1" name="Z_EF6E8789_B4C7_45F7_89B4_94EF3DAB98CE_.wvu.PrintArea" hidden="1" oldHidden="1">
    <formula>'17'!$A$1:$J$30</formula>
    <oldFormula>'17'!$A$1:$J$30</oldFormula>
  </rdn>
  <rdn rId="0" localSheetId="11" customView="1" name="Z_EF6E8789_B4C7_45F7_89B4_94EF3DAB98CE_.wvu.PrintArea" hidden="1" oldHidden="1">
    <formula>'18'!$A$1:$J$30</formula>
    <oldFormula>'18'!$A$1:$J$30</oldFormula>
  </rdn>
  <rdn rId="0" localSheetId="12" customView="1" name="Z_EF6E8789_B4C7_45F7_89B4_94EF3DAB98CE_.wvu.PrintArea" hidden="1" oldHidden="1">
    <formula>'20'!$A$1:$J$30</formula>
    <oldFormula>'20'!$A$1:$J$30</oldFormula>
  </rdn>
  <rdn rId="0" localSheetId="13" customView="1" name="Z_EF6E8789_B4C7_45F7_89B4_94EF3DAB98CE_.wvu.PrintArea" hidden="1" oldHidden="1">
    <formula>'22'!$A$1:$J$30</formula>
    <oldFormula>'22'!$A$1:$J$30</oldFormula>
  </rdn>
  <rdn rId="0" localSheetId="14" customView="1" name="Z_EF6E8789_B4C7_45F7_89B4_94EF3DAB98CE_.wvu.PrintArea" hidden="1" oldHidden="1">
    <formula>'24'!$A$1:$J$30</formula>
    <oldFormula>'24'!$A$1:$J$30</oldFormula>
  </rdn>
  <rdn rId="0" localSheetId="15" customView="1" name="Z_EF6E8789_B4C7_45F7_89B4_94EF3DAB98CE_.wvu.PrintArea" hidden="1" oldHidden="1">
    <formula>'25'!$A$1:$J$30</formula>
    <oldFormula>'25'!$A$1:$J$30</oldFormula>
  </rdn>
  <rdn rId="0" localSheetId="16" customView="1" name="Z_EF6E8789_B4C7_45F7_89B4_94EF3DAB98CE_.wvu.PrintArea" hidden="1" oldHidden="1">
    <formula>'27'!$A$1:$J$30</formula>
    <oldFormula>'27'!$A$1:$J$30</oldFormula>
  </rdn>
  <rdn rId="0" localSheetId="17" customView="1" name="Z_EF6E8789_B4C7_45F7_89B4_94EF3DAB98CE_.wvu.PrintArea" hidden="1" oldHidden="1">
    <formula>'29'!$A$1:$J$30</formula>
    <oldFormula>'29'!$A$1:$J$30</oldFormula>
  </rdn>
  <rdn rId="0" localSheetId="18" customView="1" name="Z_EF6E8789_B4C7_45F7_89B4_94EF3DAB98CE_.wvu.PrintArea" hidden="1" oldHidden="1">
    <formula>'31'!$A$1:$J$30</formula>
    <oldFormula>'31'!$A$1:$J$30</oldFormula>
  </rdn>
  <rcv guid="{EF6E8789-B4C7-45F7-89B4-94EF3DAB98CE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" sId="5">
    <oc r="E7">
      <v>2</v>
    </oc>
    <nc r="E7" t="inlineStr">
      <is>
        <t>CXL2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" sId="7" odxf="1" dxf="1">
    <nc r="B7">
      <v>814</v>
    </nc>
    <odxf>
      <border outline="0">
        <top/>
      </border>
    </odxf>
    <ndxf>
      <border outline="0">
        <top style="thin">
          <color indexed="64"/>
        </top>
      </border>
    </ndxf>
  </rcc>
  <rcc rId="148" sId="7" odxf="1" dxf="1">
    <nc r="C7" t="inlineStr">
      <is>
        <t>Ng Kok</t>
      </is>
    </nc>
    <odxf>
      <alignment horizontal="left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149" sId="7" odxf="1" dxf="1" numFmtId="19">
    <nc r="D7">
      <v>46154</v>
    </nc>
    <odxf>
      <border outline="0">
        <top/>
      </border>
    </odxf>
    <ndxf>
      <border outline="0">
        <top style="thin">
          <color indexed="64"/>
        </top>
      </border>
    </ndxf>
  </rcc>
  <rcc rId="150" sId="7" odxf="1" dxf="1">
    <nc r="E7">
      <v>2</v>
    </nc>
    <odxf>
      <border outline="0">
        <top/>
      </border>
    </odxf>
    <ndxf>
      <border outline="0">
        <top style="thin">
          <color indexed="64"/>
        </top>
      </border>
    </ndxf>
  </rcc>
  <rfmt sheetId="7" sqref="F7" start="0" length="0">
    <dxf>
      <border outline="0">
        <top style="thin">
          <color indexed="64"/>
        </top>
      </border>
    </dxf>
  </rfmt>
  <rfmt sheetId="7" sqref="G7" start="0" length="0">
    <dxf>
      <border outline="0">
        <top style="thin">
          <color indexed="64"/>
        </top>
      </border>
    </dxf>
  </rfmt>
  <rfmt sheetId="7" sqref="H7" start="0" length="0">
    <dxf>
      <border outline="0">
        <top style="thin">
          <color indexed="64"/>
        </top>
      </border>
    </dxf>
  </rfmt>
  <rcc rId="151" sId="7" odxf="1" dxf="1">
    <nc r="I7" t="inlineStr">
      <is>
        <t>Tarush</t>
      </is>
    </nc>
    <odxf>
      <border outline="0">
        <top/>
      </border>
    </odxf>
    <ndxf>
      <border outline="0">
        <top style="thin">
          <color indexed="64"/>
        </top>
      </border>
    </ndxf>
  </rcc>
  <rm rId="152" sheetId="7" source="I7" destination="J7" sourceSheetId="7">
    <rfmt sheetId="7" sqref="J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m>
  <rcv guid="{8F41B6D6-A2ED-49A0-BD3A-88F42735B824}" action="delete"/>
  <rdn rId="0" localSheetId="1" customView="1" name="Z_8F41B6D6_A2ED_49A0_BD3A_88F42735B824_.wvu.PrintArea" hidden="1" oldHidden="1">
    <formula>'1'!$A$1:$J$30</formula>
    <oldFormula>'1'!$A$1:$J$30</oldFormula>
  </rdn>
  <rdn rId="0" localSheetId="2" customView="1" name="Z_8F41B6D6_A2ED_49A0_BD3A_88F42735B824_.wvu.PrintArea" hidden="1" oldHidden="1">
    <formula>'3'!$A$1:$J$30</formula>
    <oldFormula>'3'!$A$1:$J$30</oldFormula>
  </rdn>
  <rdn rId="0" localSheetId="3" customView="1" name="Z_8F41B6D6_A2ED_49A0_BD3A_88F42735B824_.wvu.PrintArea" hidden="1" oldHidden="1">
    <formula>'4'!$A$1:$J$30</formula>
    <oldFormula>'4'!$A$1:$J$30</oldFormula>
  </rdn>
  <rdn rId="0" localSheetId="4" customView="1" name="Z_8F41B6D6_A2ED_49A0_BD3A_88F42735B824_.wvu.PrintArea" hidden="1" oldHidden="1">
    <formula>'6'!$A$1:$J$30</formula>
    <oldFormula>'6'!$A$1:$J$30</oldFormula>
  </rdn>
  <rdn rId="0" localSheetId="5" customView="1" name="Z_8F41B6D6_A2ED_49A0_BD3A_88F42735B824_.wvu.PrintArea" hidden="1" oldHidden="1">
    <formula>'8'!$A$1:$J$30</formula>
    <oldFormula>'8'!$A$1:$J$30</oldFormula>
  </rdn>
  <rdn rId="0" localSheetId="6" customView="1" name="Z_8F41B6D6_A2ED_49A0_BD3A_88F42735B824_.wvu.PrintArea" hidden="1" oldHidden="1">
    <formula>'10'!$A$1:$J$30</formula>
    <oldFormula>'10'!$A$1:$J$30</oldFormula>
  </rdn>
  <rdn rId="0" localSheetId="7" customView="1" name="Z_8F41B6D6_A2ED_49A0_BD3A_88F42735B824_.wvu.PrintArea" hidden="1" oldHidden="1">
    <formula>'11'!$A$1:$J$30</formula>
    <oldFormula>'11'!$A$1:$J$30</oldFormula>
  </rdn>
  <rdn rId="0" localSheetId="8" customView="1" name="Z_8F41B6D6_A2ED_49A0_BD3A_88F42735B824_.wvu.PrintArea" hidden="1" oldHidden="1">
    <formula>'13'!$A$1:$J$30</formula>
    <oldFormula>'13'!$A$1:$J$30</oldFormula>
  </rdn>
  <rdn rId="0" localSheetId="9" customView="1" name="Z_8F41B6D6_A2ED_49A0_BD3A_88F42735B824_.wvu.PrintArea" hidden="1" oldHidden="1">
    <formula>'15'!$A$1:$J$30</formula>
    <oldFormula>'15'!$A$1:$J$30</oldFormula>
  </rdn>
  <rdn rId="0" localSheetId="10" customView="1" name="Z_8F41B6D6_A2ED_49A0_BD3A_88F42735B824_.wvu.PrintArea" hidden="1" oldHidden="1">
    <formula>'17'!$A$1:$J$30</formula>
    <oldFormula>'17'!$A$1:$J$30</oldFormula>
  </rdn>
  <rdn rId="0" localSheetId="11" customView="1" name="Z_8F41B6D6_A2ED_49A0_BD3A_88F42735B824_.wvu.PrintArea" hidden="1" oldHidden="1">
    <formula>'18'!$A$1:$J$30</formula>
    <oldFormula>'18'!$A$1:$J$30</oldFormula>
  </rdn>
  <rdn rId="0" localSheetId="12" customView="1" name="Z_8F41B6D6_A2ED_49A0_BD3A_88F42735B824_.wvu.PrintArea" hidden="1" oldHidden="1">
    <formula>'20'!$A$1:$J$30</formula>
    <oldFormula>'20'!$A$1:$J$30</oldFormula>
  </rdn>
  <rdn rId="0" localSheetId="13" customView="1" name="Z_8F41B6D6_A2ED_49A0_BD3A_88F42735B824_.wvu.PrintArea" hidden="1" oldHidden="1">
    <formula>'22'!$A$1:$J$30</formula>
    <oldFormula>'22'!$A$1:$J$30</oldFormula>
  </rdn>
  <rdn rId="0" localSheetId="14" customView="1" name="Z_8F41B6D6_A2ED_49A0_BD3A_88F42735B824_.wvu.PrintArea" hidden="1" oldHidden="1">
    <formula>'24'!$A$1:$J$30</formula>
    <oldFormula>'24'!$A$1:$J$30</oldFormula>
  </rdn>
  <rdn rId="0" localSheetId="15" customView="1" name="Z_8F41B6D6_A2ED_49A0_BD3A_88F42735B824_.wvu.PrintArea" hidden="1" oldHidden="1">
    <formula>'25'!$A$1:$J$30</formula>
    <oldFormula>'25'!$A$1:$J$30</oldFormula>
  </rdn>
  <rdn rId="0" localSheetId="16" customView="1" name="Z_8F41B6D6_A2ED_49A0_BD3A_88F42735B824_.wvu.PrintArea" hidden="1" oldHidden="1">
    <formula>'27'!$A$1:$J$30</formula>
    <oldFormula>'27'!$A$1:$J$30</oldFormula>
  </rdn>
  <rdn rId="0" localSheetId="17" customView="1" name="Z_8F41B6D6_A2ED_49A0_BD3A_88F42735B824_.wvu.PrintArea" hidden="1" oldHidden="1">
    <formula>'29'!$A$1:$J$30</formula>
    <oldFormula>'29'!$A$1:$J$30</oldFormula>
  </rdn>
  <rdn rId="0" localSheetId="18" customView="1" name="Z_8F41B6D6_A2ED_49A0_BD3A_88F42735B824_.wvu.PrintArea" hidden="1" oldHidden="1">
    <formula>'31'!$A$1:$J$30</formula>
    <oldFormula>'31'!$A$1:$J$30</oldFormula>
  </rdn>
  <rcv guid="{8F41B6D6-A2ED-49A0-BD3A-88F42735B824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K7">
    <dxf>
      <fill>
        <patternFill patternType="solid">
          <bgColor rgb="FFFF0000"/>
        </patternFill>
      </fill>
    </dxf>
  </rfmt>
  <rcv guid="{8F41B6D6-A2ED-49A0-BD3A-88F42735B824}" action="delete"/>
  <rdn rId="0" localSheetId="1" customView="1" name="Z_8F41B6D6_A2ED_49A0_BD3A_88F42735B824_.wvu.PrintArea" hidden="1" oldHidden="1">
    <formula>'1'!$A$1:$J$30</formula>
    <oldFormula>'1'!$A$1:$J$30</oldFormula>
  </rdn>
  <rdn rId="0" localSheetId="2" customView="1" name="Z_8F41B6D6_A2ED_49A0_BD3A_88F42735B824_.wvu.PrintArea" hidden="1" oldHidden="1">
    <formula>'3'!$A$1:$J$30</formula>
    <oldFormula>'3'!$A$1:$J$30</oldFormula>
  </rdn>
  <rdn rId="0" localSheetId="3" customView="1" name="Z_8F41B6D6_A2ED_49A0_BD3A_88F42735B824_.wvu.PrintArea" hidden="1" oldHidden="1">
    <formula>'4'!$A$1:$J$30</formula>
    <oldFormula>'4'!$A$1:$J$30</oldFormula>
  </rdn>
  <rdn rId="0" localSheetId="4" customView="1" name="Z_8F41B6D6_A2ED_49A0_BD3A_88F42735B824_.wvu.PrintArea" hidden="1" oldHidden="1">
    <formula>'6'!$A$1:$J$30</formula>
    <oldFormula>'6'!$A$1:$J$30</oldFormula>
  </rdn>
  <rdn rId="0" localSheetId="5" customView="1" name="Z_8F41B6D6_A2ED_49A0_BD3A_88F42735B824_.wvu.PrintArea" hidden="1" oldHidden="1">
    <formula>'8'!$A$1:$J$30</formula>
    <oldFormula>'8'!$A$1:$J$30</oldFormula>
  </rdn>
  <rdn rId="0" localSheetId="6" customView="1" name="Z_8F41B6D6_A2ED_49A0_BD3A_88F42735B824_.wvu.PrintArea" hidden="1" oldHidden="1">
    <formula>'10'!$A$1:$J$30</formula>
    <oldFormula>'10'!$A$1:$J$30</oldFormula>
  </rdn>
  <rdn rId="0" localSheetId="7" customView="1" name="Z_8F41B6D6_A2ED_49A0_BD3A_88F42735B824_.wvu.PrintArea" hidden="1" oldHidden="1">
    <formula>'11'!$A$1:$J$30</formula>
    <oldFormula>'11'!$A$1:$J$30</oldFormula>
  </rdn>
  <rdn rId="0" localSheetId="8" customView="1" name="Z_8F41B6D6_A2ED_49A0_BD3A_88F42735B824_.wvu.PrintArea" hidden="1" oldHidden="1">
    <formula>'13'!$A$1:$J$30</formula>
    <oldFormula>'13'!$A$1:$J$30</oldFormula>
  </rdn>
  <rdn rId="0" localSheetId="9" customView="1" name="Z_8F41B6D6_A2ED_49A0_BD3A_88F42735B824_.wvu.PrintArea" hidden="1" oldHidden="1">
    <formula>'15'!$A$1:$J$30</formula>
    <oldFormula>'15'!$A$1:$J$30</oldFormula>
  </rdn>
  <rdn rId="0" localSheetId="10" customView="1" name="Z_8F41B6D6_A2ED_49A0_BD3A_88F42735B824_.wvu.PrintArea" hidden="1" oldHidden="1">
    <formula>'17'!$A$1:$J$30</formula>
    <oldFormula>'17'!$A$1:$J$30</oldFormula>
  </rdn>
  <rdn rId="0" localSheetId="11" customView="1" name="Z_8F41B6D6_A2ED_49A0_BD3A_88F42735B824_.wvu.PrintArea" hidden="1" oldHidden="1">
    <formula>'18'!$A$1:$J$30</formula>
    <oldFormula>'18'!$A$1:$J$30</oldFormula>
  </rdn>
  <rdn rId="0" localSheetId="12" customView="1" name="Z_8F41B6D6_A2ED_49A0_BD3A_88F42735B824_.wvu.PrintArea" hidden="1" oldHidden="1">
    <formula>'20'!$A$1:$J$30</formula>
    <oldFormula>'20'!$A$1:$J$30</oldFormula>
  </rdn>
  <rdn rId="0" localSheetId="13" customView="1" name="Z_8F41B6D6_A2ED_49A0_BD3A_88F42735B824_.wvu.PrintArea" hidden="1" oldHidden="1">
    <formula>'22'!$A$1:$J$30</formula>
    <oldFormula>'22'!$A$1:$J$30</oldFormula>
  </rdn>
  <rdn rId="0" localSheetId="14" customView="1" name="Z_8F41B6D6_A2ED_49A0_BD3A_88F42735B824_.wvu.PrintArea" hidden="1" oldHidden="1">
    <formula>'24'!$A$1:$J$30</formula>
    <oldFormula>'24'!$A$1:$J$30</oldFormula>
  </rdn>
  <rdn rId="0" localSheetId="15" customView="1" name="Z_8F41B6D6_A2ED_49A0_BD3A_88F42735B824_.wvu.PrintArea" hidden="1" oldHidden="1">
    <formula>'25'!$A$1:$J$30</formula>
    <oldFormula>'25'!$A$1:$J$30</oldFormula>
  </rdn>
  <rdn rId="0" localSheetId="16" customView="1" name="Z_8F41B6D6_A2ED_49A0_BD3A_88F42735B824_.wvu.PrintArea" hidden="1" oldHidden="1">
    <formula>'27'!$A$1:$J$30</formula>
    <oldFormula>'27'!$A$1:$J$30</oldFormula>
  </rdn>
  <rdn rId="0" localSheetId="17" customView="1" name="Z_8F41B6D6_A2ED_49A0_BD3A_88F42735B824_.wvu.PrintArea" hidden="1" oldHidden="1">
    <formula>'29'!$A$1:$J$30</formula>
    <oldFormula>'29'!$A$1:$J$30</oldFormula>
  </rdn>
  <rdn rId="0" localSheetId="18" customView="1" name="Z_8F41B6D6_A2ED_49A0_BD3A_88F42735B824_.wvu.PrintArea" hidden="1" oldHidden="1">
    <formula>'31'!$A$1:$J$30</formula>
    <oldFormula>'31'!$A$1:$J$30</oldFormula>
  </rdn>
  <rcv guid="{8F41B6D6-A2ED-49A0-BD3A-88F42735B824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K7">
    <dxf>
      <fill>
        <patternFill>
          <bgColor rgb="FF92D050"/>
        </patternFill>
      </fill>
    </dxf>
  </rfmt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" sId="8">
    <nc r="B7">
      <v>869</v>
    </nc>
  </rcc>
  <rcc rId="190" sId="8">
    <nc r="E7">
      <v>2</v>
    </nc>
  </rcc>
  <rcc rId="191" sId="8">
    <nc r="J7" t="inlineStr">
      <is>
        <t>Faiha</t>
      </is>
    </nc>
  </rcc>
  <rcc rId="192" sId="8">
    <nc r="C7" t="inlineStr">
      <is>
        <t>Eugene Au</t>
      </is>
    </nc>
  </rcc>
  <rcc rId="193" sId="8" numFmtId="19">
    <nc r="D7">
      <v>46157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" sId="8">
    <oc r="E7">
      <v>2</v>
    </oc>
    <nc r="E7" t="inlineStr">
      <is>
        <t>CXL2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5">
  <userInfo guid="{91D90F74-9144-4439-8274-6E3CD04546DA}" name="Dive Centre Office" id="-387610989" dateTime="2026-05-02T14:14:33"/>
  <userInfo guid="{2CAE9D35-71F2-4354-A7EB-F2C2E2E7E01C}" name="Dive Centre Office" id="-387615893" dateTime="2026-05-03T09:45:51"/>
  <userInfo guid="{17850B68-F008-41E3-91B3-F7848D50778D}" name="Dive Centre Office" id="-387629600" dateTime="2026-05-03T14:04:20"/>
  <userInfo guid="{9D5ECCC4-DEF0-40B8-B300-AC86B4E7F78D}" name="Dive Centre Office" id="-387585720" dateTime="2026-05-06T14:12:32"/>
  <userInfo guid="{18A47149-CFE5-42C0-BCD8-C3D0CB1924B5}" name="Dive Centre Office" id="-387628426" dateTime="2026-05-12T08:38:2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microsoft.com/office/2006/relationships/wsSortMap" Target="wsSortMap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20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2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3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3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4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4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4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5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5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6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6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.bin"/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Relationship Id="rId5" Type="http://schemas.openxmlformats.org/officeDocument/2006/relationships/drawing" Target="../drawings/drawing17.xml"/><Relationship Id="rId4" Type="http://schemas.openxmlformats.org/officeDocument/2006/relationships/printerSettings" Target="../printerSettings/printerSettings6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Relationship Id="rId5" Type="http://schemas.openxmlformats.org/officeDocument/2006/relationships/drawing" Target="../drawings/drawing18.xml"/><Relationship Id="rId4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2:K62"/>
  <sheetViews>
    <sheetView zoomScaleNormal="100" zoomScaleSheetLayoutView="90" workbookViewId="0">
      <selection activeCell="D10" sqref="D10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>
        <v>848</v>
      </c>
      <c r="C7" s="53" t="s">
        <v>23</v>
      </c>
      <c r="D7" s="35">
        <v>46145</v>
      </c>
      <c r="E7" s="29">
        <v>2</v>
      </c>
      <c r="F7" s="29"/>
      <c r="G7" s="29"/>
      <c r="H7" s="29"/>
      <c r="I7" s="54" t="s">
        <v>24</v>
      </c>
      <c r="J7" s="29" t="s">
        <v>25</v>
      </c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2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D10" sqref="D10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D10" sqref="D10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7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2:K62"/>
  <sheetViews>
    <sheetView zoomScaleNormal="100" zoomScaleSheetLayoutView="90" workbookViewId="0">
      <selection activeCell="D10" sqref="D10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3/05/2026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31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 t="s">
        <v>34</v>
      </c>
      <c r="C8" s="31" t="s">
        <v>27</v>
      </c>
      <c r="D8" s="36">
        <v>46145</v>
      </c>
      <c r="E8" s="30">
        <v>2</v>
      </c>
      <c r="F8" s="30"/>
      <c r="G8" s="30"/>
      <c r="H8" s="30"/>
      <c r="I8" s="30"/>
      <c r="J8" s="30" t="s">
        <v>26</v>
      </c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 t="s">
        <v>35</v>
      </c>
      <c r="C9" s="31" t="s">
        <v>30</v>
      </c>
      <c r="D9" s="36">
        <v>46145</v>
      </c>
      <c r="E9" s="30">
        <v>2</v>
      </c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29" t="s">
        <v>36</v>
      </c>
      <c r="C10" s="46" t="s">
        <v>29</v>
      </c>
      <c r="D10" s="35">
        <v>46145</v>
      </c>
      <c r="E10" s="29">
        <v>2</v>
      </c>
      <c r="F10" s="29"/>
      <c r="G10" s="29"/>
      <c r="H10" s="29"/>
      <c r="I10" s="29"/>
      <c r="J10" s="29" t="s">
        <v>28</v>
      </c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6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D10" sqref="D10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C13" sqref="C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L18" sqref="L1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6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K62"/>
  <sheetViews>
    <sheetView zoomScaleNormal="100" zoomScaleSheetLayoutView="90" workbookViewId="0">
      <selection activeCell="C15" sqref="C15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4/05/2026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>
        <v>325</v>
      </c>
      <c r="C7" s="46" t="s">
        <v>32</v>
      </c>
      <c r="D7" s="35">
        <v>46151</v>
      </c>
      <c r="E7" s="29">
        <v>2</v>
      </c>
      <c r="F7" s="29"/>
      <c r="G7" s="29"/>
      <c r="H7" s="29"/>
      <c r="I7" s="29"/>
      <c r="J7" s="29" t="s">
        <v>31</v>
      </c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>
        <v>880</v>
      </c>
      <c r="C8" s="31" t="s">
        <v>38</v>
      </c>
      <c r="D8" s="36">
        <v>46147</v>
      </c>
      <c r="E8" s="30">
        <v>2</v>
      </c>
      <c r="F8" s="30"/>
      <c r="G8" s="30"/>
      <c r="H8" s="30"/>
      <c r="I8" s="30"/>
      <c r="J8" s="30" t="s">
        <v>28</v>
      </c>
      <c r="K8" s="52" t="str">
        <f>IF(OR(NOT(ISERROR(MATCH(RIGHT(B11,3)+0,#REF!,0))),NOT(ISERROR(MATCH(LEFT(B11,3)+0,#REF!,0)))),"No Post","")</f>
        <v/>
      </c>
    </row>
    <row r="9" spans="1:11" s="26" customFormat="1" x14ac:dyDescent="0.35">
      <c r="A9" s="24">
        <v>3</v>
      </c>
      <c r="B9" s="30">
        <v>884</v>
      </c>
      <c r="C9" s="31" t="s">
        <v>37</v>
      </c>
      <c r="D9" s="36">
        <v>46149</v>
      </c>
      <c r="E9" s="30">
        <v>2</v>
      </c>
      <c r="F9" s="30"/>
      <c r="G9" s="30"/>
      <c r="H9" s="30"/>
      <c r="I9" s="30"/>
      <c r="J9" s="30" t="s">
        <v>28</v>
      </c>
      <c r="K9" s="52" t="str">
        <f>IF(OR(NOT(ISERROR(MATCH(RIGHT(B8,3)+0,#REF!,0))),NOT(ISERROR(MATCH(LEFT(B8,3)+0,#REF!,0)))),"No Post","")</f>
        <v/>
      </c>
    </row>
    <row r="10" spans="1:11" s="26" customFormat="1" x14ac:dyDescent="0.35">
      <c r="A10" s="24">
        <v>4</v>
      </c>
      <c r="B10" s="30" t="s">
        <v>35</v>
      </c>
      <c r="C10" s="31" t="s">
        <v>30</v>
      </c>
      <c r="D10" s="36">
        <v>46145</v>
      </c>
      <c r="E10" s="30">
        <v>2</v>
      </c>
      <c r="F10" s="30"/>
      <c r="G10" s="30"/>
      <c r="H10" s="30"/>
      <c r="I10" s="30"/>
      <c r="J10" s="30" t="s">
        <v>28</v>
      </c>
      <c r="K10" s="52" t="str">
        <f>IF(OR(NOT(ISERROR(MATCH(RIGHT(B9,3)+0,#REF!,0))),NOT(ISERROR(MATCH(LEFT(B9,3)+0,#REF!,0)))),"No Post","")</f>
        <v/>
      </c>
    </row>
    <row r="11" spans="1:11" s="26" customFormat="1" x14ac:dyDescent="0.35">
      <c r="A11" s="24">
        <v>5</v>
      </c>
      <c r="B11" s="30">
        <v>818</v>
      </c>
      <c r="C11" s="31" t="s">
        <v>29</v>
      </c>
      <c r="D11" s="36">
        <v>46145</v>
      </c>
      <c r="E11" s="30" t="s">
        <v>33</v>
      </c>
      <c r="F11" s="30"/>
      <c r="G11" s="30"/>
      <c r="H11" s="30"/>
      <c r="I11" s="30"/>
      <c r="J11" s="30" t="s">
        <v>28</v>
      </c>
      <c r="K11" s="52" t="str">
        <f>IF(OR(NOT(ISERROR(MATCH(RIGHT(B10,3)+0,#REF!,0))),NOT(ISERROR(MATCH(LEFT(B10,3)+0,#REF!,0)))),"No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IF(OR(NOT(ISERROR(MATCH(RIGHT(#REF!,3)+0,#REF!,0))),NOT(ISERROR(MATCH(LEFT(#REF!,3)+0,#REF!,0)))),"No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8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sortState ref="B7:J11">
    <sortCondition ref="B7"/>
  </sortState>
  <customSheetViews>
    <customSheetView guid="{8F41B6D6-A2ED-49A0-BD3A-88F42735B824}" showPageBreaks="1" fitToPage="1" printArea="1">
      <selection activeCell="C15" sqref="C15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8" sqref="B8:E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8" sqref="B8:E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5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2:K62"/>
  <sheetViews>
    <sheetView zoomScaleNormal="100" zoomScaleSheetLayoutView="90" workbookViewId="0">
      <selection activeCell="E7" sqref="E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6/05/2026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30">
        <v>325</v>
      </c>
      <c r="C7" s="31" t="s">
        <v>32</v>
      </c>
      <c r="D7" s="36">
        <v>46151</v>
      </c>
      <c r="E7" s="30" t="s">
        <v>41</v>
      </c>
      <c r="F7" s="29"/>
      <c r="G7" s="29"/>
      <c r="H7" s="29"/>
      <c r="I7" s="29"/>
      <c r="J7" s="29" t="s">
        <v>31</v>
      </c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E7" sqref="E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C11" sqref="C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C11" sqref="C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4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2:K62"/>
  <sheetViews>
    <sheetView zoomScaleNormal="100" zoomScaleSheetLayoutView="90" workbookViewId="0">
      <selection activeCell="E8" sqref="E8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8/05/2026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 t="s">
        <v>40</v>
      </c>
      <c r="C7" s="46" t="s">
        <v>39</v>
      </c>
      <c r="D7" s="35">
        <v>46148</v>
      </c>
      <c r="E7" s="29" t="s">
        <v>42</v>
      </c>
      <c r="F7" s="29"/>
      <c r="G7" s="29"/>
      <c r="H7" s="29"/>
      <c r="I7" s="29"/>
      <c r="J7" s="29" t="s">
        <v>26</v>
      </c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E8" sqref="E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H10" sqref="H10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3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10/05/2026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2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2:K62"/>
  <sheetViews>
    <sheetView zoomScaleNormal="100" zoomScaleSheetLayoutView="90" workbookViewId="0">
      <selection activeCell="C8" sqref="C8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11/05/2026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30">
        <v>814</v>
      </c>
      <c r="C7" s="30" t="s">
        <v>43</v>
      </c>
      <c r="D7" s="36">
        <v>46154</v>
      </c>
      <c r="E7" s="30">
        <v>2</v>
      </c>
      <c r="F7" s="30"/>
      <c r="G7" s="30"/>
      <c r="H7" s="30"/>
      <c r="J7" s="30" t="s">
        <v>44</v>
      </c>
      <c r="K7" s="55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2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C8" sqref="C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1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K62"/>
  <sheetViews>
    <sheetView tabSelected="1" zoomScaleNormal="100" zoomScaleSheetLayoutView="90" workbookViewId="0">
      <selection activeCell="E8" sqref="E8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13/05/2026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>
        <v>869</v>
      </c>
      <c r="C7" s="46" t="s">
        <v>45</v>
      </c>
      <c r="D7" s="35">
        <v>46157</v>
      </c>
      <c r="E7" s="29" t="s">
        <v>42</v>
      </c>
      <c r="F7" s="29"/>
      <c r="G7" s="29"/>
      <c r="H7" s="29"/>
      <c r="I7" s="29"/>
      <c r="J7" s="29" t="s">
        <v>28</v>
      </c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0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15/05/2026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9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17/05/2026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8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18/05/2026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7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20/05/2026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6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22/05/2026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5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24/05/2026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4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K62"/>
  <sheetViews>
    <sheetView zoomScaleNormal="100" zoomScaleSheetLayoutView="90" workbookViewId="0">
      <selection activeCell="I13" sqref="I13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25/05/2026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I13" sqref="I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I13" sqref="I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I13" sqref="I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3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K62"/>
  <sheetViews>
    <sheetView zoomScaleNormal="100" zoomScaleSheetLayoutView="90" workbookViewId="0">
      <selection activeCell="H13" sqref="H13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27/05/2026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H13" sqref="H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H13" sqref="H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H13" sqref="H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29/05/2026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2:K62"/>
  <sheetViews>
    <sheetView topLeftCell="A4"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3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3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34"/>
      <c r="E4" s="7"/>
      <c r="F4" s="7"/>
      <c r="G4" s="7"/>
      <c r="H4" s="7"/>
      <c r="I4" s="8"/>
      <c r="J4" s="8"/>
    </row>
    <row r="5" spans="1:11" s="25" customFormat="1" ht="23.4" x14ac:dyDescent="0.45">
      <c r="A5" s="56" t="s">
        <v>22</v>
      </c>
      <c r="B5" s="57"/>
      <c r="C5" s="57"/>
      <c r="D5" s="57"/>
      <c r="E5" s="57"/>
      <c r="F5" s="57"/>
      <c r="G5" s="57"/>
      <c r="H5" s="57"/>
      <c r="I5" s="47" t="s">
        <v>16</v>
      </c>
      <c r="J5" s="28" t="str">
        <f ca="1">CONCATENATE((MID(CELL("filename",J5),FIND("]",CELL("filename",J5))+1,255)),"/05/2026")</f>
        <v>31/05/2026</v>
      </c>
    </row>
    <row r="6" spans="1:11" s="26" customFormat="1" ht="18.600000000000001" thickBot="1" x14ac:dyDescent="0.4">
      <c r="A6" s="48"/>
      <c r="B6" s="49" t="s">
        <v>1</v>
      </c>
      <c r="C6" s="49" t="s">
        <v>2</v>
      </c>
      <c r="D6" s="50" t="s">
        <v>21</v>
      </c>
      <c r="E6" s="49" t="s">
        <v>17</v>
      </c>
      <c r="F6" s="49" t="s">
        <v>18</v>
      </c>
      <c r="G6" s="49" t="s">
        <v>3</v>
      </c>
      <c r="H6" s="49" t="s">
        <v>4</v>
      </c>
      <c r="I6" s="49" t="s">
        <v>19</v>
      </c>
      <c r="J6" s="51" t="s">
        <v>5</v>
      </c>
    </row>
    <row r="7" spans="1:11" s="26" customFormat="1" x14ac:dyDescent="0.35">
      <c r="A7" s="29">
        <v>1</v>
      </c>
      <c r="B7" s="29"/>
      <c r="C7" s="46"/>
      <c r="D7" s="35"/>
      <c r="E7" s="29"/>
      <c r="F7" s="29"/>
      <c r="G7" s="29"/>
      <c r="H7" s="29"/>
      <c r="I7" s="29"/>
      <c r="J7" s="29"/>
      <c r="K7" s="52" t="str">
        <f>IF(OR(NOT(ISERROR(MATCH(RIGHT(B7,3)+0,#REF!,0))),NOT(ISERROR(MATCH(LEFT(B7,3)+0,#REF!,0)))),"No Post","")</f>
        <v/>
      </c>
    </row>
    <row r="8" spans="1:11" s="26" customFormat="1" x14ac:dyDescent="0.35">
      <c r="A8" s="24">
        <v>2</v>
      </c>
      <c r="B8" s="30"/>
      <c r="C8" s="31"/>
      <c r="D8" s="36"/>
      <c r="E8" s="30"/>
      <c r="F8" s="30"/>
      <c r="G8" s="30"/>
      <c r="H8" s="30"/>
      <c r="I8" s="30"/>
      <c r="J8" s="30"/>
      <c r="K8" s="52" t="str">
        <f>IF(OR(NOT(ISERROR(MATCH(RIGHT(B8,3)+0,#REF!,0))),NOT(ISERROR(MATCH(LEFT(B8,3)+0,#REF!,0)))),"No Post","")</f>
        <v/>
      </c>
    </row>
    <row r="9" spans="1:11" s="26" customFormat="1" x14ac:dyDescent="0.35">
      <c r="A9" s="24">
        <v>3</v>
      </c>
      <c r="B9" s="30"/>
      <c r="C9" s="31"/>
      <c r="D9" s="36"/>
      <c r="E9" s="30"/>
      <c r="F9" s="30"/>
      <c r="G9" s="30"/>
      <c r="H9" s="30"/>
      <c r="I9" s="30"/>
      <c r="J9" s="30"/>
      <c r="K9" s="52" t="str">
        <f>IF(OR(NOT(ISERROR(MATCH(RIGHT(B9,3)+0,#REF!,0))),NOT(ISERROR(MATCH(LEFT(B9,3)+0,#REF!,0)))),"No Post","")</f>
        <v/>
      </c>
    </row>
    <row r="10" spans="1:11" s="26" customFormat="1" x14ac:dyDescent="0.35">
      <c r="A10" s="24">
        <v>4</v>
      </c>
      <c r="B10" s="30"/>
      <c r="C10" s="31"/>
      <c r="D10" s="36"/>
      <c r="E10" s="30"/>
      <c r="F10" s="30"/>
      <c r="G10" s="30"/>
      <c r="H10" s="30"/>
      <c r="I10" s="30"/>
      <c r="J10" s="30"/>
      <c r="K10" s="52" t="str">
        <f>IF(OR(NOT(ISERROR(MATCH(RIGHT(B10,3)+0,#REF!,0))),NOT(ISERROR(MATCH(LEFT(B10,3)+0,#REF!,0)))),"No Post","")</f>
        <v/>
      </c>
    </row>
    <row r="11" spans="1:11" s="26" customFormat="1" x14ac:dyDescent="0.35">
      <c r="A11" s="24">
        <v>5</v>
      </c>
      <c r="B11" s="30"/>
      <c r="C11" s="31"/>
      <c r="D11" s="36"/>
      <c r="E11" s="30"/>
      <c r="F11" s="30"/>
      <c r="G11" s="30"/>
      <c r="H11" s="30"/>
      <c r="I11" s="30"/>
      <c r="J11" s="30"/>
      <c r="K11" s="52" t="str">
        <f>IF(OR(NOT(ISERROR(MATCH(RIGHT(B11,3)+0,#REF!,0))),NOT(ISERROR(MATCH(LEFT(B11,3)+0,#REF!,0)))),"No Post","")</f>
        <v/>
      </c>
    </row>
    <row r="12" spans="1:11" s="26" customFormat="1" x14ac:dyDescent="0.35">
      <c r="A12" s="30">
        <v>6</v>
      </c>
      <c r="B12" s="30"/>
      <c r="C12" s="31"/>
      <c r="D12" s="36"/>
      <c r="E12" s="30"/>
      <c r="F12" s="30"/>
      <c r="G12" s="30"/>
      <c r="H12" s="30"/>
      <c r="I12" s="30"/>
      <c r="J12" s="30"/>
      <c r="K12" s="52" t="str">
        <f>IF(OR(NOT(ISERROR(MATCH(RIGHT(B12,3)+0,#REF!,0))),NOT(ISERROR(MATCH(LEFT(B12,3)+0,#REF!,0)))),"No Post","")</f>
        <v/>
      </c>
    </row>
    <row r="13" spans="1:11" s="26" customFormat="1" x14ac:dyDescent="0.35">
      <c r="A13" s="24">
        <v>7</v>
      </c>
      <c r="B13" s="30"/>
      <c r="C13" s="31"/>
      <c r="D13" s="36"/>
      <c r="E13" s="30"/>
      <c r="F13" s="30"/>
      <c r="G13" s="30"/>
      <c r="H13" s="30"/>
      <c r="I13" s="30"/>
      <c r="J13" s="30"/>
      <c r="K13" s="52" t="str">
        <f>IF(OR(NOT(ISERROR(MATCH(RIGHT(B13,3)+0,#REF!,0))),NOT(ISERROR(MATCH(LEFT(B13,3)+0,#REF!,0)))),"No Post","")</f>
        <v/>
      </c>
    </row>
    <row r="14" spans="1:11" s="26" customFormat="1" x14ac:dyDescent="0.35">
      <c r="A14" s="24">
        <v>8</v>
      </c>
      <c r="B14" s="30"/>
      <c r="C14" s="31"/>
      <c r="D14" s="36"/>
      <c r="E14" s="30"/>
      <c r="F14" s="30"/>
      <c r="G14" s="30"/>
      <c r="H14" s="30"/>
      <c r="I14" s="30"/>
      <c r="J14" s="30"/>
      <c r="K14" s="52" t="str">
        <f>IF(OR(NOT(ISERROR(MATCH(RIGHT(B14,3)+0,#REF!,0))),NOT(ISERROR(MATCH(LEFT(B14,3)+0,#REF!,0)))),"No Post","")</f>
        <v/>
      </c>
    </row>
    <row r="15" spans="1:11" s="26" customFormat="1" x14ac:dyDescent="0.35">
      <c r="A15" s="24">
        <v>9</v>
      </c>
      <c r="B15" s="30"/>
      <c r="C15" s="31"/>
      <c r="D15" s="36"/>
      <c r="E15" s="30"/>
      <c r="F15" s="30"/>
      <c r="G15" s="30"/>
      <c r="H15" s="30"/>
      <c r="I15" s="30"/>
      <c r="J15" s="30"/>
      <c r="K15" s="52" t="str">
        <f>IF(OR(NOT(ISERROR(MATCH(RIGHT(B15,3)+0,#REF!,0))),NOT(ISERROR(MATCH(LEFT(B15,3)+0,#REF!,0)))),"No Post","")</f>
        <v/>
      </c>
    </row>
    <row r="16" spans="1:11" s="26" customFormat="1" x14ac:dyDescent="0.35">
      <c r="A16" s="24">
        <v>10</v>
      </c>
      <c r="B16" s="30"/>
      <c r="C16" s="31"/>
      <c r="D16" s="36"/>
      <c r="E16" s="30"/>
      <c r="F16" s="30"/>
      <c r="G16" s="30"/>
      <c r="H16" s="30"/>
      <c r="I16" s="30"/>
      <c r="J16" s="30"/>
      <c r="K16" s="52" t="str">
        <f>IF(OR(NOT(ISERROR(MATCH(RIGHT(B16,3)+0,#REF!,0))),NOT(ISERROR(MATCH(LEFT(B16,3)+0,#REF!,0)))),"No Post","")</f>
        <v/>
      </c>
    </row>
    <row r="17" spans="2:8" ht="20.25" customHeight="1" x14ac:dyDescent="0.35">
      <c r="D17" s="37" t="s">
        <v>20</v>
      </c>
      <c r="E17" s="27">
        <f>SUM(E7:E16)</f>
        <v>0</v>
      </c>
      <c r="F17" s="27">
        <f>SUM(F7:F16)</f>
        <v>0</v>
      </c>
    </row>
    <row r="18" spans="2:8" ht="20.25" customHeight="1" x14ac:dyDescent="0.35"/>
    <row r="19" spans="2:8" ht="20.25" customHeight="1" x14ac:dyDescent="0.35"/>
    <row r="20" spans="2:8" ht="20.25" customHeight="1" x14ac:dyDescent="0.35">
      <c r="B20" s="9" t="s">
        <v>6</v>
      </c>
      <c r="C20" s="9"/>
      <c r="D20" s="38"/>
      <c r="E20" s="9"/>
      <c r="F20" s="9"/>
      <c r="G20" s="9"/>
    </row>
    <row r="21" spans="2:8" ht="20.25" customHeight="1" x14ac:dyDescent="0.35">
      <c r="B21" s="10" t="s">
        <v>7</v>
      </c>
      <c r="C21" s="10"/>
      <c r="D21" s="39"/>
      <c r="E21" s="10"/>
      <c r="F21" s="10"/>
      <c r="G21" s="10"/>
    </row>
    <row r="22" spans="2:8" ht="20.25" customHeight="1" x14ac:dyDescent="0.35">
      <c r="B22" s="10" t="s">
        <v>8</v>
      </c>
      <c r="C22" s="10"/>
      <c r="D22" s="39"/>
      <c r="E22" s="10"/>
      <c r="F22" s="10"/>
      <c r="G22" s="10"/>
    </row>
    <row r="23" spans="2:8" ht="20.25" customHeight="1" x14ac:dyDescent="0.35">
      <c r="B23" s="10" t="s">
        <v>9</v>
      </c>
      <c r="C23" s="10"/>
      <c r="D23" s="39"/>
      <c r="E23" s="10"/>
      <c r="F23" s="10"/>
      <c r="G23" s="10"/>
    </row>
    <row r="24" spans="2:8" x14ac:dyDescent="0.35">
      <c r="B24" s="10" t="s">
        <v>10</v>
      </c>
      <c r="C24" s="10"/>
      <c r="D24" s="39"/>
      <c r="E24" s="10"/>
      <c r="F24" s="10"/>
      <c r="G24" s="10"/>
    </row>
    <row r="25" spans="2:8" x14ac:dyDescent="0.35">
      <c r="B25" s="10" t="s">
        <v>11</v>
      </c>
      <c r="C25" s="10"/>
      <c r="D25" s="39"/>
      <c r="E25" s="10"/>
      <c r="F25" s="10"/>
      <c r="G25" s="10"/>
    </row>
    <row r="26" spans="2:8" s="11" customFormat="1" x14ac:dyDescent="0.35">
      <c r="B26" s="10" t="s">
        <v>12</v>
      </c>
      <c r="C26" s="10"/>
      <c r="D26" s="39"/>
      <c r="E26" s="10"/>
      <c r="F26" s="10"/>
      <c r="G26" s="10"/>
    </row>
    <row r="27" spans="2:8" s="12" customFormat="1" ht="15.6" x14ac:dyDescent="0.3">
      <c r="B27" s="13" t="s">
        <v>13</v>
      </c>
      <c r="C27" s="13"/>
      <c r="D27" s="40"/>
      <c r="E27" s="13"/>
      <c r="F27" s="13"/>
      <c r="G27" s="14"/>
      <c r="H27" s="15"/>
    </row>
    <row r="28" spans="2:8" s="12" customFormat="1" ht="15.6" x14ac:dyDescent="0.3">
      <c r="B28" s="13" t="s">
        <v>14</v>
      </c>
      <c r="C28" s="13"/>
      <c r="D28" s="40"/>
      <c r="E28" s="13"/>
      <c r="F28" s="13"/>
      <c r="G28" s="14"/>
      <c r="H28" s="15"/>
    </row>
    <row r="29" spans="2:8" s="16" customFormat="1" ht="20.25" customHeight="1" x14ac:dyDescent="0.35">
      <c r="B29" s="17" t="s">
        <v>15</v>
      </c>
      <c r="C29" s="17"/>
      <c r="D29" s="41"/>
      <c r="E29" s="18"/>
      <c r="F29" s="18"/>
      <c r="G29" s="18"/>
    </row>
    <row r="30" spans="2:8" s="9" customFormat="1" ht="14.4" x14ac:dyDescent="0.3">
      <c r="B30" s="19"/>
      <c r="C30" s="20"/>
      <c r="D30" s="42"/>
      <c r="E30" s="20"/>
      <c r="F30" s="20"/>
      <c r="G30" s="20"/>
    </row>
    <row r="31" spans="2:8" s="10" customFormat="1" ht="13.8" x14ac:dyDescent="0.3">
      <c r="B31" s="20"/>
      <c r="C31" s="20"/>
      <c r="D31" s="42"/>
      <c r="E31" s="20"/>
      <c r="F31" s="20"/>
      <c r="G31" s="20"/>
    </row>
    <row r="32" spans="2:8" x14ac:dyDescent="0.35">
      <c r="B32" s="20"/>
      <c r="C32" s="20"/>
      <c r="D32" s="42"/>
      <c r="E32" s="20"/>
      <c r="F32" s="20"/>
      <c r="G32" s="20"/>
    </row>
    <row r="33" spans="2:7" x14ac:dyDescent="0.35">
      <c r="B33" s="21"/>
      <c r="C33" s="21"/>
      <c r="D33" s="43"/>
      <c r="E33" s="21"/>
      <c r="F33" s="21"/>
      <c r="G33" s="21"/>
    </row>
    <row r="34" spans="2:7" x14ac:dyDescent="0.35">
      <c r="B34" s="20"/>
      <c r="C34" s="20"/>
      <c r="D34" s="42"/>
      <c r="E34" s="20"/>
      <c r="F34" s="20"/>
      <c r="G34" s="20"/>
    </row>
    <row r="35" spans="2:7" x14ac:dyDescent="0.35">
      <c r="B35" s="20"/>
      <c r="C35" s="20"/>
      <c r="D35" s="42"/>
      <c r="E35" s="20"/>
      <c r="F35" s="20"/>
      <c r="G35" s="20"/>
    </row>
    <row r="36" spans="2:7" x14ac:dyDescent="0.35">
      <c r="B36" s="20"/>
      <c r="C36" s="20"/>
      <c r="D36" s="42"/>
      <c r="E36" s="20"/>
      <c r="F36" s="20"/>
      <c r="G36" s="20"/>
    </row>
    <row r="37" spans="2:7" x14ac:dyDescent="0.35">
      <c r="B37" s="20"/>
      <c r="C37" s="20"/>
      <c r="D37" s="42"/>
      <c r="E37" s="20"/>
      <c r="F37" s="20"/>
      <c r="G37" s="20"/>
    </row>
    <row r="38" spans="2:7" x14ac:dyDescent="0.35">
      <c r="B38" s="20"/>
      <c r="C38" s="20"/>
      <c r="D38" s="42"/>
      <c r="E38" s="20"/>
      <c r="F38" s="20"/>
      <c r="G38" s="20"/>
    </row>
    <row r="39" spans="2:7" x14ac:dyDescent="0.35">
      <c r="B39" s="20"/>
      <c r="C39" s="20"/>
      <c r="D39" s="42"/>
      <c r="E39" s="20"/>
      <c r="F39" s="20"/>
      <c r="G39" s="20"/>
    </row>
    <row r="40" spans="2:7" x14ac:dyDescent="0.35">
      <c r="B40" s="19"/>
      <c r="C40" s="20"/>
      <c r="D40" s="42"/>
      <c r="E40" s="20"/>
      <c r="F40" s="20"/>
      <c r="G40" s="20"/>
    </row>
    <row r="41" spans="2:7" x14ac:dyDescent="0.35">
      <c r="B41" s="20"/>
      <c r="C41" s="20"/>
      <c r="D41" s="42"/>
      <c r="E41" s="20"/>
      <c r="F41" s="20"/>
      <c r="G41" s="20"/>
    </row>
    <row r="42" spans="2:7" x14ac:dyDescent="0.35">
      <c r="B42" s="22"/>
      <c r="C42" s="22"/>
      <c r="D42" s="44"/>
      <c r="E42" s="22"/>
      <c r="F42" s="22"/>
      <c r="G42" s="22"/>
    </row>
    <row r="43" spans="2:7" x14ac:dyDescent="0.35">
      <c r="B43" s="23"/>
      <c r="C43" s="23"/>
      <c r="D43" s="45"/>
      <c r="E43" s="23"/>
      <c r="F43" s="23"/>
      <c r="G43" s="23"/>
    </row>
    <row r="44" spans="2:7" x14ac:dyDescent="0.35">
      <c r="B44" s="22"/>
      <c r="C44" s="22"/>
      <c r="D44" s="44"/>
      <c r="E44" s="22"/>
      <c r="F44" s="22"/>
      <c r="G44" s="22"/>
    </row>
    <row r="45" spans="2:7" x14ac:dyDescent="0.35">
      <c r="B45" s="22"/>
      <c r="C45" s="22"/>
      <c r="D45" s="44"/>
      <c r="E45" s="22"/>
      <c r="F45" s="22"/>
      <c r="G45" s="22"/>
    </row>
    <row r="46" spans="2:7" x14ac:dyDescent="0.35">
      <c r="B46" s="22"/>
      <c r="C46" s="22"/>
      <c r="D46" s="44"/>
      <c r="E46" s="22"/>
      <c r="F46" s="22"/>
      <c r="G46" s="22"/>
    </row>
    <row r="47" spans="2:7" x14ac:dyDescent="0.35">
      <c r="B47" s="22"/>
      <c r="C47" s="22"/>
      <c r="D47" s="44"/>
      <c r="E47" s="22"/>
      <c r="F47" s="22"/>
      <c r="G47" s="22"/>
    </row>
    <row r="48" spans="2:7" x14ac:dyDescent="0.35">
      <c r="B48" s="22"/>
      <c r="C48" s="22"/>
      <c r="D48" s="44"/>
      <c r="E48" s="22"/>
      <c r="F48" s="22"/>
      <c r="G48" s="22"/>
    </row>
    <row r="49" spans="2:7" x14ac:dyDescent="0.35">
      <c r="B49" s="22"/>
      <c r="C49" s="22"/>
      <c r="D49" s="44"/>
      <c r="E49" s="22"/>
      <c r="F49" s="22"/>
      <c r="G49" s="22"/>
    </row>
    <row r="50" spans="2:7" x14ac:dyDescent="0.35">
      <c r="B50" s="22"/>
      <c r="C50" s="22"/>
      <c r="D50" s="44"/>
      <c r="E50" s="22"/>
      <c r="F50" s="22"/>
      <c r="G50" s="22"/>
    </row>
    <row r="51" spans="2:7" x14ac:dyDescent="0.35">
      <c r="B51" s="22"/>
      <c r="C51" s="22"/>
      <c r="D51" s="44"/>
      <c r="E51" s="22"/>
      <c r="F51" s="22"/>
      <c r="G51" s="22"/>
    </row>
    <row r="52" spans="2:7" x14ac:dyDescent="0.35">
      <c r="B52" s="22"/>
      <c r="C52" s="22"/>
      <c r="D52" s="44"/>
      <c r="E52" s="22"/>
      <c r="F52" s="22"/>
      <c r="G52" s="22"/>
    </row>
    <row r="53" spans="2:7" x14ac:dyDescent="0.35">
      <c r="B53" s="22"/>
      <c r="C53" s="22"/>
      <c r="D53" s="44"/>
      <c r="E53" s="22"/>
      <c r="F53" s="22"/>
      <c r="G53" s="22"/>
    </row>
    <row r="54" spans="2:7" x14ac:dyDescent="0.35">
      <c r="B54" s="22"/>
      <c r="C54" s="22"/>
      <c r="D54" s="44"/>
      <c r="E54" s="22"/>
      <c r="F54" s="22"/>
      <c r="G54" s="22"/>
    </row>
    <row r="55" spans="2:7" x14ac:dyDescent="0.35">
      <c r="B55" s="22"/>
      <c r="C55" s="22"/>
      <c r="D55" s="44"/>
      <c r="E55" s="22"/>
      <c r="F55" s="22"/>
      <c r="G55" s="22"/>
    </row>
    <row r="56" spans="2:7" x14ac:dyDescent="0.35">
      <c r="B56" s="22"/>
      <c r="C56" s="22"/>
      <c r="D56" s="44"/>
      <c r="E56" s="22"/>
      <c r="F56" s="22"/>
      <c r="G56" s="22"/>
    </row>
    <row r="57" spans="2:7" x14ac:dyDescent="0.35">
      <c r="B57" s="22"/>
      <c r="C57" s="22"/>
      <c r="D57" s="44"/>
      <c r="E57" s="22"/>
      <c r="F57" s="22"/>
      <c r="G57" s="22"/>
    </row>
    <row r="58" spans="2:7" x14ac:dyDescent="0.35">
      <c r="B58" s="20"/>
      <c r="C58" s="20"/>
      <c r="D58" s="42"/>
      <c r="E58" s="20"/>
      <c r="F58" s="20"/>
      <c r="G58" s="20"/>
    </row>
    <row r="59" spans="2:7" x14ac:dyDescent="0.35">
      <c r="B59" s="20"/>
      <c r="C59" s="20"/>
      <c r="D59" s="42"/>
      <c r="E59" s="20"/>
      <c r="F59" s="20"/>
      <c r="G59" s="20"/>
    </row>
    <row r="60" spans="2:7" x14ac:dyDescent="0.35">
      <c r="B60" s="20"/>
      <c r="C60" s="20"/>
      <c r="D60" s="42"/>
      <c r="E60" s="20"/>
      <c r="F60" s="20"/>
      <c r="G60" s="20"/>
    </row>
    <row r="61" spans="2:7" x14ac:dyDescent="0.35">
      <c r="B61" s="19"/>
      <c r="C61" s="20"/>
      <c r="D61" s="42"/>
      <c r="E61" s="20"/>
      <c r="F61" s="20"/>
      <c r="G61" s="20"/>
    </row>
    <row r="62" spans="2:7" x14ac:dyDescent="0.35">
      <c r="B62" s="20"/>
      <c r="C62" s="20"/>
      <c r="D62" s="42"/>
      <c r="E62" s="20"/>
      <c r="F62" s="20"/>
      <c r="G62" s="20"/>
    </row>
  </sheetData>
  <customSheetViews>
    <customSheetView guid="{8F41B6D6-A2ED-49A0-BD3A-88F42735B824}" showPageBreaks="1" fitToPage="1" printArea="1" topLeftCell="A4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66A3FF2F-1AA8-4A03-AFB2-C743A0B8A831}" fitToPage="1" topLeftCell="A4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EF6E8789-B4C7-45F7-89B4-94EF3DAB98CE}" showPageBreaks="1" fitToPage="1" printArea="1" topLeftCell="A4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</customSheetViews>
  <mergeCells count="1">
    <mergeCell ref="A5:H5"/>
  </mergeCells>
  <conditionalFormatting sqref="K7:K16">
    <cfRule type="containsText" dxfId="0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4"/>
  <rowBreaks count="1" manualBreakCount="1">
    <brk id="30" min="1" max="8" man="1"/>
  </rowBreaks>
  <drawing r:id="rId5"/>
</worksheet>
</file>

<file path=xl/worksheets/wsSortMap1.xml><?xml version="1.0" encoding="utf-8"?>
<worksheetSortMap xmlns="http://schemas.microsoft.com/office/excel/2006/main">
  <rowSortMap ref="A7:XFD11" count="4">
    <row newVal="6" oldVal="7"/>
    <row newVal="7" oldVal="6"/>
    <row newVal="8" oldVal="10"/>
    <row newVal="10" oldVal="8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1</vt:lpstr>
      <vt:lpstr>3</vt:lpstr>
      <vt:lpstr>4</vt:lpstr>
      <vt:lpstr>6</vt:lpstr>
      <vt:lpstr>8</vt:lpstr>
      <vt:lpstr>10</vt:lpstr>
      <vt:lpstr>11</vt:lpstr>
      <vt:lpstr>13</vt:lpstr>
      <vt:lpstr>15</vt:lpstr>
      <vt:lpstr>17</vt:lpstr>
      <vt:lpstr>18</vt:lpstr>
      <vt:lpstr>20</vt:lpstr>
      <vt:lpstr>22</vt:lpstr>
      <vt:lpstr>24</vt:lpstr>
      <vt:lpstr>25</vt:lpstr>
      <vt:lpstr>27</vt:lpstr>
      <vt:lpstr>29</vt:lpstr>
      <vt:lpstr>31</vt:lpstr>
      <vt:lpstr>'1'!Print_Area</vt:lpstr>
      <vt:lpstr>'10'!Print_Area</vt:lpstr>
      <vt:lpstr>'11'!Print_Area</vt:lpstr>
      <vt:lpstr>'13'!Print_Area</vt:lpstr>
      <vt:lpstr>'15'!Print_Area</vt:lpstr>
      <vt:lpstr>'17'!Print_Area</vt:lpstr>
      <vt:lpstr>'18'!Print_Area</vt:lpstr>
      <vt:lpstr>'20'!Print_Area</vt:lpstr>
      <vt:lpstr>'22'!Print_Area</vt:lpstr>
      <vt:lpstr>'24'!Print_Area</vt:lpstr>
      <vt:lpstr>'25'!Print_Area</vt:lpstr>
      <vt:lpstr>'27'!Print_Area</vt:lpstr>
      <vt:lpstr>'29'!Print_Area</vt:lpstr>
      <vt:lpstr>'3'!Print_Area</vt:lpstr>
      <vt:lpstr>'31'!Print_Area</vt:lpstr>
      <vt:lpstr>'4'!Print_Area</vt:lpstr>
      <vt:lpstr>'6'!Print_Area</vt:lpstr>
      <vt:lpstr>'8'!Print_Area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Dive Centre Office</cp:lastModifiedBy>
  <cp:lastPrinted>2021-05-25T02:55:44Z</cp:lastPrinted>
  <dcterms:created xsi:type="dcterms:W3CDTF">2019-01-14T08:45:03Z</dcterms:created>
  <dcterms:modified xsi:type="dcterms:W3CDTF">2026-05-14T05:39:48Z</dcterms:modified>
</cp:coreProperties>
</file>