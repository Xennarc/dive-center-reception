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wsSortMap1.xml" ContentType="application/vnd.ms-excel.wsSortMap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6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BOOKINGS\2026\05- May\"/>
    </mc:Choice>
  </mc:AlternateContent>
  <bookViews>
    <workbookView xWindow="0" yWindow="0" windowWidth="23040" windowHeight="9072" firstSheet="3" activeTab="14"/>
  </bookViews>
  <sheets>
    <sheet name="1" sheetId="1" r:id="rId1"/>
    <sheet name="2" sheetId="2" r:id="rId2"/>
    <sheet name="3" sheetId="3" r:id="rId3"/>
    <sheet name="4" sheetId="4" r:id="rId4"/>
    <sheet name="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_BookingMeta" sheetId="32" state="hidden" r:id="rId32"/>
    <sheet name="_SheetMeta" sheetId="33" state="hidden" r:id="rId33"/>
  </sheets>
  <calcPr calcId="162913" calcOnSave="0"/>
  <customWorkbookViews>
    <customWorkbookView name="Assistant DiveCenter Manager - Personal View" guid="{48F96E8B-9CB5-4FE7-993E-F1AFEC90CCF6}" mergeInterval="0" personalView="1" maximized="1" xWindow="-9" yWindow="-9" windowWidth="1938" windowHeight="1038" activeSheetId="15"/>
    <customWorkbookView name="Dive Centre Office - Personal View" guid="{60760000-1846-4662-8265-C415E38339B9}" mergeInterval="0" personalView="1" maximized="1" xWindow="-9" yWindow="-9" windowWidth="1938" windowHeight="1038" activeSheetId="10"/>
  </customWorkbookViews>
</workbook>
</file>

<file path=xl/calcChain.xml><?xml version="1.0" encoding="utf-8"?>
<calcChain xmlns="http://schemas.openxmlformats.org/spreadsheetml/2006/main">
  <c r="I5" i="31" l="1"/>
  <c r="I5" i="30"/>
  <c r="I5" i="29"/>
  <c r="I5" i="28"/>
  <c r="I5" i="27"/>
  <c r="I5" i="26"/>
  <c r="I5" i="25"/>
  <c r="I5" i="24"/>
  <c r="I5" i="23"/>
  <c r="I5" i="22"/>
  <c r="I5" i="21"/>
  <c r="I5" i="20"/>
  <c r="I5" i="19"/>
  <c r="I5" i="18"/>
  <c r="I5" i="17"/>
  <c r="I5" i="16"/>
  <c r="I5" i="15"/>
  <c r="I5" i="14"/>
  <c r="I5" i="13"/>
  <c r="I5" i="12"/>
  <c r="I5" i="11"/>
  <c r="I5" i="10"/>
  <c r="I5" i="8"/>
  <c r="I5" i="7"/>
  <c r="J5" i="6"/>
  <c r="I5" i="5"/>
  <c r="I5" i="4"/>
  <c r="I5" i="3"/>
  <c r="I5" i="2"/>
  <c r="I5" i="1"/>
  <c r="I5" i="9"/>
  <c r="F17" i="31" l="1"/>
  <c r="E17" i="31"/>
  <c r="F17" i="30"/>
  <c r="E17" i="30"/>
  <c r="F17" i="29"/>
  <c r="E17" i="29"/>
  <c r="F17" i="28"/>
  <c r="E17" i="28"/>
  <c r="F17" i="27"/>
  <c r="E17" i="27"/>
  <c r="F17" i="26"/>
  <c r="E17" i="26"/>
  <c r="F17" i="25"/>
  <c r="E17" i="25"/>
  <c r="F17" i="24"/>
  <c r="E17" i="24"/>
  <c r="F17" i="23"/>
  <c r="E17" i="23"/>
  <c r="F17" i="22"/>
  <c r="E17" i="22"/>
  <c r="F17" i="21"/>
  <c r="E17" i="21"/>
  <c r="F17" i="20"/>
  <c r="E17" i="20"/>
  <c r="F17" i="19"/>
  <c r="E17" i="19"/>
  <c r="F17" i="18"/>
  <c r="E17" i="18"/>
  <c r="F17" i="17"/>
  <c r="E17" i="17"/>
  <c r="F17" i="16"/>
  <c r="E17" i="16"/>
  <c r="F17" i="15"/>
  <c r="E17" i="15"/>
  <c r="F17" i="14"/>
  <c r="E17" i="14"/>
  <c r="F32" i="13"/>
  <c r="E32" i="13"/>
  <c r="F17" i="12"/>
  <c r="E17" i="12"/>
  <c r="F17" i="11"/>
  <c r="E17" i="11"/>
  <c r="F17" i="10"/>
  <c r="E17" i="10"/>
  <c r="F17" i="9"/>
  <c r="E17" i="9"/>
  <c r="F17" i="8"/>
  <c r="E17" i="8"/>
  <c r="F17" i="7"/>
  <c r="E17" i="7"/>
  <c r="G18" i="6"/>
  <c r="F18" i="6"/>
  <c r="F17" i="5"/>
  <c r="E17" i="5"/>
  <c r="F17" i="4"/>
  <c r="E17" i="4"/>
  <c r="F17" i="3"/>
  <c r="E17" i="3"/>
  <c r="F17" i="2"/>
  <c r="E17" i="2"/>
  <c r="F15" i="1"/>
  <c r="E15" i="1"/>
</calcChain>
</file>

<file path=xl/sharedStrings.xml><?xml version="1.0" encoding="utf-8"?>
<sst xmlns="http://schemas.openxmlformats.org/spreadsheetml/2006/main" count="879" uniqueCount="162">
  <si>
    <t>KOREAN HOUSE REEF ORIENTATION</t>
  </si>
  <si>
    <t xml:space="preserve">Date:                </t>
  </si>
  <si>
    <t>Room</t>
  </si>
  <si>
    <t>Guest Name</t>
  </si>
  <si>
    <t>Departure</t>
  </si>
  <si>
    <t>Adults</t>
  </si>
  <si>
    <t>Child</t>
  </si>
  <si>
    <t>Liability</t>
  </si>
  <si>
    <t>Remarks</t>
  </si>
  <si>
    <t>Staff</t>
  </si>
  <si>
    <t>Hao Li</t>
  </si>
  <si>
    <t>SAI</t>
  </si>
  <si>
    <t>Faiha/Win</t>
  </si>
  <si>
    <t>Gravett, Antony</t>
  </si>
  <si>
    <t>CXL2</t>
  </si>
  <si>
    <t>Xuan</t>
  </si>
  <si>
    <t>Moohyeon Yoo</t>
  </si>
  <si>
    <t>PP2</t>
  </si>
  <si>
    <t>673/886</t>
  </si>
  <si>
    <t>Mengmeng Wang</t>
  </si>
  <si>
    <t>Ulviya/Maaji</t>
  </si>
  <si>
    <t xml:space="preserve"> </t>
  </si>
  <si>
    <t>TOTAL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</si>
  <si>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</si>
  <si>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>Guests must know how to swim/not be afraid of water</t>
  </si>
  <si>
    <t>Non-swimmers are not encouraged as the activity takes place at the reef with a drop-off of at least 20-meters</t>
  </si>
  <si>
    <t>Snorkel, fins &amp; masks are rented from Watersports Centre before coming for the activity</t>
  </si>
  <si>
    <t>Please advise guests to bring lifejackets from their villa cupboard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</si>
  <si>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</si>
  <si>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</si>
  <si>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>Jiayun Lin</t>
  </si>
  <si>
    <t>HB</t>
  </si>
  <si>
    <t>Hojun Jeon</t>
  </si>
  <si>
    <t>Habil/Faiha</t>
  </si>
  <si>
    <t>Tomoyuki Kobori</t>
  </si>
  <si>
    <t>Faiha</t>
  </si>
  <si>
    <t>5</t>
  </si>
  <si>
    <t>Torben Boegelund</t>
  </si>
  <si>
    <t>Ektha/Faiha</t>
  </si>
  <si>
    <t>Birgitte Boegelund Arvidsen</t>
  </si>
  <si>
    <t>Zhiling Chen</t>
  </si>
  <si>
    <t>Yuki Kimura</t>
  </si>
  <si>
    <t>Lixue Zhang</t>
  </si>
  <si>
    <t>Tauyoshi Sakagmi</t>
  </si>
  <si>
    <t>Yufen Zhao</t>
  </si>
  <si>
    <t>Win/Faiha</t>
  </si>
  <si>
    <t>Narimichi Mokutani</t>
  </si>
  <si>
    <t>Group 1</t>
  </si>
  <si>
    <t>09:00am</t>
  </si>
  <si>
    <t>Prebooking</t>
  </si>
  <si>
    <t>Ms.SUN/CUICUI</t>
  </si>
  <si>
    <t xml:space="preserve">3358176/3358465       </t>
  </si>
  <si>
    <t>Shamrath/Faiha</t>
  </si>
  <si>
    <t>Ms.LI/RONG</t>
  </si>
  <si>
    <t xml:space="preserve">3358449/3358450       </t>
  </si>
  <si>
    <t>Mr.FANG/SHAO</t>
  </si>
  <si>
    <t xml:space="preserve">3358431/3358451       </t>
  </si>
  <si>
    <t>Mr.WANG/SHANJUN</t>
  </si>
  <si>
    <t xml:space="preserve">3358433/3358453       </t>
  </si>
  <si>
    <t>Ms.QIU/XIAOWEN</t>
  </si>
  <si>
    <t xml:space="preserve">3358429/3358452       </t>
  </si>
  <si>
    <t>Ms.YANG/LI</t>
  </si>
  <si>
    <t xml:space="preserve">3358430/3358470       </t>
  </si>
  <si>
    <t>Mr.LI/GUANGYI</t>
  </si>
  <si>
    <t xml:space="preserve">3358438/3358428       </t>
  </si>
  <si>
    <t>Ms.XU/RONGFANG</t>
  </si>
  <si>
    <t xml:space="preserve">3358432/3358460       </t>
  </si>
  <si>
    <t>Ms.WEI/DONG</t>
  </si>
  <si>
    <t xml:space="preserve">3358444/3358469       </t>
  </si>
  <si>
    <t>Mr.GUI/WEIZHONG</t>
  </si>
  <si>
    <t xml:space="preserve">3358442/3358459       </t>
  </si>
  <si>
    <t>Ms.GAO/TAO</t>
  </si>
  <si>
    <t xml:space="preserve">3358440/3358456       </t>
  </si>
  <si>
    <t>Group 2</t>
  </si>
  <si>
    <t>09:30am</t>
  </si>
  <si>
    <t>Mr.CHEN/DIFENG</t>
  </si>
  <si>
    <t xml:space="preserve">3358441/3358455       </t>
  </si>
  <si>
    <t>Mr.ZHOU/KETAO</t>
  </si>
  <si>
    <t xml:space="preserve">3358443/3358461       </t>
  </si>
  <si>
    <t>Mr.JING/HONGXIONG</t>
  </si>
  <si>
    <t xml:space="preserve">3358445/3358466       </t>
  </si>
  <si>
    <t>Mr.ZHANG/GUOBING</t>
  </si>
  <si>
    <t xml:space="preserve">3358446/3358458       </t>
  </si>
  <si>
    <t>Ms.WANG/HONGFEI</t>
  </si>
  <si>
    <t xml:space="preserve">3358447/3358457       </t>
  </si>
  <si>
    <t>Ms.ZHU/PING</t>
  </si>
  <si>
    <t xml:space="preserve">3358437/3358464       </t>
  </si>
  <si>
    <t>Ms.XU/CHI</t>
  </si>
  <si>
    <t xml:space="preserve">3358435/3358468       </t>
  </si>
  <si>
    <t>Mr.SU/JIANHUA</t>
  </si>
  <si>
    <t xml:space="preserve">3358439/3358454       </t>
  </si>
  <si>
    <t>Mr.LU/HAIZHAO</t>
  </si>
  <si>
    <t xml:space="preserve">3358434/3358462       </t>
  </si>
  <si>
    <t>Ms.TAN/XIAOYAN</t>
  </si>
  <si>
    <t xml:space="preserve">3358436/3358463       </t>
  </si>
  <si>
    <t>Mr.JIA/LIUTAO</t>
  </si>
  <si>
    <t xml:space="preserve">3358448/3358467       </t>
  </si>
  <si>
    <t>Ms.ZHUANG/XINGXING</t>
  </si>
  <si>
    <t xml:space="preserve">3358497/3358498       </t>
  </si>
  <si>
    <t xml:space="preserve">Mr. Shoji Matsushima </t>
  </si>
  <si>
    <t xml:space="preserve">Sales ENT </t>
  </si>
  <si>
    <t>Sushmita/Tarush</t>
  </si>
  <si>
    <t>sheetName</t>
  </si>
  <si>
    <t>rowIdx</t>
  </si>
  <si>
    <t>status</t>
  </si>
  <si>
    <t>cancelReason</t>
  </si>
  <si>
    <t>cancelledAt</t>
  </si>
  <si>
    <t>postponedTo</t>
  </si>
  <si>
    <t>postponedRef</t>
  </si>
  <si>
    <t>attended</t>
  </si>
  <si>
    <t>paid</t>
  </si>
  <si>
    <t>paidAt</t>
  </si>
  <si>
    <t>activityCancelled</t>
  </si>
  <si>
    <t>cancelReasonCat</t>
  </si>
  <si>
    <t>cancelReasonNote</t>
  </si>
  <si>
    <t>guestsInformed</t>
  </si>
  <si>
    <t>customCapacity</t>
  </si>
  <si>
    <t>true</t>
  </si>
  <si>
    <t>weather</t>
  </si>
  <si>
    <t/>
  </si>
  <si>
    <t>2026-05-05T06:22:20.251Z</t>
  </si>
  <si>
    <t>Yujia Qian</t>
  </si>
  <si>
    <t>MS.XUE,KAIWEI</t>
  </si>
  <si>
    <t>625/853</t>
  </si>
  <si>
    <t>Ekta/Maaji</t>
  </si>
  <si>
    <t>Pau Ricos Sillero</t>
  </si>
  <si>
    <t>MR.ZHANG/XIANG</t>
  </si>
  <si>
    <t>Shamrath/Tarush</t>
  </si>
  <si>
    <t>Alexandra Abramova</t>
  </si>
  <si>
    <t>PAI</t>
  </si>
  <si>
    <t>Hui Yu</t>
  </si>
  <si>
    <t>Maeng, Sukyoung</t>
  </si>
  <si>
    <t>Hessko Khelo</t>
  </si>
  <si>
    <t>Audrey Duclauxriou</t>
  </si>
  <si>
    <t>Guillaume Tabert</t>
  </si>
  <si>
    <t>Tarush</t>
  </si>
  <si>
    <t>Mr. Ross Wilson</t>
  </si>
  <si>
    <t>Vifau/Shamrath</t>
  </si>
  <si>
    <t>Maaji</t>
  </si>
  <si>
    <t>Yolisa Heshula</t>
  </si>
  <si>
    <t>689/892</t>
  </si>
  <si>
    <t>Booking closed</t>
  </si>
  <si>
    <t>Yunoshin Maki</t>
  </si>
  <si>
    <t>Sameena Malik</t>
  </si>
  <si>
    <t>Leyla/Faiha</t>
  </si>
  <si>
    <t>MR.KITAGAWA/KOUTA</t>
  </si>
  <si>
    <t>Monica/Faiha</t>
  </si>
  <si>
    <t>Xiaoyu Xing</t>
  </si>
  <si>
    <t>Shuaicheng Niu</t>
  </si>
  <si>
    <t>Prem/Faiha</t>
  </si>
  <si>
    <t>Moritz Scheuermann</t>
  </si>
  <si>
    <t>619/862</t>
  </si>
  <si>
    <t>Zhi, Hui</t>
  </si>
  <si>
    <t>ZHANG/YUANWEN MS</t>
  </si>
  <si>
    <t>3085432, 3085433</t>
  </si>
  <si>
    <t>Sharamth/Faiha</t>
  </si>
  <si>
    <t>691/803</t>
  </si>
  <si>
    <t>MS.YUAN/CHENGHUI</t>
  </si>
  <si>
    <t>3330927, 3330928</t>
  </si>
  <si>
    <t>Juhwan Kim</t>
  </si>
  <si>
    <t>624/860</t>
  </si>
  <si>
    <t>649/868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</si>
</sst>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4"/>
      <color rgb="FF4F362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3" borderId="0" xfId="0" applyFont="1" applyFill="1" applyAlignment="1">
      <alignment horizontal="left"/>
    </xf>
    <xf numFmtId="0" fontId="0" fillId="3" borderId="0" xfId="0" applyFill="1"/>
    <xf numFmtId="14" fontId="0" fillId="3" borderId="0" xfId="0" applyNumberFormat="1" applyFill="1"/>
    <xf numFmtId="0" fontId="7" fillId="0" borderId="0" xfId="0" applyFont="1" applyAlignment="1">
      <alignment horizontal="left"/>
    </xf>
    <xf numFmtId="0" fontId="1" fillId="2" borderId="8" xfId="0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top"/>
    </xf>
    <xf numFmtId="0" fontId="8" fillId="0" borderId="8" xfId="0" applyFont="1" applyBorder="1" applyAlignment="1">
      <alignment horizontal="left" vertical="top"/>
    </xf>
    <xf numFmtId="14" fontId="8" fillId="0" borderId="8" xfId="0" applyNumberFormat="1" applyFont="1" applyBorder="1" applyAlignment="1">
      <alignment horizontal="center" vertical="top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14" fontId="8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14" fontId="9" fillId="4" borderId="13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4" fontId="11" fillId="4" borderId="13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top"/>
    </xf>
    <xf numFmtId="0" fontId="12" fillId="0" borderId="0" xfId="0" applyFont="1"/>
    <xf numFmtId="14" fontId="1" fillId="2" borderId="8" xfId="0" applyNumberFormat="1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3" fillId="2" borderId="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1" fillId="6" borderId="8" xfId="0" applyFont="1" applyFill="1" applyBorder="1" applyAlignment="1">
      <alignment horizontal="center" vertical="center"/>
    </xf>
    <xf numFmtId="0" fontId="0" fillId="7" borderId="0" xfId="0" applyFill="1"/>
    <xf numFmtId="0" fontId="1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usernames" Target="revisions/userNames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1</xdr:col>
      <xdr:colOff>845821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4</xdr:row>
      <xdr:rowOff>104631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9" Type="http://schemas.openxmlformats.org/officeDocument/2006/relationships/revisionLog" Target="revisionLog39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9" Type="http://schemas.openxmlformats.org/officeDocument/2006/relationships/revisionLog" Target="revisionLog29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53" Type="http://schemas.openxmlformats.org/officeDocument/2006/relationships/revisionLog" Target="revisionLog53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56" Type="http://schemas.openxmlformats.org/officeDocument/2006/relationships/revisionLog" Target="revisionLog56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3" Type="http://schemas.openxmlformats.org/officeDocument/2006/relationships/revisionLog" Target="revisionLog3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46" Type="http://schemas.openxmlformats.org/officeDocument/2006/relationships/revisionLog" Target="revisionLog46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54" Type="http://schemas.openxmlformats.org/officeDocument/2006/relationships/revisionLog" Target="revisionLog54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49" Type="http://schemas.openxmlformats.org/officeDocument/2006/relationships/revisionLog" Target="revisionLog4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DA07BDD-D4C9-4B72-B256-2374140FBB0E}" diskRevisions="1" revisionId="262" version="56">
  <header guid="{1C1FEF72-0E4F-40DE-AB55-00CB8465E033}" dateTime="2026-05-06T09:54:36" maxSheetId="34" userName="Dive Centre Office" r:id="rId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65EA1961-A2EB-4A17-8203-7D70B6DB5B88}" dateTime="2026-05-06T10:25:43" maxSheetId="34" userName="Assistant DiveCenter Manager" r:id="rId2" minRId="1" maxRId="2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647FA444-FFD1-4805-9286-799E39B7DB69}" dateTime="2026-05-06T10:30:13" maxSheetId="34" userName="Dive Centre Office" r:id="rId3" minRId="3" maxRId="8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83E9EC14-F75F-446A-A6D6-4D665F038042}" dateTime="2026-05-06T11:32:52" maxSheetId="34" userName="Assistant DiveCenter Manager" r:id="rId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A7739570-6A28-48B5-A7BD-1A0D30F892FC}" dateTime="2026-05-06T11:33:06" maxSheetId="34" userName="Assistant DiveCenter Manager" r:id="rId5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C4EF9BD0-265A-48F4-A174-0652A9FFD9FC}" dateTime="2026-05-06T11:54:22" maxSheetId="34" userName="Dive Centre Office" r:id="rId6" minRId="9" maxRId="1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E2F9438C-CF50-42A5-B0F4-DC406D5EB97D}" dateTime="2026-05-07T14:43:03" maxSheetId="34" userName="Dive Centre Office" r:id="rId7" minRId="1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F7A7D3C0-E101-4B1C-95DB-7FE9FBDEC1B7}" dateTime="2026-05-08T11:49:18" maxSheetId="34" userName="Dive Centre Office" r:id="rId8" minRId="12" maxRId="17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3AEC59C6-3317-4865-A643-CF7DE089E58E}" dateTime="2026-05-08T11:53:37" maxSheetId="34" userName="Dive Centre Office" r:id="rId9" minRId="18" maxRId="23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4008540B-569A-498E-B5BE-D5ECA05F019C}" dateTime="2026-05-08T12:00:55" maxSheetId="34" userName="Dive Centre Office" r:id="rId10" minRId="24" maxRId="28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A89C8630-C444-4084-B6F9-E2001C5435B1}" dateTime="2026-05-08T12:37:09" maxSheetId="34" userName="Dive Centre Office" r:id="rId11" minRId="29" maxRId="3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D46973B0-AAAF-4404-A5F8-9B8132F4E437}" dateTime="2026-05-08T12:52:53" maxSheetId="34" userName="Dive Centre Office" r:id="rId12" minRId="35" maxRId="37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DE108B3E-2BA7-4E59-B2B6-E03EB6B984A7}" dateTime="2026-05-08T13:34:50" maxSheetId="34" userName="Dive Centre Office" r:id="rId13" minRId="38" maxRId="39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5644D43B-7732-4992-A5B0-2E09178CD801}" dateTime="2026-05-08T13:35:24" maxSheetId="34" userName="Dive Centre Office" r:id="rId1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C3746BA2-6BEC-49A2-A5FE-60B02F82902D}" dateTime="2026-05-08T13:52:13" maxSheetId="34" userName="Dive Centre Office" r:id="rId15" minRId="40" maxRId="5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F8B73B2B-9AFB-4FD1-AB10-7309E1818712}" dateTime="2026-05-08T13:53:32" maxSheetId="34" userName="Dive Centre Office" r:id="rId16" minRId="51" maxRId="56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720AE8DE-E7CE-4D58-961D-3B07B1597829}" dateTime="2026-05-08T14:38:21" maxSheetId="34" userName="Dive Centre Office" r:id="rId17" minRId="57" maxRId="86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62355956-9646-4A4E-9745-E4F6270D7D3B}" dateTime="2026-05-08T15:12:43" maxSheetId="34" userName="Dive Centre Office" r:id="rId18" minRId="87" maxRId="9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BDCF4C97-C547-43C5-8B09-C818C2109631}" dateTime="2026-05-08T15:14:42" maxSheetId="34" userName="Dive Centre Office" r:id="rId19" minRId="92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13F4F98B-A89C-4126-8B81-2DDCD525E04B}" dateTime="2026-05-08T15:15:43" maxSheetId="34" userName="Dive Centre Office" r:id="rId2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86192198-7BA6-4009-8831-2A33B0A4CD9B}" dateTime="2026-05-09T08:01:38" maxSheetId="34" userName="Dive Centre Office" r:id="rId21" minRId="93" maxRId="95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329D2A88-79AE-43ED-9BA0-1B84940EC98A}" dateTime="2026-05-09T08:01:48" maxSheetId="34" userName="Dive Centre Office" r:id="rId22" minRId="96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41715EEC-BE27-4776-9C6B-BF042BF0F00F}" dateTime="2026-05-09T09:53:52" maxSheetId="34" userName="Dive Centre Office" r:id="rId23" minRId="97" maxRId="102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379389B7-240A-4842-A6AD-D9784352F761}" dateTime="2026-05-09T09:54:08" maxSheetId="34" userName="Dive Centre Office" r:id="rId24" minRId="103" maxRId="10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C396295D-67DA-492A-8E0F-F2F7A80F81E5}" dateTime="2026-05-09T10:00:52" maxSheetId="34" userName="Dive Centre Office" r:id="rId25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0882FAC8-08D7-41FF-BD63-C40A8A393C49}" dateTime="2026-05-09T10:01:10" maxSheetId="34" userName="Dive Centre Office" r:id="rId26" minRId="105" maxRId="11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30A302A7-C4DF-49DA-B9F2-EF1AF1490EA9}" dateTime="2026-05-09T10:01:16" maxSheetId="34" userName="Dive Centre Office" r:id="rId27" minRId="11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5CA966E7-4359-447C-BDCA-FFC83BE9BD7C}" dateTime="2026-05-09T10:05:44" maxSheetId="34" userName="Dive Centre Office" r:id="rId28" minRId="112" maxRId="117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4B216949-20FC-41A2-91B1-2E50043D168F}" dateTime="2026-05-09T10:50:26" maxSheetId="34" userName="Dive Centre Office" r:id="rId29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BCADB71E-45F7-4B4C-B012-249093EF714D}" dateTime="2026-05-10T08:24:52" maxSheetId="34" userName="Dive Centre Office" r:id="rId30" minRId="118" maxRId="123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129B1E32-B183-4AD9-93B8-E858AEF09B60}" dateTime="2026-05-10T08:27:35" maxSheetId="34" userName="Dive Centre Office" r:id="rId31" minRId="124" maxRId="125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4DD2A79E-71D8-422B-A8A7-2302989DAEE8}" dateTime="2026-05-10T09:43:23" maxSheetId="34" userName="Dive Centre Office" r:id="rId32" minRId="126" maxRId="13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4B850181-928D-4127-BE06-EB4D11F22A30}" dateTime="2026-05-10T09:46:14" maxSheetId="34" userName="Dive Centre Office" r:id="rId33" minRId="132" maxRId="133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3F9AA01A-D2A9-4C2E-BE81-BF3F2AA4FC83}" dateTime="2026-05-11T13:47:49" maxSheetId="34" userName="Dive Centre Office" r:id="rId34" minRId="134" maxRId="138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262D17A0-BEC5-4665-9258-11A33221BFA2}" dateTime="2026-05-11T13:51:51" maxSheetId="34" userName="Dive Centre Office" r:id="rId35" minRId="139" maxRId="143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5E8314FA-D7DD-4E18-AA54-04471E318071}" dateTime="2026-05-11T14:10:59" maxSheetId="34" userName="Dive Centre Office" r:id="rId36" minRId="144" maxRId="149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E2AF97C4-B94E-4840-A110-0AD56B4220CD}" dateTime="2026-05-11T17:12:03" maxSheetId="34" userName="Dive Centre Office" r:id="rId37" minRId="15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08F9DAF9-391F-4AB9-A934-54D10426F053}" dateTime="2026-05-12T09:37:04" maxSheetId="34" userName="Dive Centre Office" r:id="rId38" minRId="151" maxRId="15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A7D64A07-D7AF-4E4C-873D-430FC4A73369}" dateTime="2026-05-12T09:37:39" maxSheetId="34" userName="Dive Centre Office" r:id="rId39" minRId="155" maxRId="156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E7EC1278-0C7A-4B69-A09D-1001F266C6C9}" dateTime="2026-05-12T09:44:35" maxSheetId="34" userName="Dive Centre Office" r:id="rId40" minRId="157" maxRId="16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F1A7630D-2D27-4552-B496-B7FF53802114}" dateTime="2026-05-13T08:02:12" maxSheetId="34" userName="Assistant DiveCenter Manager" r:id="rId41" minRId="161" maxRId="19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41B29CB3-E31F-409E-B177-DE282A15A47A}" dateTime="2026-05-13T08:02:19" maxSheetId="34" userName="Assistant DiveCenter Manager" r:id="rId42" minRId="19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EB06E7D1-4C58-4034-BAAB-6188C5E95A8F}" dateTime="2026-05-13T09:23:23" maxSheetId="34" userName="Dive Centre Office" r:id="rId43" minRId="192" maxRId="19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32F29FA3-17EB-4831-BFB5-1D708AF8EC98}" dateTime="2026-05-13T09:24:02" maxSheetId="34" userName="Dive Centre Office" r:id="rId44" minRId="195" maxRId="196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62B37E0D-C466-4631-9E84-663A49B52F25}" dateTime="2026-05-13T10:11:24" maxSheetId="34" userName="Dive Centre Office" r:id="rId45" minRId="197" maxRId="20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9E17C74B-8C34-424A-A4BD-14B096B6A238}" dateTime="2026-05-13T11:50:01" maxSheetId="34" userName="Dive Centre Office" r:id="rId46" minRId="202" maxRId="213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6E7CFEE5-7887-425B-BFA1-6B0E1200A85A}" dateTime="2026-05-13T15:39:03" maxSheetId="34" userName="Assistant DiveCenter Manager" r:id="rId47" minRId="214" maxRId="24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F5771C82-8B18-479C-A0C6-D911246139D0}" dateTime="2026-05-13T17:17:12" maxSheetId="34" userName="Dive Centre Office" r:id="rId48" minRId="245" maxRId="247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8C93E12A-E3BA-4D60-B063-95E6ED6F3066}" dateTime="2026-05-13T17:19:33" maxSheetId="34" userName="Dive Centre Office" r:id="rId49" minRId="248" maxRId="250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64F993B6-4EE3-4B18-A4A8-5842241C067C}" dateTime="2026-05-14T09:21:19" maxSheetId="34" userName="Dive Centre Office" r:id="rId50" minRId="251" maxRId="252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010865BD-6B8A-42B5-B287-1CE9C76D9B2A}" dateTime="2026-05-14T09:24:10" maxSheetId="34" userName="Dive Centre Office" r:id="rId51" minRId="253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4C290AC4-0C76-4109-BE3E-5A43133A418F}" dateTime="2026-05-14T09:26:18" maxSheetId="34" userName="Dive Centre Office" r:id="rId52" minRId="25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D9E9B78A-EEDB-4AA3-B32D-2C1697345BCA}" dateTime="2026-05-14T10:11:05" maxSheetId="34" userName="Dive Centre Office" r:id="rId53" minRId="255" maxRId="261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D17DCE62-1B37-49C6-804F-84B0D10016A9}" dateTime="2026-05-14T16:04:08" maxSheetId="34" userName="Assistant DiveCenter Manager" r:id="rId54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30C3819B-4AFA-4DA5-A68B-07B0D44B1764}" dateTime="2026-05-15T08:50:16" maxSheetId="34" userName="Dive Centre Office" r:id="rId55" minRId="262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  <header guid="{CDA07BDD-D4C9-4B72-B256-2374140FBB0E}" dateTime="2026-05-15T08:54:37" maxSheetId="34" userName="Assistant DiveCenter Manager" r:id="rId56">
    <sheetIdMap count="3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  <sheetId val="32"/>
      <sheetId val="3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6">
    <oc r="I5">
      <f>CONCATENATE((MID(CELL("filename",I5),FIND("]",CELL("filename",I5))+1,255)),"/05/2026")</f>
    </oc>
    <nc r="I5">
      <f>CONCATENATE((MID(CELL("filename",I5),FIND("]",CELL("filename",I5))+1,25)),"/05/2026")</f>
    </nc>
  </rcc>
  <rrc rId="2" sId="6" ref="B1:B1048576" action="insertCol"/>
  <rcv guid="{48F96E8B-9CB5-4FE7-993E-F1AFEC90CCF6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" sId="6" ref="A16:XFD16" action="insertRow"/>
  <rcc rId="4" sId="6">
    <nc r="C16">
      <v>814</v>
    </nc>
  </rcc>
  <rcc rId="5" sId="6">
    <nc r="F16">
      <v>2</v>
    </nc>
  </rcc>
  <rcc rId="6" sId="6">
    <nc r="J16" t="inlineStr">
      <is>
        <t>Ekta/Maaji</t>
      </is>
    </nc>
  </rcc>
  <rcc rId="7" sId="6">
    <nc r="D16" t="inlineStr">
      <is>
        <t>Pau Ricos Sillero</t>
      </is>
    </nc>
  </rcc>
  <rcc rId="8" sId="6" numFmtId="19">
    <nc r="E16">
      <v>46149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F96E8B-9CB5-4FE7-993E-F1AFEC90CCF6}" action="delete"/>
  <rcv guid="{48F96E8B-9CB5-4FE7-993E-F1AFEC90CCF6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9:B14">
    <dxf>
      <fill>
        <patternFill>
          <bgColor rgb="FFFFFF00"/>
        </patternFill>
      </fill>
    </dxf>
  </rfmt>
  <rfmt sheetId="6" sqref="B17">
    <dxf>
      <fill>
        <patternFill>
          <bgColor rgb="FFFFFF00"/>
        </patternFill>
      </fill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" sId="6">
    <nc r="A16">
      <v>10</v>
    </nc>
  </rcc>
  <rcc rId="10" sId="6">
    <oc r="A17">
      <v>10</v>
    </oc>
    <nc r="A17">
      <v>11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9">
    <oc r="I5">
      <f>CONCATENATE((MID(CELL("filename",I5),FIND("]",CELL("filename",I5))+1,255)),"/05/2026")</f>
    </oc>
    <nc r="I5">
      <f>CONCATENATE((MID(CELL("filename",I5),FIND("]",CELL("filename",I5))+1,255)),"/05/2026")</f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" sId="9" odxf="1" dxf="1">
    <nc r="B7">
      <v>889</v>
    </nc>
    <odxf>
      <border outline="0">
        <top/>
      </border>
    </odxf>
    <ndxf>
      <border outline="0">
        <top style="thin">
          <color indexed="64"/>
        </top>
      </border>
    </ndxf>
  </rcc>
  <rcc rId="13" sId="9" odxf="1" dxf="1">
    <nc r="C7" t="inlineStr">
      <is>
        <t>MR.ZHANG/XIANG</t>
      </is>
    </nc>
    <odxf>
      <fill>
        <patternFill patternType="solid">
          <bgColor theme="0"/>
        </patternFill>
      </fill>
      <alignment horizontal="general" readingOrder="0"/>
    </odxf>
    <ndxf>
      <fill>
        <patternFill patternType="none">
          <bgColor indexed="65"/>
        </patternFill>
      </fill>
      <alignment horizontal="center" readingOrder="0"/>
    </ndxf>
  </rcc>
  <rcc rId="14" sId="9" numFmtId="19">
    <nc r="D7">
      <v>46151</v>
    </nc>
  </rcc>
  <rcc rId="15" sId="9" odxf="1" dxf="1">
    <nc r="E7">
      <v>2</v>
    </nc>
    <odxf>
      <alignment horizontal="general" readingOrder="0"/>
    </odxf>
    <ndxf>
      <alignment horizontal="center" readingOrder="0"/>
    </ndxf>
  </rcc>
  <rfmt sheetId="9" sqref="F7" start="0" length="0">
    <dxf>
      <alignment horizontal="center" readingOrder="0"/>
    </dxf>
  </rfmt>
  <rfmt sheetId="9" sqref="G7" start="0" length="0">
    <dxf>
      <alignment horizontal="center" readingOrder="0"/>
    </dxf>
  </rfmt>
  <rcc rId="16" sId="9" odxf="1" dxf="1">
    <nc r="H7" t="inlineStr">
      <is>
        <t>SAI</t>
      </is>
    </nc>
    <odxf>
      <fill>
        <patternFill patternType="solid">
          <bgColor theme="0"/>
        </patternFill>
      </fill>
      <alignment horizontal="general" readingOrder="0"/>
    </odxf>
    <ndxf>
      <fill>
        <patternFill patternType="none">
          <bgColor indexed="65"/>
        </patternFill>
      </fill>
      <alignment horizontal="center" readingOrder="0"/>
    </ndxf>
  </rcc>
  <rcc rId="17" sId="9" odxf="1" dxf="1">
    <nc r="I7" t="inlineStr">
      <is>
        <t>Shamrath/Tarush</t>
      </is>
    </nc>
    <odxf>
      <alignment horizontal="left" readingOrder="0"/>
    </odxf>
    <ndxf>
      <alignment horizontal="center" readingOrder="0"/>
    </ndxf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C8" start="0" length="0">
    <dxf>
      <alignment horizontal="center" readingOrder="0"/>
    </dxf>
  </rfmt>
  <rfmt sheetId="9" sqref="E8" start="0" length="0">
    <dxf>
      <alignment horizontal="center" readingOrder="0"/>
    </dxf>
  </rfmt>
  <rfmt sheetId="9" sqref="F8" start="0" length="0">
    <dxf>
      <alignment horizontal="center" readingOrder="0"/>
    </dxf>
  </rfmt>
  <rfmt sheetId="9" sqref="G8" start="0" length="0">
    <dxf>
      <alignment horizontal="center" readingOrder="0"/>
    </dxf>
  </rfmt>
  <rfmt sheetId="9" sqref="H8" start="0" length="0">
    <dxf>
      <alignment horizontal="center" readingOrder="0"/>
    </dxf>
  </rfmt>
  <rfmt sheetId="9" sqref="I8" start="0" length="0">
    <dxf>
      <alignment horizontal="center" readingOrder="0"/>
    </dxf>
  </rfmt>
  <rcc rId="18" sId="9">
    <nc r="B8">
      <v>617</v>
    </nc>
  </rcc>
  <rcc rId="19" sId="9">
    <oc r="C8" t="inlineStr">
      <is>
        <t xml:space="preserve"> </t>
      </is>
    </oc>
    <nc r="C8" t="inlineStr">
      <is>
        <t>Alexandra Abramova</t>
      </is>
    </nc>
  </rcc>
  <rcc rId="20" sId="9" numFmtId="19">
    <nc r="D8">
      <v>46124</v>
    </nc>
  </rcc>
  <rcc rId="21" sId="9">
    <nc r="E8">
      <v>2</v>
    </nc>
  </rcc>
  <rcc rId="22" sId="9">
    <nc r="H8" t="inlineStr">
      <is>
        <t>PAI</t>
      </is>
    </nc>
  </rcc>
  <rcc rId="23" sId="9">
    <nc r="I8" t="inlineStr">
      <is>
        <t>Xuan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" sId="9" odxf="1" dxf="1">
    <nc r="B9" t="inlineStr">
      <is>
        <t>689/883</t>
      </is>
    </nc>
    <odxf>
      <border outline="0">
        <top/>
      </border>
    </odxf>
    <ndxf>
      <border outline="0">
        <top style="thin">
          <color indexed="64"/>
        </top>
      </border>
    </ndxf>
  </rcc>
  <rcc rId="25" sId="9" odxf="1" dxf="1">
    <nc r="C9" t="inlineStr">
      <is>
        <t>Hui Yu</t>
      </is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26" sId="9" odxf="1" dxf="1" numFmtId="19">
    <nc r="D9">
      <v>46150</v>
    </nc>
    <odxf>
      <border outline="0">
        <top/>
      </border>
    </odxf>
    <ndxf>
      <border outline="0">
        <top style="thin">
          <color indexed="64"/>
        </top>
      </border>
    </ndxf>
  </rcc>
  <rcc rId="27" sId="9" odxf="1" dxf="1">
    <nc r="E9">
      <v>2</v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fmt sheetId="9" sqref="F9" start="0" length="0">
    <dxf>
      <alignment horizontal="center" readingOrder="0"/>
      <border outline="0">
        <top style="thin">
          <color indexed="64"/>
        </top>
      </border>
    </dxf>
  </rfmt>
  <rfmt sheetId="9" sqref="G9" start="0" length="0">
    <dxf>
      <alignment horizontal="center" readingOrder="0"/>
      <border outline="0">
        <top style="thin">
          <color indexed="64"/>
        </top>
      </border>
    </dxf>
  </rfmt>
  <rfmt sheetId="9" sqref="H9" start="0" length="0">
    <dxf>
      <alignment horizontal="center" readingOrder="0"/>
      <border outline="0">
        <top style="thin">
          <color indexed="64"/>
        </top>
      </border>
    </dxf>
  </rfmt>
  <rcc rId="28" sId="9" odxf="1" dxf="1">
    <nc r="I9" t="inlineStr">
      <is>
        <t>Win/Faiha</t>
      </is>
    </nc>
    <odxf>
      <alignment horizontal="left" readingOrder="0"/>
    </odxf>
    <ndxf>
      <alignment horizontal="center" readingOrder="0"/>
    </ndxf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" sId="9">
    <nc r="B10">
      <v>869</v>
    </nc>
  </rcc>
  <rcc rId="30" sId="9" odxf="1" dxf="1">
    <nc r="C10" t="inlineStr">
      <is>
        <t>Maeng, Sukyoung</t>
      </is>
    </nc>
    <odxf>
      <alignment horizontal="general" readingOrder="0"/>
    </odxf>
    <ndxf>
      <alignment horizontal="center" readingOrder="0"/>
    </ndxf>
  </rcc>
  <rcc rId="31" sId="9" numFmtId="19">
    <nc r="D10">
      <v>46152</v>
    </nc>
  </rcc>
  <rcc rId="32" sId="9" odxf="1" dxf="1">
    <nc r="E10">
      <v>2</v>
    </nc>
    <odxf>
      <alignment horizontal="general" readingOrder="0"/>
    </odxf>
    <ndxf>
      <alignment horizontal="center" readingOrder="0"/>
    </ndxf>
  </rcc>
  <rfmt sheetId="9" sqref="F10" start="0" length="0">
    <dxf>
      <alignment horizontal="center" readingOrder="0"/>
    </dxf>
  </rfmt>
  <rfmt sheetId="9" sqref="G10" start="0" length="0">
    <dxf>
      <alignment horizontal="center" readingOrder="0"/>
    </dxf>
  </rfmt>
  <rcc rId="33" sId="9" odxf="1" dxf="1">
    <nc r="H10" t="inlineStr">
      <is>
        <t>SAI</t>
      </is>
    </nc>
    <odxf>
      <alignment horizontal="general" readingOrder="0"/>
    </odxf>
    <ndxf>
      <alignment horizontal="center" readingOrder="0"/>
    </ndxf>
  </rcc>
  <rcc rId="34" sId="9" odxf="1" dxf="1">
    <nc r="I10" t="inlineStr">
      <is>
        <t>Xuan</t>
      </is>
    </nc>
    <odxf>
      <alignment horizontal="left" readingOrder="0"/>
    </odxf>
    <ndxf>
      <alignment horizontal="center" readingOrder="0"/>
    </ndxf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" sId="9">
    <oc r="B11" t="inlineStr">
      <is>
        <t xml:space="preserve"> </t>
      </is>
    </oc>
    <nc r="B11">
      <v>850</v>
    </nc>
  </rcc>
  <rcc rId="36" sId="9">
    <nc r="E11">
      <v>2</v>
    </nc>
  </rcc>
  <rcc rId="37" sId="9">
    <nc r="I11" t="inlineStr">
      <is>
        <t>Faiha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" sId="9">
    <nc r="C11" t="inlineStr">
      <is>
        <t>Hessko Khelo</t>
      </is>
    </nc>
  </rcc>
  <rcc rId="39" sId="9" numFmtId="19">
    <nc r="D11">
      <v>46158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7:I11">
    <dxf>
      <alignment vertical="bottom" readingOrder="0"/>
    </dxf>
  </rfmt>
  <rfmt sheetId="9" sqref="B7:I11">
    <dxf>
      <alignment horizontal="general" readingOrder="0"/>
    </dxf>
  </rfmt>
  <rfmt sheetId="9" sqref="B7:I11">
    <dxf>
      <alignment vertical="center" readingOrder="0"/>
    </dxf>
  </rfmt>
  <rfmt sheetId="9" sqref="B7:I11">
    <dxf>
      <alignment horizontal="center" readingOrder="0"/>
    </dxf>
  </rfmt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0" sId="9">
    <nc r="B12">
      <v>339</v>
    </nc>
  </rcc>
  <rcc rId="41" sId="9" odxf="1" dxf="1">
    <nc r="C12" t="inlineStr">
      <is>
        <t>Audrey Duclauxriou</t>
      </is>
    </nc>
    <odxf>
      <alignment horizontal="general" readingOrder="0"/>
    </odxf>
    <ndxf>
      <alignment horizontal="center" readingOrder="0"/>
    </ndxf>
  </rcc>
  <rcc rId="42" sId="9" numFmtId="19">
    <nc r="D12">
      <v>46155</v>
    </nc>
  </rcc>
  <rcc rId="43" sId="9" odxf="1" dxf="1">
    <nc r="E12">
      <v>1</v>
    </nc>
    <odxf>
      <alignment horizontal="general" readingOrder="0"/>
    </odxf>
    <ndxf>
      <alignment horizontal="center" readingOrder="0"/>
    </ndxf>
  </rcc>
  <rfmt sheetId="9" sqref="F12" start="0" length="0">
    <dxf>
      <alignment horizontal="center" readingOrder="0"/>
    </dxf>
  </rfmt>
  <rfmt sheetId="9" sqref="G12" start="0" length="0">
    <dxf>
      <alignment horizontal="center" readingOrder="0"/>
    </dxf>
  </rfmt>
  <rfmt sheetId="9" sqref="H12" start="0" length="0">
    <dxf>
      <font>
        <strike/>
        <sz val="14"/>
      </font>
      <alignment horizontal="center" readingOrder="0"/>
    </dxf>
  </rfmt>
  <rcc rId="44" sId="9" odxf="1" dxf="1">
    <nc r="I12" t="inlineStr">
      <is>
        <t>Faiha</t>
      </is>
    </nc>
    <odxf>
      <alignment horizontal="left" readingOrder="0"/>
    </odxf>
    <ndxf>
      <alignment horizontal="center" readingOrder="0"/>
    </ndxf>
  </rcc>
  <rcc rId="45" sId="9">
    <nc r="B13">
      <v>810</v>
    </nc>
  </rcc>
  <rcc rId="46" sId="9" odxf="1" dxf="1">
    <nc r="C13" t="inlineStr">
      <is>
        <t>Guillaume Tabert</t>
      </is>
    </nc>
    <odxf>
      <alignment horizontal="general" readingOrder="0"/>
    </odxf>
    <ndxf>
      <alignment horizontal="center" readingOrder="0"/>
    </ndxf>
  </rcc>
  <rcc rId="47" sId="9" numFmtId="19">
    <nc r="D13">
      <v>46154</v>
    </nc>
  </rcc>
  <rfmt sheetId="9" sqref="E13" start="0" length="0">
    <dxf>
      <alignment horizontal="center" readingOrder="0"/>
    </dxf>
  </rfmt>
  <rfmt sheetId="9" sqref="F13" start="0" length="0">
    <dxf>
      <alignment horizontal="center" readingOrder="0"/>
    </dxf>
  </rfmt>
  <rfmt sheetId="9" sqref="G13" start="0" length="0">
    <dxf>
      <alignment horizontal="center" readingOrder="0"/>
    </dxf>
  </rfmt>
  <rcc rId="48" sId="9" odxf="1" dxf="1">
    <nc r="H13" t="inlineStr">
      <is>
        <t>SAI</t>
      </is>
    </nc>
    <odxf>
      <alignment horizontal="general" readingOrder="0"/>
    </odxf>
    <ndxf>
      <alignment horizontal="center" readingOrder="0"/>
    </ndxf>
  </rcc>
  <rcc rId="49" sId="9" odxf="1" dxf="1">
    <nc r="I13" t="inlineStr">
      <is>
        <t>Tarush</t>
      </is>
    </nc>
    <odxf>
      <alignment horizontal="left" readingOrder="0"/>
    </odxf>
    <ndxf>
      <alignment horizontal="center" readingOrder="0"/>
    </ndxf>
  </rcc>
  <rcc rId="50" sId="9">
    <nc r="E13">
      <v>1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" sId="9">
    <nc r="B14">
      <v>881</v>
    </nc>
  </rcc>
  <rcc rId="52" sId="9" odxf="1" dxf="1">
    <nc r="C14" t="inlineStr">
      <is>
        <t>Mr. Ross Wilson</t>
      </is>
    </nc>
    <odxf>
      <alignment horizontal="general" readingOrder="0"/>
    </odxf>
    <ndxf>
      <alignment horizontal="center" readingOrder="0"/>
    </ndxf>
  </rcc>
  <rcc rId="53" sId="9" numFmtId="19">
    <nc r="D14">
      <v>46154</v>
    </nc>
  </rcc>
  <rcc rId="54" sId="9" odxf="1" dxf="1">
    <nc r="E14">
      <v>2</v>
    </nc>
    <odxf>
      <alignment horizontal="general" readingOrder="0"/>
    </odxf>
    <ndxf>
      <alignment horizontal="center" readingOrder="0"/>
    </ndxf>
  </rcc>
  <rfmt sheetId="9" sqref="F14" start="0" length="0">
    <dxf>
      <alignment horizontal="center" readingOrder="0"/>
    </dxf>
  </rfmt>
  <rfmt sheetId="9" sqref="G14" start="0" length="0">
    <dxf>
      <alignment horizontal="center" readingOrder="0"/>
    </dxf>
  </rfmt>
  <rcc rId="55" sId="9" odxf="1" dxf="1">
    <nc r="H14" t="inlineStr">
      <is>
        <t>SAI</t>
      </is>
    </nc>
    <odxf>
      <alignment horizontal="general" readingOrder="0"/>
    </odxf>
    <ndxf>
      <alignment horizontal="center" readingOrder="0"/>
    </ndxf>
  </rcc>
  <rcc rId="56" sId="9" odxf="1" dxf="1">
    <nc r="I14" t="inlineStr">
      <is>
        <t>Vifau/Shamrath</t>
      </is>
    </nc>
    <odxf>
      <alignment horizontal="left" readingOrder="0"/>
    </odxf>
    <ndxf>
      <alignment horizontal="center" readingOrder="0"/>
    </ndxf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1">
    <oc r="I5">
      <f>CONCATENATE((MID(CELL("filename",I5),FIND("]",CELL("filename",I5))+1,255)),"/05/2026")</f>
    </oc>
    <nc r="I5">
      <f>CONCATENATE((MID(CELL("filename",I5),FIND("]",CELL("filename",I5))+1,25)),"/05/2026")</f>
    </nc>
  </rcc>
  <rcc rId="58" sId="2">
    <oc r="I5">
      <f>CONCATENATE((MID(CELL("filename",I5),FIND("]",CELL("filename",I5))+1,255)),"/05/2026")</f>
    </oc>
    <nc r="I5">
      <f>CONCATENATE((MID(CELL("filename",I5),FIND("]",CELL("filename",I5))+1,25)),"/05/2026")</f>
    </nc>
  </rcc>
  <rcc rId="59" sId="3">
    <oc r="I5">
      <f>CONCATENATE((MID(CELL("filename",I5),FIND("]",CELL("filename",I5))+1,255)),"/05/2026")</f>
    </oc>
    <nc r="I5">
      <f>CONCATENATE((MID(CELL("filename",I5),FIND("]",CELL("filename",I5))+1,25)),"/05/2026")</f>
    </nc>
  </rcc>
  <rcc rId="60" sId="4">
    <oc r="I5">
      <f>CONCATENATE((MID(CELL("filename",I5),FIND("]",CELL("filename",I5))+1,255)),"/05/2026")</f>
    </oc>
    <nc r="I5">
      <f>CONCATENATE((MID(CELL("filename",I5),FIND("]",CELL("filename",I5))+1,25)),"/05/2026")</f>
    </nc>
  </rcc>
  <rcc rId="61" sId="5">
    <oc r="I5">
      <f>CONCATENATE((MID(CELL("filename",I5),FIND("]",CELL("filename",I5))+1,255)),"/05/2026")</f>
    </oc>
    <nc r="I5">
      <f>CONCATENATE((MID(CELL("filename",I5),FIND("]",CELL("filename",I5))+1,25)),"/05/2026")</f>
    </nc>
  </rcc>
  <rcc rId="62" sId="6">
    <oc r="J5">
      <f>CONCATENATE((MID(CELL("filename",J5),FIND("]",CELL("filename",J5))+1,25)),"/05/2026")</f>
    </oc>
    <nc r="J5">
      <f>CONCATENATE((MID(CELL("filename",J5),FIND("]",CELL("filename",J5))+1,25)),"/05/2026")</f>
    </nc>
  </rcc>
  <rcc rId="63" sId="7">
    <oc r="I5">
      <f>CONCATENATE((MID(CELL("filename",I5),FIND("]",CELL("filename",I5))+1,255)),"/05/2026")</f>
    </oc>
    <nc r="I5">
      <f>CONCATENATE((MID(CELL("filename",I5),FIND("]",CELL("filename",I5))+1,25)),"/05/2026")</f>
    </nc>
  </rcc>
  <rcc rId="64" sId="8">
    <oc r="I5">
      <f>CONCATENATE((MID(CELL("filename",I5),FIND("]",CELL("filename",I5))+1,255)),"/05/2026")</f>
    </oc>
    <nc r="I5">
      <f>CONCATENATE((MID(CELL("filename",I5),FIND("]",CELL("filename",I5))+1,25)),"/05/2026")</f>
    </nc>
  </rcc>
  <rcc rId="65" sId="10">
    <oc r="I5">
      <f>CONCATENATE((MID(CELL("filename",I5),FIND("]",CELL("filename",I5))+1,255)),"/05/2026")</f>
    </oc>
    <nc r="I5">
      <f>CONCATENATE((MID(CELL("filename",I5),FIND("]",CELL("filename",I5))+1,25)),"/05/2026")</f>
    </nc>
  </rcc>
  <rcc rId="66" sId="11">
    <oc r="I5">
      <f>CONCATENATE((MID(CELL("filename",I5),FIND("]",CELL("filename",I5))+1,255)),"/05/2026")</f>
    </oc>
    <nc r="I5">
      <f>CONCATENATE((MID(CELL("filename",I5),FIND("]",CELL("filename",I5))+1,25)),"/05/2026")</f>
    </nc>
  </rcc>
  <rcc rId="67" sId="12">
    <oc r="I5">
      <f>CONCATENATE((MID(CELL("filename",I5),FIND("]",CELL("filename",I5))+1,255)),"/05/2026")</f>
    </oc>
    <nc r="I5">
      <f>CONCATENATE((MID(CELL("filename",I5),FIND("]",CELL("filename",I5))+1,25)),"/05/2026")</f>
    </nc>
  </rcc>
  <rcc rId="68" sId="13">
    <oc r="I5">
      <f>CONCATENATE((MID(CELL("filename",I5),FIND("]",CELL("filename",I5))+1,255)),"/05/2026")</f>
    </oc>
    <nc r="I5">
      <f>CONCATENATE((MID(CELL("filename",I5),FIND("]",CELL("filename",I5))+1,25)),"/05/2026")</f>
    </nc>
  </rcc>
  <rcc rId="69" sId="14">
    <oc r="I5">
      <f>CONCATENATE((MID(CELL("filename",I5),FIND("]",CELL("filename",I5))+1,255)),"/05/2026")</f>
    </oc>
    <nc r="I5">
      <f>CONCATENATE((MID(CELL("filename",I5),FIND("]",CELL("filename",I5))+1,25)),"/05/2026")</f>
    </nc>
  </rcc>
  <rcc rId="70" sId="15">
    <oc r="I5">
      <f>CONCATENATE((MID(CELL("filename",I5),FIND("]",CELL("filename",I5))+1,255)),"/05/2026")</f>
    </oc>
    <nc r="I5">
      <f>CONCATENATE((MID(CELL("filename",I5),FIND("]",CELL("filename",I5))+1,25)),"/05/2026")</f>
    </nc>
  </rcc>
  <rcc rId="71" sId="16">
    <oc r="I5">
      <f>CONCATENATE((MID(CELL("filename",I5),FIND("]",CELL("filename",I5))+1,255)),"/05/2026")</f>
    </oc>
    <nc r="I5">
      <f>CONCATENATE((MID(CELL("filename",I5),FIND("]",CELL("filename",I5))+1,25)),"/05/2026")</f>
    </nc>
  </rcc>
  <rcc rId="72" sId="17">
    <oc r="I5">
      <f>CONCATENATE((MID(CELL("filename",I5),FIND("]",CELL("filename",I5))+1,255)),"/05/2026")</f>
    </oc>
    <nc r="I5">
      <f>CONCATENATE((MID(CELL("filename",I5),FIND("]",CELL("filename",I5))+1,25)),"/05/2026")</f>
    </nc>
  </rcc>
  <rcc rId="73" sId="18">
    <oc r="I5">
      <f>CONCATENATE((MID(CELL("filename",I5),FIND("]",CELL("filename",I5))+1,255)),"/05/2026")</f>
    </oc>
    <nc r="I5">
      <f>CONCATENATE((MID(CELL("filename",I5),FIND("]",CELL("filename",I5))+1,25)),"/05/2026")</f>
    </nc>
  </rcc>
  <rcc rId="74" sId="19">
    <oc r="I5">
      <f>CONCATENATE((MID(CELL("filename",I5),FIND("]",CELL("filename",I5))+1,255)),"/05/2026")</f>
    </oc>
    <nc r="I5">
      <f>CONCATENATE((MID(CELL("filename",I5),FIND("]",CELL("filename",I5))+1,25)),"/05/2026")</f>
    </nc>
  </rcc>
  <rcc rId="75" sId="20">
    <oc r="I5">
      <f>CONCATENATE((MID(CELL("filename",I5),FIND("]",CELL("filename",I5))+1,255)),"/05/2026")</f>
    </oc>
    <nc r="I5">
      <f>CONCATENATE((MID(CELL("filename",I5),FIND("]",CELL("filename",I5))+1,25)),"/05/2026")</f>
    </nc>
  </rcc>
  <rcc rId="76" sId="21">
    <oc r="I5">
      <f>CONCATENATE((MID(CELL("filename",I5),FIND("]",CELL("filename",I5))+1,255)),"/05/2026")</f>
    </oc>
    <nc r="I5">
      <f>CONCATENATE((MID(CELL("filename",I5),FIND("]",CELL("filename",I5))+1,25)),"/05/2026")</f>
    </nc>
  </rcc>
  <rcc rId="77" sId="22">
    <oc r="I5">
      <f>CONCATENATE((MID(CELL("filename",I5),FIND("]",CELL("filename",I5))+1,255)),"/05/2026")</f>
    </oc>
    <nc r="I5">
      <f>CONCATENATE((MID(CELL("filename",I5),FIND("]",CELL("filename",I5))+1,25)),"/05/2026")</f>
    </nc>
  </rcc>
  <rcc rId="78" sId="23">
    <oc r="I5">
      <f>CONCATENATE((MID(CELL("filename",I5),FIND("]",CELL("filename",I5))+1,255)),"/05/2026")</f>
    </oc>
    <nc r="I5">
      <f>CONCATENATE((MID(CELL("filename",I5),FIND("]",CELL("filename",I5))+1,25)),"/05/2026")</f>
    </nc>
  </rcc>
  <rcc rId="79" sId="24">
    <oc r="I5">
      <f>CONCATENATE((MID(CELL("filename",I5),FIND("]",CELL("filename",I5))+1,255)),"/05/2026")</f>
    </oc>
    <nc r="I5">
      <f>CONCATENATE((MID(CELL("filename",I5),FIND("]",CELL("filename",I5))+1,25)),"/05/2026")</f>
    </nc>
  </rcc>
  <rcc rId="80" sId="25">
    <oc r="I5">
      <f>CONCATENATE((MID(CELL("filename",I5),FIND("]",CELL("filename",I5))+1,255)),"/05/2026")</f>
    </oc>
    <nc r="I5">
      <f>CONCATENATE((MID(CELL("filename",I5),FIND("]",CELL("filename",I5))+1,25)),"/05/2026")</f>
    </nc>
  </rcc>
  <rcc rId="81" sId="26">
    <oc r="I5">
      <f>CONCATENATE((MID(CELL("filename",I5),FIND("]",CELL("filename",I5))+1,255)),"/05/2026")</f>
    </oc>
    <nc r="I5">
      <f>CONCATENATE((MID(CELL("filename",I5),FIND("]",CELL("filename",I5))+1,25)),"/05/2026")</f>
    </nc>
  </rcc>
  <rcc rId="82" sId="27">
    <oc r="I5">
      <f>CONCATENATE((MID(CELL("filename",I5),FIND("]",CELL("filename",I5))+1,255)),"/05/2026")</f>
    </oc>
    <nc r="I5">
      <f>CONCATENATE((MID(CELL("filename",I5),FIND("]",CELL("filename",I5))+1,25)),"/05/2026")</f>
    </nc>
  </rcc>
  <rcc rId="83" sId="28">
    <oc r="I5">
      <f>CONCATENATE((MID(CELL("filename",I5),FIND("]",CELL("filename",I5))+1,255)),"/05/2026")</f>
    </oc>
    <nc r="I5">
      <f>CONCATENATE((MID(CELL("filename",I5),FIND("]",CELL("filename",I5))+1,25)),"/05/2026")</f>
    </nc>
  </rcc>
  <rcc rId="84" sId="29">
    <oc r="I5">
      <f>CONCATENATE((MID(CELL("filename",I5),FIND("]",CELL("filename",I5))+1,255)),"/05/2026")</f>
    </oc>
    <nc r="I5">
      <f>CONCATENATE((MID(CELL("filename",I5),FIND("]",CELL("filename",I5))+1,25)),"/05/2026")</f>
    </nc>
  </rcc>
  <rcc rId="85" sId="30">
    <oc r="I5">
      <f>CONCATENATE((MID(CELL("filename",I5),FIND("]",CELL("filename",I5))+1,255)),"/05/2026")</f>
    </oc>
    <nc r="I5">
      <f>CONCATENATE((MID(CELL("filename",I5),FIND("]",CELL("filename",I5))+1,25)),"/05/2026")</f>
    </nc>
  </rcc>
  <rcc rId="86" sId="31">
    <oc r="I5">
      <f>CONCATENATE((MID(CELL("filename",I5),FIND("]",CELL("filename",I5))+1,255)),"/05/2026")</f>
    </oc>
    <nc r="I5">
      <f>CONCATENATE((MID(CELL("filename",I5),FIND("]",CELL("filename",I5))+1,25)),"/05/2026")</f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" sId="9">
    <nc r="B15">
      <v>216</v>
    </nc>
  </rcc>
  <rcc rId="88" sId="9">
    <nc r="E15">
      <v>2</v>
    </nc>
  </rcc>
  <rcc rId="89" sId="9">
    <nc r="I15" t="inlineStr">
      <is>
        <t>Maaji</t>
      </is>
    </nc>
  </rcc>
  <rcc rId="90" sId="9" numFmtId="19">
    <nc r="D15">
      <v>46154</v>
    </nc>
  </rcc>
  <rcc rId="91" sId="9">
    <nc r="C15" t="inlineStr">
      <is>
        <t>Yolisa Heshula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9">
    <nc r="H15" t="inlineStr">
      <is>
        <t>HB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7:I15">
    <dxf>
      <alignment vertical="bottom" readingOrder="0"/>
    </dxf>
  </rfmt>
  <rfmt sheetId="9" sqref="B7:I15">
    <dxf>
      <alignment vertical="center" readingOrder="0"/>
    </dxf>
  </rfmt>
  <rfmt sheetId="9" sqref="B7:I15">
    <dxf>
      <alignment horizontal="general" readingOrder="0"/>
    </dxf>
  </rfmt>
  <rfmt sheetId="9" sqref="B7:I15">
    <dxf>
      <alignment horizontal="center" readingOrder="0"/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" sId="9" odxf="1" dxf="1">
    <nc r="H12" t="inlineStr">
      <is>
        <t>SAI</t>
      </is>
    </nc>
    <ndxf>
      <font>
        <strike val="0"/>
        <sz val="14"/>
      </font>
    </ndxf>
  </rcc>
  <rcc rId="94" sId="9">
    <nc r="H11" t="inlineStr">
      <is>
        <t>SAI</t>
      </is>
    </nc>
  </rcc>
  <rcc rId="95" sId="9">
    <oc r="B9" t="inlineStr">
      <is>
        <t>689/883</t>
      </is>
    </oc>
    <nc r="B9" t="inlineStr">
      <is>
        <t>689/892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" sId="9">
    <nc r="H9" t="inlineStr">
      <is>
        <t>SAI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10" odxf="1" dxf="1">
    <nc r="B7">
      <v>617</v>
    </nc>
    <odxf>
      <border outline="0">
        <top/>
      </border>
    </odxf>
    <ndxf>
      <border outline="0">
        <top style="thin">
          <color indexed="64"/>
        </top>
      </border>
    </ndxf>
  </rcc>
  <rcc rId="98" sId="10" odxf="1" dxf="1">
    <nc r="C7" t="inlineStr">
      <is>
        <t>Alexandra Abramova</t>
      </is>
    </nc>
    <odxf>
      <alignment horizontal="general" readingOrder="0"/>
    </odxf>
    <ndxf>
      <alignment horizontal="center" readingOrder="0"/>
    </ndxf>
  </rcc>
  <rcc rId="99" sId="10" numFmtId="19">
    <nc r="D7">
      <v>46124</v>
    </nc>
  </rcc>
  <rcc rId="100" sId="10" odxf="1" dxf="1">
    <nc r="E7">
      <v>2</v>
    </nc>
    <odxf>
      <alignment horizontal="general" readingOrder="0"/>
    </odxf>
    <ndxf>
      <alignment horizontal="center" readingOrder="0"/>
    </ndxf>
  </rcc>
  <rfmt sheetId="10" sqref="F7" start="0" length="0">
    <dxf>
      <alignment horizontal="center" readingOrder="0"/>
    </dxf>
  </rfmt>
  <rfmt sheetId="10" sqref="G7" start="0" length="0">
    <dxf>
      <alignment horizontal="center" readingOrder="0"/>
    </dxf>
  </rfmt>
  <rcc rId="101" sId="10" odxf="1" dxf="1">
    <nc r="H7" t="inlineStr">
      <is>
        <t>PAI</t>
      </is>
    </nc>
    <odxf>
      <alignment horizontal="general" readingOrder="0"/>
    </odxf>
    <ndxf>
      <alignment horizontal="center" readingOrder="0"/>
    </ndxf>
  </rcc>
  <rcc rId="102" sId="10" odxf="1" dxf="1">
    <nc r="I7" t="inlineStr">
      <is>
        <t>Xuan</t>
      </is>
    </nc>
    <odxf>
      <alignment horizontal="left" readingOrder="0"/>
    </odxf>
    <ndxf>
      <alignment horizontal="center" readingOrder="0"/>
    </ndxf>
  </rcc>
  <rfmt sheetId="9" sqref="J8">
    <dxf>
      <fill>
        <patternFill patternType="solid">
          <bgColor rgb="FF00B050"/>
        </patternFill>
      </fill>
    </dxf>
  </rfmt>
  <rfmt sheetId="9" sqref="J12">
    <dxf>
      <fill>
        <patternFill patternType="solid">
          <bgColor rgb="FFFF0000"/>
        </patternFill>
      </fill>
    </dxf>
  </rfmt>
  <rfmt sheetId="9" sqref="J13">
    <dxf>
      <fill>
        <patternFill patternType="solid">
          <bgColor rgb="FFFF0000"/>
        </patternFill>
      </fill>
    </dxf>
  </rfmt>
  <rfmt sheetId="9" sqref="J11">
    <dxf>
      <fill>
        <patternFill patternType="solid">
          <bgColor rgb="FFFF0000"/>
        </patternFill>
      </fill>
    </dxf>
  </rfmt>
  <rfmt sheetId="9" sqref="J10">
    <dxf>
      <fill>
        <patternFill patternType="solid">
          <bgColor rgb="FFFF0000"/>
        </patternFill>
      </fill>
    </dxf>
  </rfmt>
  <rfmt sheetId="9" sqref="J14 J7">
    <dxf>
      <fill>
        <patternFill patternType="solid">
          <bgColor rgb="FFFF0000"/>
        </patternFill>
      </fill>
    </dxf>
  </rfmt>
  <rfmt sheetId="9" sqref="J15">
    <dxf>
      <fill>
        <patternFill patternType="solid">
          <bgColor rgb="FF00B050"/>
        </patternFill>
      </fill>
    </dxf>
  </rfmt>
  <rfmt sheetId="9" sqref="J9">
    <dxf>
      <fill>
        <patternFill patternType="solid">
          <bgColor rgb="FF00B050"/>
        </patternFill>
      </fill>
    </dxf>
  </rfmt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" sId="9">
    <oc r="E8">
      <v>2</v>
    </oc>
    <nc r="E8" t="inlineStr">
      <is>
        <t>PP2</t>
      </is>
    </nc>
  </rcc>
  <rcc rId="104" sId="9">
    <oc r="E9">
      <v>2</v>
    </oc>
    <nc r="E9" t="inlineStr">
      <is>
        <t>PP2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J14">
    <dxf>
      <fill>
        <patternFill>
          <bgColor rgb="FF00B050"/>
        </patternFill>
      </fill>
    </dxf>
  </rfmt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" sId="10">
    <nc r="B8">
      <v>881</v>
    </nc>
  </rcc>
  <rcc rId="106" sId="10" odxf="1" dxf="1">
    <oc r="C8" t="inlineStr">
      <is>
        <t xml:space="preserve"> </t>
      </is>
    </oc>
    <nc r="C8" t="inlineStr">
      <is>
        <t>Mr. Ross Wilson</t>
      </is>
    </nc>
    <odxf>
      <alignment horizontal="general" readingOrder="0"/>
    </odxf>
    <ndxf>
      <alignment horizontal="center" readingOrder="0"/>
    </ndxf>
  </rcc>
  <rcc rId="107" sId="10" numFmtId="19">
    <nc r="D8">
      <v>46154</v>
    </nc>
  </rcc>
  <rcc rId="108" sId="10" odxf="1" dxf="1">
    <nc r="E8">
      <v>2</v>
    </nc>
    <odxf>
      <alignment horizontal="general" readingOrder="0"/>
    </odxf>
    <ndxf>
      <alignment horizontal="center" readingOrder="0"/>
    </ndxf>
  </rcc>
  <rfmt sheetId="10" sqref="F8" start="0" length="0">
    <dxf>
      <alignment horizontal="center" readingOrder="0"/>
    </dxf>
  </rfmt>
  <rfmt sheetId="10" sqref="G8" start="0" length="0">
    <dxf>
      <alignment horizontal="center" readingOrder="0"/>
    </dxf>
  </rfmt>
  <rcc rId="109" sId="10" odxf="1" dxf="1">
    <nc r="H8" t="inlineStr">
      <is>
        <t>SAI</t>
      </is>
    </nc>
    <odxf>
      <alignment horizontal="general" readingOrder="0"/>
    </odxf>
    <ndxf>
      <alignment horizontal="center" readingOrder="0"/>
    </ndxf>
  </rcc>
  <rcc rId="110" sId="10" odxf="1" dxf="1">
    <nc r="I8" t="inlineStr">
      <is>
        <t>Vifau/Shamrath</t>
      </is>
    </nc>
    <odxf>
      <alignment horizontal="left" readingOrder="0"/>
    </odxf>
    <ndxf>
      <alignment horizontal="center" readingOrder="0"/>
    </ndxf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" sId="9">
    <oc r="E14">
      <v>2</v>
    </oc>
    <nc r="E14" t="inlineStr">
      <is>
        <t>PP2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" sId="10" odxf="1" dxf="1">
    <nc r="B9">
      <v>216</v>
    </nc>
    <odxf>
      <border outline="0">
        <top/>
      </border>
    </odxf>
    <ndxf>
      <border outline="0">
        <top style="thin">
          <color indexed="64"/>
        </top>
      </border>
    </ndxf>
  </rcc>
  <rcc rId="113" sId="10" odxf="1" dxf="1">
    <nc r="C9" t="inlineStr">
      <is>
        <t>Yolisa Heshula</t>
      </is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114" sId="10" odxf="1" dxf="1" numFmtId="19">
    <nc r="D9">
      <v>46154</v>
    </nc>
    <odxf>
      <border outline="0">
        <top/>
      </border>
    </odxf>
    <ndxf>
      <border outline="0">
        <top style="thin">
          <color indexed="64"/>
        </top>
      </border>
    </ndxf>
  </rcc>
  <rcc rId="115" sId="10" odxf="1" dxf="1">
    <nc r="E9">
      <v>2</v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fmt sheetId="10" sqref="F9" start="0" length="0">
    <dxf>
      <alignment horizontal="center" readingOrder="0"/>
      <border outline="0">
        <top style="thin">
          <color indexed="64"/>
        </top>
      </border>
    </dxf>
  </rfmt>
  <rfmt sheetId="10" sqref="G9" start="0" length="0">
    <dxf>
      <alignment horizontal="center" readingOrder="0"/>
      <border outline="0">
        <top style="thin">
          <color indexed="64"/>
        </top>
      </border>
    </dxf>
  </rfmt>
  <rcc rId="116" sId="10" odxf="1" dxf="1">
    <nc r="H9" t="inlineStr">
      <is>
        <t>HB</t>
      </is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117" sId="10" odxf="1" dxf="1">
    <nc r="I9" t="inlineStr">
      <is>
        <t>Maaji</t>
      </is>
    </nc>
    <odxf>
      <alignment horizontal="left" readingOrder="0"/>
    </odxf>
    <ndxf>
      <alignment horizontal="center" readingOrder="0"/>
    </ndxf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J10">
    <dxf>
      <fill>
        <patternFill>
          <bgColor rgb="FF00B050"/>
        </patternFill>
      </fill>
    </dxf>
  </rfmt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" sId="10">
    <nc r="B10">
      <v>869</v>
    </nc>
  </rcc>
  <rcc rId="119" sId="10">
    <nc r="E10">
      <v>2</v>
    </nc>
  </rcc>
  <rcc rId="120" sId="10">
    <nc r="C10" t="inlineStr">
      <is>
        <t>Maeng, Sukyoung</t>
      </is>
    </nc>
  </rcc>
  <rcc rId="121" sId="10" numFmtId="19">
    <nc r="D10">
      <v>46152</v>
    </nc>
  </rcc>
  <rcc rId="122" sId="10">
    <nc r="I10" t="inlineStr">
      <is>
        <t>Xuan</t>
      </is>
    </nc>
  </rcc>
  <rcc rId="123" sId="10">
    <nc r="H10" t="inlineStr">
      <is>
        <t>SAI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" sId="10">
    <nc r="B12" t="inlineStr">
      <is>
        <t>Booking closed</t>
      </is>
    </nc>
  </rcc>
  <rm rId="125" sheetId="10" source="B12" destination="C12" sourceSheetId="10">
    <rfmt sheetId="10" sqref="C12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10" sqref="C12">
    <dxf>
      <fill>
        <patternFill>
          <bgColor rgb="FFFF0000"/>
        </patternFill>
      </fill>
    </dxf>
  </rfmt>
  <rcv guid="{60760000-1846-4662-8265-C415E38339B9}" action="delete"/>
  <rcv guid="{60760000-1846-4662-8265-C415E38339B9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" sId="11" odxf="1" dxf="1">
    <nc r="B7">
      <v>617</v>
    </nc>
    <odxf>
      <border outline="0">
        <top/>
      </border>
    </odxf>
    <ndxf>
      <border outline="0">
        <top style="thin">
          <color indexed="64"/>
        </top>
      </border>
    </ndxf>
  </rcc>
  <rcc rId="127" sId="11" odxf="1" dxf="1">
    <nc r="C7" t="inlineStr">
      <is>
        <t>Alexandra Abramova</t>
      </is>
    </nc>
    <odxf>
      <alignment horizontal="general" readingOrder="0"/>
    </odxf>
    <ndxf>
      <alignment horizontal="center" readingOrder="0"/>
    </ndxf>
  </rcc>
  <rcc rId="128" sId="11" numFmtId="19">
    <nc r="D7">
      <v>46124</v>
    </nc>
  </rcc>
  <rcc rId="129" sId="11" odxf="1" dxf="1">
    <nc r="E7">
      <v>2</v>
    </nc>
    <odxf>
      <alignment horizontal="general" readingOrder="0"/>
    </odxf>
    <ndxf>
      <alignment horizontal="center" readingOrder="0"/>
    </ndxf>
  </rcc>
  <rfmt sheetId="11" sqref="F7" start="0" length="0">
    <dxf>
      <alignment horizontal="center" readingOrder="0"/>
    </dxf>
  </rfmt>
  <rfmt sheetId="11" sqref="G7" start="0" length="0">
    <dxf>
      <alignment horizontal="center" readingOrder="0"/>
    </dxf>
  </rfmt>
  <rcc rId="130" sId="11" odxf="1" dxf="1">
    <nc r="H7" t="inlineStr">
      <is>
        <t>PAI</t>
      </is>
    </nc>
    <odxf>
      <alignment horizontal="general" readingOrder="0"/>
    </odxf>
    <ndxf>
      <alignment horizontal="center" readingOrder="0"/>
    </ndxf>
  </rcc>
  <rcc rId="131" sId="11" odxf="1" dxf="1">
    <nc r="I7" t="inlineStr">
      <is>
        <t>Xuan</t>
      </is>
    </nc>
    <odxf>
      <alignment horizontal="left" readingOrder="0"/>
    </odxf>
    <ndxf>
      <alignment horizontal="center" readingOrder="0"/>
    </ndxf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" sId="10">
    <oc r="E7">
      <v>2</v>
    </oc>
    <nc r="E7" t="inlineStr">
      <is>
        <t>PP2</t>
      </is>
    </nc>
  </rcc>
  <rcc rId="133" sId="10">
    <oc r="E10">
      <v>2</v>
    </oc>
    <nc r="E10" t="inlineStr">
      <is>
        <t>CXL2</t>
      </is>
    </nc>
  </rcc>
  <rfmt sheetId="10" sqref="J7">
    <dxf>
      <fill>
        <patternFill patternType="solid">
          <bgColor rgb="FF92D050"/>
        </patternFill>
      </fill>
    </dxf>
  </rfmt>
  <rfmt sheetId="10" sqref="J8:J9">
    <dxf>
      <fill>
        <patternFill patternType="solid">
          <bgColor rgb="FFFF0000"/>
        </patternFill>
      </fill>
    </dxf>
  </rfmt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" sId="12" odxf="1" dxf="1">
    <nc r="B7">
      <v>868</v>
    </nc>
    <odxf>
      <fill>
        <patternFill>
          <bgColor theme="0"/>
        </patternFill>
      </fill>
      <border outline="0">
        <top/>
      </border>
    </odxf>
    <ndxf>
      <fill>
        <patternFill>
          <bgColor rgb="FF92D050"/>
        </patternFill>
      </fill>
      <border outline="0">
        <top style="thin">
          <color indexed="64"/>
        </top>
      </border>
    </ndxf>
  </rcc>
  <rcc rId="135" sId="12" odxf="1" dxf="1">
    <nc r="C7" t="inlineStr">
      <is>
        <t>Yunoshin Maki</t>
      </is>
    </nc>
    <odxf>
      <alignment horizontal="general" readingOrder="0"/>
    </odxf>
    <ndxf>
      <alignment horizontal="center" readingOrder="0"/>
    </ndxf>
  </rcc>
  <rcc rId="136" sId="12" numFmtId="19">
    <nc r="D7">
      <v>46154</v>
    </nc>
  </rcc>
  <rcc rId="137" sId="12" odxf="1" dxf="1">
    <nc r="E7">
      <v>2</v>
    </nc>
    <odxf>
      <alignment horizontal="general" readingOrder="0"/>
    </odxf>
    <ndxf>
      <alignment horizontal="center" readingOrder="0"/>
    </ndxf>
  </rcc>
  <rfmt sheetId="12" sqref="F7" start="0" length="0">
    <dxf>
      <alignment horizontal="center" readingOrder="0"/>
    </dxf>
  </rfmt>
  <rfmt sheetId="12" sqref="G7" start="0" length="0">
    <dxf>
      <alignment horizontal="center" readingOrder="0"/>
    </dxf>
  </rfmt>
  <rfmt sheetId="12" sqref="H7" start="0" length="0">
    <dxf>
      <alignment horizontal="center" readingOrder="0"/>
    </dxf>
  </rfmt>
  <rcc rId="138" sId="12" odxf="1" dxf="1">
    <nc r="I7" t="inlineStr">
      <is>
        <t>Habil/Faiha</t>
      </is>
    </nc>
    <odxf>
      <alignment horizontal="left" readingOrder="0"/>
    </odxf>
    <ndxf>
      <alignment horizontal="center" readingOrder="0"/>
    </ndxf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" sId="12" odxf="1" dxf="1">
    <nc r="B8">
      <v>865</v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140" sId="12" odxf="1" dxf="1">
    <oc r="C8" t="inlineStr">
      <is>
        <t xml:space="preserve"> </t>
      </is>
    </oc>
    <nc r="C8" t="inlineStr">
      <is>
        <t>Sameena Malik</t>
      </is>
    </nc>
    <odxf>
      <alignment horizontal="general" readingOrder="0"/>
    </odxf>
    <ndxf>
      <alignment horizontal="center" readingOrder="0"/>
    </ndxf>
  </rcc>
  <rcc rId="141" sId="12" numFmtId="19">
    <nc r="D8">
      <v>46155</v>
    </nc>
  </rcc>
  <rcc rId="142" sId="12" odxf="1" dxf="1">
    <nc r="E8">
      <v>2</v>
    </nc>
    <odxf>
      <alignment horizontal="general" readingOrder="0"/>
    </odxf>
    <ndxf>
      <alignment horizontal="center" readingOrder="0"/>
    </ndxf>
  </rcc>
  <rfmt sheetId="12" sqref="F8" start="0" length="0">
    <dxf>
      <alignment horizontal="center" readingOrder="0"/>
    </dxf>
  </rfmt>
  <rfmt sheetId="12" sqref="G8" start="0" length="0">
    <dxf>
      <alignment horizontal="center" readingOrder="0"/>
    </dxf>
  </rfmt>
  <rfmt sheetId="12" sqref="H8" start="0" length="0">
    <dxf>
      <alignment horizontal="center" readingOrder="0"/>
    </dxf>
  </rfmt>
  <rcc rId="143" sId="12" odxf="1" dxf="1">
    <nc r="I8" t="inlineStr">
      <is>
        <t>Leyla/Faiha</t>
      </is>
    </nc>
    <odxf>
      <alignment horizontal="left" readingOrder="0"/>
    </odxf>
    <ndxf>
      <alignment horizontal="center" readingOrder="0"/>
    </ndxf>
  </rcc>
  <rfmt sheetId="12" sqref="B7:B8">
    <dxf>
      <fill>
        <patternFill>
          <bgColor rgb="FF92D050"/>
        </patternFill>
      </fill>
    </dxf>
  </rfmt>
  <rfmt sheetId="12" sqref="B7:B8">
    <dxf>
      <fill>
        <patternFill patternType="none">
          <bgColor auto="1"/>
        </patternFill>
      </fill>
    </dxf>
  </rfmt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" sId="12" odxf="1" dxf="1">
    <nc r="B9">
      <v>885</v>
    </nc>
    <odxf>
      <fill>
        <patternFill patternType="solid">
          <bgColor theme="0"/>
        </patternFill>
      </fill>
      <border outline="0">
        <top/>
      </border>
    </odxf>
    <ndxf>
      <fill>
        <patternFill patternType="none">
          <bgColor indexed="65"/>
        </patternFill>
      </fill>
      <border outline="0">
        <top style="thin">
          <color indexed="64"/>
        </top>
      </border>
    </ndxf>
  </rcc>
  <rcc rId="145" sId="12" odxf="1" dxf="1">
    <nc r="C9" t="inlineStr">
      <is>
        <t>MR.KITAGAWA/KOUTA</t>
      </is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146" sId="12" odxf="1" dxf="1" numFmtId="19">
    <nc r="D9">
      <v>46155</v>
    </nc>
    <odxf>
      <border outline="0">
        <top/>
      </border>
    </odxf>
    <ndxf>
      <border outline="0">
        <top style="thin">
          <color indexed="64"/>
        </top>
      </border>
    </ndxf>
  </rcc>
  <rcc rId="147" sId="12" odxf="1" dxf="1">
    <nc r="E9">
      <v>2</v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fmt sheetId="12" sqref="F9" start="0" length="0">
    <dxf>
      <alignment horizontal="center" readingOrder="0"/>
      <border outline="0">
        <top style="thin">
          <color indexed="64"/>
        </top>
      </border>
    </dxf>
  </rfmt>
  <rfmt sheetId="12" sqref="G9" start="0" length="0">
    <dxf>
      <alignment horizontal="center" readingOrder="0"/>
      <border outline="0">
        <top style="thin">
          <color indexed="64"/>
        </top>
      </border>
    </dxf>
  </rfmt>
  <rcc rId="148" sId="12" odxf="1" dxf="1">
    <nc r="H9">
      <v>3199466</v>
    </nc>
    <odxf>
      <alignment horizontal="general" readingOrder="0"/>
      <border outline="0">
        <top/>
      </border>
    </odxf>
    <ndxf>
      <alignment horizontal="center" readingOrder="0"/>
      <border outline="0">
        <top style="thin">
          <color indexed="64"/>
        </top>
      </border>
    </ndxf>
  </rcc>
  <rcc rId="149" sId="12" odxf="1" dxf="1">
    <nc r="I9" t="inlineStr">
      <is>
        <t>Monica/Faiha</t>
      </is>
    </nc>
    <odxf>
      <alignment horizontal="left" readingOrder="0"/>
    </odxf>
    <ndxf>
      <alignment horizontal="center" readingOrder="0"/>
    </ndxf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" sId="13">
    <oc r="I6" t="inlineStr">
      <is>
        <t>Staff</t>
      </is>
    </oc>
    <nc r="I6">
      <v>3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" sId="14">
    <nc r="B7">
      <v>649</v>
    </nc>
  </rcc>
  <rcc rId="152" sId="14">
    <nc r="E7">
      <v>2</v>
    </nc>
  </rcc>
  <rcc rId="153" sId="14">
    <nc r="B8">
      <v>624</v>
    </nc>
  </rcc>
  <rcc rId="154" sId="14">
    <nc r="E8">
      <v>2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" sId="14">
    <nc r="I7" t="inlineStr">
      <is>
        <t>Xuan</t>
      </is>
    </nc>
  </rcc>
  <rcc rId="156" sId="14">
    <nc r="I8" t="inlineStr">
      <is>
        <t>Xuan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" sId="14">
    <nc r="C7" t="inlineStr">
      <is>
        <t>Xiaoyu Xing</t>
      </is>
    </nc>
  </rcc>
  <rcc rId="158" sId="14" numFmtId="19">
    <nc r="D7">
      <v>46155</v>
    </nc>
  </rcc>
  <rcc rId="159" sId="14">
    <oc r="C8" t="inlineStr">
      <is>
        <t xml:space="preserve"> </t>
      </is>
    </oc>
    <nc r="C8" t="inlineStr">
      <is>
        <t>Shuaicheng Niu</t>
      </is>
    </nc>
  </rcc>
  <rcc rId="160" sId="14" numFmtId="19">
    <nc r="D8">
      <v>46154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" sId="24" odxf="1" dxf="1">
    <nc r="B7" t="inlineStr">
      <is>
        <t>Prebooking</t>
      </is>
    </nc>
    <odxf>
      <alignment vertical="center" readingOrder="0"/>
    </odxf>
    <ndxf>
      <alignment vertical="top" readingOrder="0"/>
    </ndxf>
  </rcc>
  <rcc rId="162" sId="24" odxf="1" dxf="1">
    <nc r="C7" t="inlineStr">
      <is>
        <t xml:space="preserve">Mr. Claudio Asborno &amp; Mr. Marco Zanchin </t>
      </is>
    </nc>
    <odxf>
      <font>
        <b val="0"/>
        <sz val="14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2"/>
        <name val="Verdana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fmt sheetId="24" sqref="D7" start="0" length="0">
    <dxf>
      <alignment vertical="top" readingOrder="0"/>
    </dxf>
  </rfmt>
  <rcc rId="163" sId="24" odxf="1" dxf="1">
    <nc r="E7">
      <v>2</v>
    </nc>
    <odxf>
      <alignment horizontal="general" vertical="center" readingOrder="0"/>
    </odxf>
    <ndxf>
      <alignment horizontal="center" vertical="top" readingOrder="0"/>
    </ndxf>
  </rcc>
  <rfmt sheetId="24" sqref="F7" start="0" length="0">
    <dxf>
      <alignment horizontal="center" vertical="top" readingOrder="0"/>
    </dxf>
  </rfmt>
  <rfmt sheetId="24" sqref="G7" start="0" length="0">
    <dxf>
      <alignment horizontal="center" vertical="top" readingOrder="0"/>
    </dxf>
  </rfmt>
  <rcc rId="164" sId="24" odxf="1" dxf="1">
    <nc r="H7" t="inlineStr">
      <is>
        <t>SALES ENT</t>
      </is>
    </nc>
    <odxf>
      <alignment horizontal="general" vertical="center" readingOrder="0"/>
    </odxf>
    <ndxf>
      <alignment horizontal="center" vertical="top" readingOrder="0"/>
    </ndxf>
  </rcc>
  <rcc rId="165" sId="24" odxf="1" dxf="1">
    <nc r="I7" t="inlineStr">
      <is>
        <t>Susmita/Tarush</t>
      </is>
    </nc>
    <odxf>
      <alignment horizontal="left" vertical="center" readingOrder="0"/>
    </odxf>
    <ndxf>
      <alignment horizontal="center" vertical="top" readingOrder="0"/>
    </ndxf>
  </rcc>
  <rcc rId="166" sId="24" odxf="1" dxf="1">
    <nc r="B8" t="inlineStr">
      <is>
        <t>Prebooking</t>
      </is>
    </nc>
    <odxf>
      <alignment vertical="center" readingOrder="0"/>
    </odxf>
    <ndxf>
      <alignment vertical="top" readingOrder="0"/>
    </ndxf>
  </rcc>
  <rcc rId="167" sId="24" odxf="1" dxf="1">
    <oc r="C8" t="inlineStr">
      <is>
        <t xml:space="preserve"> </t>
      </is>
    </oc>
    <nc r="C8" t="inlineStr">
      <is>
        <t xml:space="preserve">Mrs. Barbara Mangione &amp; Mrs. Marina Rossi </t>
      </is>
    </nc>
    <odxf>
      <font>
        <b val="0"/>
        <sz val="14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2"/>
        <name val="Verdana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fmt sheetId="24" sqref="D8" start="0" length="0">
    <dxf>
      <alignment vertical="top" readingOrder="0"/>
    </dxf>
  </rfmt>
  <rcc rId="168" sId="24" odxf="1" dxf="1">
    <nc r="E8">
      <v>2</v>
    </nc>
    <odxf>
      <alignment horizontal="general" vertical="center" readingOrder="0"/>
    </odxf>
    <ndxf>
      <alignment horizontal="center" vertical="top" readingOrder="0"/>
    </ndxf>
  </rcc>
  <rfmt sheetId="24" sqref="F8" start="0" length="0">
    <dxf>
      <alignment horizontal="center" vertical="top" readingOrder="0"/>
    </dxf>
  </rfmt>
  <rfmt sheetId="24" sqref="G8" start="0" length="0">
    <dxf>
      <alignment horizontal="center" vertical="top" readingOrder="0"/>
    </dxf>
  </rfmt>
  <rcc rId="169" sId="24" odxf="1" dxf="1">
    <nc r="H8" t="inlineStr">
      <is>
        <t>SALES ENT</t>
      </is>
    </nc>
    <odxf>
      <alignment horizontal="general" vertical="center" readingOrder="0"/>
    </odxf>
    <ndxf>
      <alignment horizontal="center" vertical="top" readingOrder="0"/>
    </ndxf>
  </rcc>
  <rcc rId="170" sId="24" odxf="1" dxf="1">
    <nc r="I8" t="inlineStr">
      <is>
        <t>Susmita/Tarush</t>
      </is>
    </nc>
    <odxf>
      <alignment horizontal="left" vertical="center" readingOrder="0"/>
    </odxf>
    <ndxf>
      <alignment horizontal="center" vertical="top" readingOrder="0"/>
    </ndxf>
  </rcc>
  <rcc rId="171" sId="24" odxf="1" dxf="1">
    <nc r="B9" t="inlineStr">
      <is>
        <t>Prebooking</t>
      </is>
    </nc>
    <odxf>
      <alignment vertical="center" readingOrder="0"/>
      <border outline="0">
        <top/>
      </border>
    </odxf>
    <ndxf>
      <alignment vertical="top" readingOrder="0"/>
      <border outline="0">
        <top style="thin">
          <color indexed="64"/>
        </top>
      </border>
    </ndxf>
  </rcc>
  <rcc rId="172" sId="24" odxf="1" dxf="1">
    <nc r="C9" t="inlineStr">
      <is>
        <t xml:space="preserve">Mrs. Michela Magri &amp; Mrs. Irene Chiesa </t>
      </is>
    </nc>
    <odxf>
      <font>
        <b val="0"/>
        <sz val="14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odxf>
    <ndxf>
      <font>
        <b/>
        <sz val="12"/>
        <name val="Verdana"/>
        <scheme val="none"/>
      </font>
      <fill>
        <patternFill patternType="none">
          <bgColor indexed="65"/>
        </patternFill>
      </fill>
      <border outline="0">
        <left/>
        <right/>
        <bottom/>
      </border>
    </ndxf>
  </rcc>
  <rfmt sheetId="24" sqref="D9" start="0" length="0">
    <dxf>
      <alignment vertical="top" readingOrder="0"/>
      <border outline="0">
        <top style="thin">
          <color indexed="64"/>
        </top>
      </border>
    </dxf>
  </rfmt>
  <rcc rId="173" sId="24" odxf="1" dxf="1">
    <nc r="E9">
      <v>2</v>
    </nc>
    <odxf>
      <alignment horizontal="general" vertical="center" readingOrder="0"/>
      <border outline="0">
        <top/>
      </border>
    </odxf>
    <ndxf>
      <alignment horizontal="center" vertical="top" readingOrder="0"/>
      <border outline="0">
        <top style="thin">
          <color indexed="64"/>
        </top>
      </border>
    </ndxf>
  </rcc>
  <rfmt sheetId="24" sqref="F9" start="0" length="0">
    <dxf>
      <alignment horizontal="center" vertical="top" readingOrder="0"/>
      <border outline="0">
        <top style="thin">
          <color indexed="64"/>
        </top>
      </border>
    </dxf>
  </rfmt>
  <rfmt sheetId="24" sqref="G9" start="0" length="0">
    <dxf>
      <alignment horizontal="center" vertical="top" readingOrder="0"/>
      <border outline="0">
        <top style="thin">
          <color indexed="64"/>
        </top>
      </border>
    </dxf>
  </rfmt>
  <rcc rId="174" sId="24" odxf="1" dxf="1">
    <nc r="H9" t="inlineStr">
      <is>
        <t>SALES ENT</t>
      </is>
    </nc>
    <odxf>
      <alignment horizontal="general" vertical="center" readingOrder="0"/>
      <border outline="0">
        <top/>
      </border>
    </odxf>
    <ndxf>
      <alignment horizontal="center" vertical="top" readingOrder="0"/>
      <border outline="0">
        <top style="thin">
          <color indexed="64"/>
        </top>
      </border>
    </ndxf>
  </rcc>
  <rcc rId="175" sId="24" odxf="1" dxf="1">
    <nc r="I9" t="inlineStr">
      <is>
        <t>Susmita/Tarush</t>
      </is>
    </nc>
    <odxf>
      <alignment horizontal="left" vertical="center" readingOrder="0"/>
    </odxf>
    <ndxf>
      <alignment horizontal="center" vertical="top" readingOrder="0"/>
    </ndxf>
  </rcc>
  <rcc rId="176" sId="24" odxf="1" dxf="1">
    <nc r="B10" t="inlineStr">
      <is>
        <t>Prebooking</t>
      </is>
    </nc>
    <odxf>
      <alignment vertical="center" readingOrder="0"/>
    </odxf>
    <ndxf>
      <alignment vertical="top" readingOrder="0"/>
    </ndxf>
  </rcc>
  <rcc rId="177" sId="24" odxf="1" dxf="1">
    <nc r="C10" t="inlineStr">
      <is>
        <t xml:space="preserve">Mrs. Simona Piras &amp; Mrs. Nicoletta Manica </t>
      </is>
    </nc>
    <odxf>
      <font>
        <b val="0"/>
        <sz val="14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2"/>
        <name val="Verdana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fmt sheetId="24" sqref="D10" start="0" length="0">
    <dxf>
      <alignment vertical="top" readingOrder="0"/>
    </dxf>
  </rfmt>
  <rcc rId="178" sId="24" odxf="1" dxf="1">
    <nc r="E10">
      <v>2</v>
    </nc>
    <odxf>
      <alignment horizontal="general" vertical="center" readingOrder="0"/>
    </odxf>
    <ndxf>
      <alignment horizontal="center" vertical="top" readingOrder="0"/>
    </ndxf>
  </rcc>
  <rfmt sheetId="24" sqref="F10" start="0" length="0">
    <dxf>
      <alignment horizontal="center" vertical="top" readingOrder="0"/>
    </dxf>
  </rfmt>
  <rfmt sheetId="24" sqref="G10" start="0" length="0">
    <dxf>
      <alignment horizontal="center" vertical="top" readingOrder="0"/>
    </dxf>
  </rfmt>
  <rcc rId="179" sId="24" odxf="1" dxf="1">
    <nc r="H10" t="inlineStr">
      <is>
        <t>SALES ENT</t>
      </is>
    </nc>
    <odxf>
      <alignment horizontal="general" vertical="center" readingOrder="0"/>
    </odxf>
    <ndxf>
      <alignment horizontal="center" vertical="top" readingOrder="0"/>
    </ndxf>
  </rcc>
  <rcc rId="180" sId="24" odxf="1" dxf="1">
    <nc r="I10" t="inlineStr">
      <is>
        <t>Susmita/Tarush</t>
      </is>
    </nc>
    <odxf>
      <alignment horizontal="left" vertical="center" readingOrder="0"/>
    </odxf>
    <ndxf>
      <alignment horizontal="center" vertical="top" readingOrder="0"/>
    </ndxf>
  </rcc>
  <rcc rId="181" sId="24" odxf="1" dxf="1">
    <oc r="B11" t="inlineStr">
      <is>
        <t xml:space="preserve"> </t>
      </is>
    </oc>
    <nc r="B11" t="inlineStr">
      <is>
        <t>Prebooking</t>
      </is>
    </nc>
    <odxf>
      <alignment vertical="center" readingOrder="0"/>
    </odxf>
    <ndxf>
      <alignment vertical="top" readingOrder="0"/>
    </ndxf>
  </rcc>
  <rcc rId="182" sId="24" odxf="1" dxf="1">
    <nc r="C11" t="inlineStr">
      <is>
        <t xml:space="preserve">Mrs. Valentina Ghio &amp; Mrs. Elisa Loriato </t>
      </is>
    </nc>
    <odxf>
      <font>
        <b val="0"/>
        <sz val="14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2"/>
        <name val="Verdana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fmt sheetId="24" sqref="D11" start="0" length="0">
    <dxf>
      <alignment vertical="top" readingOrder="0"/>
    </dxf>
  </rfmt>
  <rcc rId="183" sId="24" odxf="1" dxf="1">
    <nc r="E11">
      <v>2</v>
    </nc>
    <odxf>
      <alignment horizontal="general" vertical="center" readingOrder="0"/>
    </odxf>
    <ndxf>
      <alignment horizontal="center" vertical="top" readingOrder="0"/>
    </ndxf>
  </rcc>
  <rfmt sheetId="24" sqref="F11" start="0" length="0">
    <dxf>
      <alignment horizontal="center" vertical="top" readingOrder="0"/>
    </dxf>
  </rfmt>
  <rfmt sheetId="24" sqref="G11" start="0" length="0">
    <dxf>
      <alignment horizontal="center" vertical="top" readingOrder="0"/>
    </dxf>
  </rfmt>
  <rcc rId="184" sId="24" odxf="1" dxf="1">
    <nc r="H11" t="inlineStr">
      <is>
        <t>SALES ENT</t>
      </is>
    </nc>
    <odxf>
      <alignment horizontal="general" vertical="center" readingOrder="0"/>
    </odxf>
    <ndxf>
      <alignment horizontal="center" vertical="top" readingOrder="0"/>
    </ndxf>
  </rcc>
  <rcc rId="185" sId="24" odxf="1" dxf="1">
    <nc r="I11" t="inlineStr">
      <is>
        <t>Susmita/Tarush</t>
      </is>
    </nc>
    <odxf>
      <alignment horizontal="left" vertical="center" readingOrder="0"/>
    </odxf>
    <ndxf>
      <alignment horizontal="center" vertical="top" readingOrder="0"/>
    </ndxf>
  </rcc>
  <rcc rId="186" sId="24" odxf="1" dxf="1">
    <nc r="B12" t="inlineStr">
      <is>
        <t>Prebooking</t>
      </is>
    </nc>
    <odxf>
      <alignment vertical="center" readingOrder="0"/>
    </odxf>
    <ndxf>
      <alignment vertical="top" readingOrder="0"/>
    </ndxf>
  </rcc>
  <rcc rId="187" sId="24" odxf="1" dxf="1">
    <nc r="C12" t="inlineStr">
      <is>
        <t>Mrs. Marinella Baglio (Turkish Airlines)</t>
      </is>
    </nc>
    <odxf>
      <font>
        <b val="0"/>
        <sz val="14"/>
      </font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2"/>
        <name val="Verdana"/>
        <scheme val="none"/>
      </font>
      <fill>
        <patternFill patternType="none">
          <bgColor indexed="65"/>
        </patternFill>
      </fill>
      <border outline="0">
        <left/>
        <right/>
        <top/>
        <bottom/>
      </border>
    </ndxf>
  </rcc>
  <rfmt sheetId="24" sqref="D12" start="0" length="0">
    <dxf>
      <alignment vertical="top" readingOrder="0"/>
    </dxf>
  </rfmt>
  <rcc rId="188" sId="24" odxf="1" dxf="1">
    <nc r="E12">
      <v>1</v>
    </nc>
    <odxf>
      <alignment horizontal="general" vertical="center" readingOrder="0"/>
    </odxf>
    <ndxf>
      <alignment horizontal="center" vertical="top" readingOrder="0"/>
    </ndxf>
  </rcc>
  <rfmt sheetId="24" sqref="F12" start="0" length="0">
    <dxf>
      <alignment horizontal="center" vertical="top" readingOrder="0"/>
    </dxf>
  </rfmt>
  <rfmt sheetId="24" sqref="G12" start="0" length="0">
    <dxf>
      <alignment horizontal="center" vertical="top" readingOrder="0"/>
    </dxf>
  </rfmt>
  <rcc rId="189" sId="24" odxf="1" dxf="1">
    <nc r="H12" t="inlineStr">
      <is>
        <t>SALES ENT</t>
      </is>
    </nc>
    <odxf>
      <alignment horizontal="general" vertical="center" readingOrder="0"/>
    </odxf>
    <ndxf>
      <alignment horizontal="center" vertical="top" readingOrder="0"/>
    </ndxf>
  </rcc>
  <rcc rId="190" sId="24" odxf="1" dxf="1">
    <nc r="I12" t="inlineStr">
      <is>
        <t>Susmita/Tarush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" sId="24">
    <nc r="C13" t="inlineStr">
      <is>
        <t>BOOKING CLOSED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" sId="14">
    <nc r="B9">
      <v>628</v>
    </nc>
  </rcc>
  <rcc rId="193" sId="14">
    <nc r="E9">
      <v>2</v>
    </nc>
  </rcc>
  <rcc rId="194" sId="14">
    <nc r="I9" t="inlineStr">
      <is>
        <t>Prem/Faiha</t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" sId="14">
    <nc r="C9" t="inlineStr">
      <is>
        <t>Moritz Scheuermann</t>
      </is>
    </nc>
  </rcc>
  <rcc rId="196" sId="14" numFmtId="19">
    <nc r="D9">
      <v>46156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" sId="14" odxf="1" dxf="1">
    <nc r="B10" t="inlineStr">
      <is>
        <t>619/862</t>
      </is>
    </nc>
    <odxf>
      <alignment vertical="center" readingOrder="0"/>
    </odxf>
    <ndxf>
      <alignment vertical="top" readingOrder="0"/>
    </ndxf>
  </rcc>
  <rcc rId="198" sId="14" odxf="1" dxf="1">
    <nc r="C10" t="inlineStr">
      <is>
        <t>Zhi, Hui</t>
      </is>
    </nc>
    <odxf>
      <alignment horizontal="general" vertical="center" readingOrder="0"/>
    </odxf>
    <ndxf>
      <alignment horizontal="left" vertical="top" readingOrder="0"/>
    </ndxf>
  </rcc>
  <rcc rId="199" sId="14" odxf="1" dxf="1" numFmtId="19">
    <nc r="D10">
      <v>46154</v>
    </nc>
    <odxf>
      <alignment vertical="center" readingOrder="0"/>
    </odxf>
    <ndxf>
      <alignment vertical="top" readingOrder="0"/>
    </ndxf>
  </rcc>
  <rfmt sheetId="14" sqref="E10" start="0" length="0">
    <dxf>
      <alignment horizontal="center" vertical="top" readingOrder="0"/>
    </dxf>
  </rfmt>
  <rfmt sheetId="14" sqref="F10" start="0" length="0">
    <dxf>
      <alignment horizontal="center" vertical="top" readingOrder="0"/>
    </dxf>
  </rfmt>
  <rfmt sheetId="14" sqref="G10" start="0" length="0">
    <dxf>
      <alignment horizontal="center" vertical="top" readingOrder="0"/>
    </dxf>
  </rfmt>
  <rfmt sheetId="14" sqref="H10" start="0" length="0">
    <dxf>
      <alignment horizontal="center" vertical="top" readingOrder="0"/>
    </dxf>
  </rfmt>
  <rcc rId="200" sId="14" odxf="1" dxf="1">
    <nc r="I10" t="inlineStr">
      <is>
        <t>Xuan</t>
      </is>
    </nc>
    <odxf>
      <alignment horizontal="left" vertical="center" readingOrder="0"/>
    </odxf>
    <ndxf>
      <alignment horizontal="center" vertical="top" readingOrder="0"/>
    </ndxf>
  </rcc>
  <rcc rId="201" sId="14">
    <nc r="E10">
      <v>2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" sId="14">
    <oc r="B11" t="inlineStr">
      <is>
        <t xml:space="preserve"> </t>
      </is>
    </oc>
    <nc r="B11">
      <v>648</v>
    </nc>
  </rcc>
  <rcc rId="203" sId="14" odxf="1" dxf="1">
    <nc r="C11" t="inlineStr">
      <is>
        <t>ZHANG/YUANWEN MS</t>
      </is>
    </nc>
    <odxf>
      <alignment horizontal="general" readingOrder="0"/>
    </odxf>
    <ndxf>
      <alignment horizontal="center" readingOrder="0"/>
    </ndxf>
  </rcc>
  <rcc rId="204" sId="14" numFmtId="19">
    <nc r="D11">
      <v>46157</v>
    </nc>
  </rcc>
  <rcc rId="205" sId="14" odxf="1" dxf="1">
    <nc r="E11">
      <v>2</v>
    </nc>
    <odxf>
      <alignment horizontal="general" readingOrder="0"/>
    </odxf>
    <ndxf>
      <alignment horizontal="center" readingOrder="0"/>
    </ndxf>
  </rcc>
  <rfmt sheetId="14" sqref="F11" start="0" length="0">
    <dxf>
      <alignment horizontal="center" readingOrder="0"/>
    </dxf>
  </rfmt>
  <rfmt sheetId="14" sqref="G11" start="0" length="0">
    <dxf>
      <alignment horizontal="center" readingOrder="0"/>
    </dxf>
  </rfmt>
  <rcc rId="206" sId="14" odxf="1" dxf="1">
    <nc r="H11" t="inlineStr">
      <is>
        <t>3085432, 3085433</t>
      </is>
    </nc>
    <odxf>
      <alignment horizontal="general" readingOrder="0"/>
    </odxf>
    <ndxf>
      <alignment horizontal="center" readingOrder="0"/>
    </ndxf>
  </rcc>
  <rcc rId="207" sId="14" odxf="1" dxf="1">
    <nc r="I11" t="inlineStr">
      <is>
        <t>Sharamth/Faiha</t>
      </is>
    </nc>
    <odxf>
      <alignment horizontal="left" readingOrder="0"/>
    </odxf>
    <ndxf>
      <alignment horizontal="center" readingOrder="0"/>
    </ndxf>
  </rcc>
  <rcc rId="208" sId="14">
    <nc r="B12" t="inlineStr">
      <is>
        <t>691/803</t>
      </is>
    </nc>
  </rcc>
  <rcc rId="209" sId="14" odxf="1" dxf="1">
    <nc r="C12" t="inlineStr">
      <is>
        <t>MS.YUAN/CHENGHUI</t>
      </is>
    </nc>
    <odxf>
      <alignment horizontal="general" readingOrder="0"/>
    </odxf>
    <ndxf>
      <alignment horizontal="center" readingOrder="0"/>
    </ndxf>
  </rcc>
  <rcc rId="210" sId="14" numFmtId="19">
    <nc r="D12">
      <v>46154</v>
    </nc>
  </rcc>
  <rcc rId="211" sId="14" odxf="1" dxf="1">
    <nc r="E12">
      <v>2</v>
    </nc>
    <odxf>
      <alignment horizontal="general" readingOrder="0"/>
    </odxf>
    <ndxf>
      <alignment horizontal="center" readingOrder="0"/>
    </ndxf>
  </rcc>
  <rfmt sheetId="14" sqref="F12" start="0" length="0">
    <dxf>
      <alignment horizontal="center" readingOrder="0"/>
    </dxf>
  </rfmt>
  <rfmt sheetId="14" sqref="G12" start="0" length="0">
    <dxf>
      <alignment horizontal="center" readingOrder="0"/>
    </dxf>
  </rfmt>
  <rcc rId="212" sId="14" odxf="1" dxf="1">
    <nc r="H12" t="inlineStr">
      <is>
        <t>3330927, 3330928</t>
      </is>
    </nc>
    <odxf>
      <alignment horizontal="general" readingOrder="0"/>
    </odxf>
    <ndxf>
      <alignment horizontal="center" readingOrder="0"/>
    </ndxf>
  </rcc>
  <rcc rId="213" sId="14" odxf="1" dxf="1">
    <nc r="I12" t="inlineStr">
      <is>
        <t>Sharamth/Faiha</t>
      </is>
    </nc>
    <odxf>
      <alignment horizontal="left" readingOrder="0"/>
    </odxf>
    <ndxf>
      <alignment horizontal="center" readingOrder="0"/>
    </ndxf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" sId="24">
    <oc r="B7" t="inlineStr">
      <is>
        <t>Prebooking</t>
      </is>
    </oc>
    <nc r="B7"/>
  </rcc>
  <rcc rId="215" sId="24">
    <oc r="C7" t="inlineStr">
      <is>
        <t xml:space="preserve">Mr. Claudio Asborno &amp; Mr. Marco Zanchin </t>
      </is>
    </oc>
    <nc r="C7"/>
  </rcc>
  <rcc rId="216" sId="24">
    <oc r="E7">
      <v>2</v>
    </oc>
    <nc r="E7"/>
  </rcc>
  <rcc rId="217" sId="24">
    <oc r="H7" t="inlineStr">
      <is>
        <t>SALES ENT</t>
      </is>
    </oc>
    <nc r="H7"/>
  </rcc>
  <rcc rId="218" sId="24">
    <oc r="I7" t="inlineStr">
      <is>
        <t>Susmita/Tarush</t>
      </is>
    </oc>
    <nc r="I7"/>
  </rcc>
  <rcc rId="219" sId="24">
    <oc r="B8" t="inlineStr">
      <is>
        <t>Prebooking</t>
      </is>
    </oc>
    <nc r="B8"/>
  </rcc>
  <rcc rId="220" sId="24">
    <oc r="C8" t="inlineStr">
      <is>
        <t xml:space="preserve">Mrs. Barbara Mangione &amp; Mrs. Marina Rossi </t>
      </is>
    </oc>
    <nc r="C8"/>
  </rcc>
  <rcc rId="221" sId="24">
    <oc r="E8">
      <v>2</v>
    </oc>
    <nc r="E8"/>
  </rcc>
  <rcc rId="222" sId="24">
    <oc r="H8" t="inlineStr">
      <is>
        <t>SALES ENT</t>
      </is>
    </oc>
    <nc r="H8"/>
  </rcc>
  <rcc rId="223" sId="24">
    <oc r="I8" t="inlineStr">
      <is>
        <t>Susmita/Tarush</t>
      </is>
    </oc>
    <nc r="I8"/>
  </rcc>
  <rcc rId="224" sId="24">
    <oc r="B9" t="inlineStr">
      <is>
        <t>Prebooking</t>
      </is>
    </oc>
    <nc r="B9"/>
  </rcc>
  <rcc rId="225" sId="24">
    <oc r="C9" t="inlineStr">
      <is>
        <t xml:space="preserve">Mrs. Michela Magri &amp; Mrs. Irene Chiesa </t>
      </is>
    </oc>
    <nc r="C9"/>
  </rcc>
  <rcc rId="226" sId="24">
    <oc r="E9">
      <v>2</v>
    </oc>
    <nc r="E9"/>
  </rcc>
  <rcc rId="227" sId="24">
    <oc r="H9" t="inlineStr">
      <is>
        <t>SALES ENT</t>
      </is>
    </oc>
    <nc r="H9"/>
  </rcc>
  <rcc rId="228" sId="24">
    <oc r="I9" t="inlineStr">
      <is>
        <t>Susmita/Tarush</t>
      </is>
    </oc>
    <nc r="I9"/>
  </rcc>
  <rcc rId="229" sId="24">
    <oc r="B10" t="inlineStr">
      <is>
        <t>Prebooking</t>
      </is>
    </oc>
    <nc r="B10"/>
  </rcc>
  <rcc rId="230" sId="24">
    <oc r="C10" t="inlineStr">
      <is>
        <t xml:space="preserve">Mrs. Simona Piras &amp; Mrs. Nicoletta Manica </t>
      </is>
    </oc>
    <nc r="C10"/>
  </rcc>
  <rcc rId="231" sId="24">
    <oc r="E10">
      <v>2</v>
    </oc>
    <nc r="E10"/>
  </rcc>
  <rcc rId="232" sId="24">
    <oc r="H10" t="inlineStr">
      <is>
        <t>SALES ENT</t>
      </is>
    </oc>
    <nc r="H10"/>
  </rcc>
  <rcc rId="233" sId="24">
    <oc r="I10" t="inlineStr">
      <is>
        <t>Susmita/Tarush</t>
      </is>
    </oc>
    <nc r="I10"/>
  </rcc>
  <rcc rId="234" sId="24">
    <oc r="B11" t="inlineStr">
      <is>
        <t>Prebooking</t>
      </is>
    </oc>
    <nc r="B11"/>
  </rcc>
  <rcc rId="235" sId="24">
    <oc r="C11" t="inlineStr">
      <is>
        <t xml:space="preserve">Mrs. Valentina Ghio &amp; Mrs. Elisa Loriato </t>
      </is>
    </oc>
    <nc r="C11"/>
  </rcc>
  <rcc rId="236" sId="24">
    <oc r="E11">
      <v>2</v>
    </oc>
    <nc r="E11"/>
  </rcc>
  <rcc rId="237" sId="24">
    <oc r="H11" t="inlineStr">
      <is>
        <t>SALES ENT</t>
      </is>
    </oc>
    <nc r="H11"/>
  </rcc>
  <rcc rId="238" sId="24">
    <oc r="I11" t="inlineStr">
      <is>
        <t>Susmita/Tarush</t>
      </is>
    </oc>
    <nc r="I11"/>
  </rcc>
  <rcc rId="239" sId="24">
    <oc r="B12" t="inlineStr">
      <is>
        <t>Prebooking</t>
      </is>
    </oc>
    <nc r="B12"/>
  </rcc>
  <rcc rId="240" sId="24">
    <oc r="C12" t="inlineStr">
      <is>
        <t>Mrs. Marinella Baglio (Turkish Airlines)</t>
      </is>
    </oc>
    <nc r="C12"/>
  </rcc>
  <rcc rId="241" sId="24">
    <oc r="E12">
      <v>1</v>
    </oc>
    <nc r="E12"/>
  </rcc>
  <rcc rId="242" sId="24">
    <oc r="H12" t="inlineStr">
      <is>
        <t>SALES ENT</t>
      </is>
    </oc>
    <nc r="H12"/>
  </rcc>
  <rcc rId="243" sId="24">
    <oc r="I12" t="inlineStr">
      <is>
        <t>Susmita/Tarush</t>
      </is>
    </oc>
    <nc r="I12"/>
  </rcc>
  <rcc rId="244" sId="24">
    <oc r="C13" t="inlineStr">
      <is>
        <t>BOOKING CLOSED</t>
      </is>
    </oc>
    <nc r="C13"/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" sId="14">
    <nc r="B13">
      <v>613</v>
    </nc>
  </rcc>
  <rcc rId="246" sId="14">
    <nc r="E13">
      <v>2</v>
    </nc>
  </rcc>
  <rcc rId="247" sId="14">
    <nc r="I13" t="inlineStr">
      <is>
        <t>Faiha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" sId="16" odxf="1" dxf="1">
    <nc r="B7">
      <v>613</v>
    </nc>
    <odxf>
      <border outline="0">
        <top/>
      </border>
    </odxf>
    <ndxf>
      <border outline="0">
        <top style="thin">
          <color indexed="64"/>
        </top>
      </border>
    </ndxf>
  </rcc>
  <rcc rId="249" sId="16">
    <nc r="E7">
      <v>2</v>
    </nc>
  </rcc>
  <rcc rId="250" sId="16">
    <nc r="I7" t="inlineStr">
      <is>
        <t>Faiha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B7:I13">
    <dxf>
      <alignment vertical="bottom" readingOrder="0"/>
    </dxf>
  </rfmt>
  <rfmt sheetId="14" sqref="B7:I13">
    <dxf>
      <alignment horizontal="general" readingOrder="0"/>
    </dxf>
  </rfmt>
  <rfmt sheetId="14" sqref="B7:I13">
    <dxf>
      <alignment vertical="center" readingOrder="0"/>
    </dxf>
  </rfmt>
  <rfmt sheetId="14" sqref="B7:I13">
    <dxf>
      <alignment horizontal="center" readingOrder="0"/>
    </dxf>
  </rfmt>
  <rfmt sheetId="14" sqref="B13" start="0" length="0">
    <dxf>
      <border outline="0">
        <top style="thin">
          <color indexed="64"/>
        </top>
      </border>
    </dxf>
  </rfmt>
  <rcc rId="251" sId="14">
    <nc r="C13" t="inlineStr">
      <is>
        <t>Juhwan Kim</t>
      </is>
    </nc>
  </rcc>
  <rcc rId="252" sId="14" numFmtId="19">
    <nc r="D13">
      <v>46157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" sId="14">
    <oc r="B8">
      <v>624</v>
    </oc>
    <nc r="B8" t="inlineStr">
      <is>
        <t>624/860</t>
      </is>
    </nc>
  </rcc>
  <rfmt sheetId="14" sqref="J13 J8">
    <dxf>
      <fill>
        <patternFill patternType="solid">
          <bgColor rgb="FFFF0000"/>
        </patternFill>
      </fill>
    </dxf>
  </rfmt>
  <rfmt sheetId="14" sqref="J11">
    <dxf>
      <fill>
        <patternFill patternType="solid">
          <bgColor rgb="FF92D050"/>
        </patternFill>
      </fill>
    </dxf>
  </rfmt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J9" start="0" length="0">
    <dxf>
      <fill>
        <patternFill patternType="solid">
          <bgColor rgb="FFFF0000"/>
        </patternFill>
      </fill>
    </dxf>
  </rfmt>
  <rcc rId="254" sId="14">
    <oc r="B7">
      <v>649</v>
    </oc>
    <nc r="B7" t="inlineStr">
      <is>
        <t>649/868</t>
      </is>
    </nc>
  </rcc>
  <rfmt sheetId="14" sqref="J7" start="0" length="0">
    <dxf>
      <fill>
        <patternFill patternType="solid">
          <bgColor rgb="FFFF0000"/>
        </patternFill>
      </fill>
    </dxf>
  </rfmt>
  <rfmt sheetId="14" sqref="J10" start="0" length="0">
    <dxf>
      <fill>
        <patternFill patternType="solid">
          <bgColor rgb="FFFF0000"/>
        </patternFill>
      </fill>
    </dxf>
  </rfmt>
  <rfmt sheetId="14" sqref="J12" start="0" length="0">
    <dxf>
      <fill>
        <patternFill patternType="solid">
          <bgColor rgb="FFFF0000"/>
        </patternFill>
      </fill>
    </dxf>
  </rfmt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J9 C10 J10 J12">
    <dxf>
      <fill>
        <patternFill>
          <bgColor rgb="FF92D050"/>
        </patternFill>
      </fill>
    </dxf>
  </rfmt>
  <rfmt sheetId="14" sqref="C10">
    <dxf>
      <fill>
        <patternFill patternType="none">
          <bgColor auto="1"/>
        </patternFill>
      </fill>
    </dxf>
  </rfmt>
  <rcc rId="255" sId="15" odxf="1" dxf="1">
    <nc r="B7">
      <v>613</v>
    </nc>
    <odxf>
      <border outline="0">
        <top/>
      </border>
    </odxf>
    <ndxf>
      <border outline="0">
        <top style="thin">
          <color indexed="64"/>
        </top>
      </border>
    </ndxf>
  </rcc>
  <rcc rId="256" sId="15" odxf="1" dxf="1">
    <nc r="C7" t="inlineStr">
      <is>
        <t>Juhwan Kim</t>
      </is>
    </nc>
    <odxf>
      <alignment horizontal="general" readingOrder="0"/>
    </odxf>
    <ndxf>
      <alignment horizontal="center" readingOrder="0"/>
    </ndxf>
  </rcc>
  <rcc rId="257" sId="15" numFmtId="19">
    <nc r="D7">
      <v>46157</v>
    </nc>
  </rcc>
  <rcc rId="258" sId="15" odxf="1" dxf="1">
    <nc r="E7">
      <v>2</v>
    </nc>
    <odxf>
      <alignment horizontal="general" readingOrder="0"/>
    </odxf>
    <ndxf>
      <alignment horizontal="center" readingOrder="0"/>
    </ndxf>
  </rcc>
  <rfmt sheetId="15" sqref="F7" start="0" length="0">
    <dxf>
      <alignment horizontal="center" readingOrder="0"/>
    </dxf>
  </rfmt>
  <rfmt sheetId="15" sqref="G7" start="0" length="0">
    <dxf>
      <alignment horizontal="center" readingOrder="0"/>
    </dxf>
  </rfmt>
  <rfmt sheetId="15" sqref="H7" start="0" length="0">
    <dxf>
      <alignment horizontal="center" readingOrder="0"/>
    </dxf>
  </rfmt>
  <rcc rId="259" sId="15" odxf="1" dxf="1">
    <nc r="I7" t="inlineStr">
      <is>
        <t>Faiha</t>
      </is>
    </nc>
    <odxf>
      <alignment horizontal="left" readingOrder="0"/>
    </odxf>
    <ndxf>
      <alignment horizontal="center" readingOrder="0"/>
    </ndxf>
  </rcc>
  <rcc rId="260" sId="16" odxf="1" dxf="1">
    <nc r="C7" t="inlineStr">
      <is>
        <t>Juhwan Kim</t>
      </is>
    </nc>
    <odxf>
      <alignment horizontal="general" readingOrder="0"/>
    </odxf>
    <ndxf>
      <alignment horizontal="center" readingOrder="0"/>
    </ndxf>
  </rcc>
  <rcc rId="261" sId="16" numFmtId="19">
    <nc r="D7">
      <v>46157</v>
    </nc>
  </rcc>
  <rfmt sheetId="16" sqref="E7" start="0" length="0">
    <dxf>
      <alignment horizontal="center" readingOrder="0"/>
    </dxf>
  </rfmt>
  <rfmt sheetId="16" sqref="F7" start="0" length="0">
    <dxf>
      <alignment horizontal="center" readingOrder="0"/>
    </dxf>
  </rfmt>
  <rfmt sheetId="16" sqref="G7" start="0" length="0">
    <dxf>
      <alignment horizontal="center" readingOrder="0"/>
    </dxf>
  </rfmt>
  <rfmt sheetId="16" sqref="H7" start="0" length="0">
    <dxf>
      <alignment horizontal="center" readingOrder="0"/>
    </dxf>
  </rfmt>
  <rfmt sheetId="16" sqref="I7" start="0" length="0">
    <dxf>
      <alignment horizontal="center" readingOrder="0"/>
    </dxf>
  </rfmt>
  <rfmt sheetId="14" sqref="J13" start="0" length="0">
    <dxf>
      <fill>
        <patternFill>
          <bgColor rgb="FF92D050"/>
        </patternFill>
      </fill>
    </dxf>
  </rfmt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E7:E13">
    <dxf>
      <alignment horizontal="center" readingOrder="0"/>
    </dxf>
  </rfmt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" sId="15">
    <oc r="E7">
      <v>2</v>
    </oc>
    <nc r="E7" t="inlineStr">
      <is>
        <t>CXL2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F96E8B-9CB5-4FE7-993E-F1AFEC90CCF6}" action="delete"/>
  <rcv guid="{48F96E8B-9CB5-4FE7-993E-F1AFEC90CCF6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4">
  <userInfo guid="{4B850181-928D-4127-BE06-EB4D11F22A30}" name="Dive Centre Office" id="-387609423" dateTime="2026-05-06T14:58:38"/>
  <userInfo guid="{8C93E12A-E3BA-4D60-B063-95E6ED6F3066}" name="Dive Centre Office" id="-387631513" dateTime="2026-05-12T08:37:40"/>
  <userInfo guid="{30C3819B-4AFA-4DA5-A68B-07B0D44B1764}" name="Dive Centre Office" id="-387617219" dateTime="2026-05-14T08:57:33"/>
  <userInfo guid="{CDA07BDD-D4C9-4B72-B256-2374140FBB0E}" name="Assistant DiveCenter Manager" id="-356346816" dateTime="2026-05-15T08:51:06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06/relationships/wsSortMap" Target="wsSortMap1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"/>
  <sheetViews>
    <sheetView zoomScaleNormal="100" workbookViewId="0">
      <selection activeCell="B7" sqref="B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>
        <v>332</v>
      </c>
      <c r="C7" s="15" t="s">
        <v>10</v>
      </c>
      <c r="D7" s="16">
        <v>46146</v>
      </c>
      <c r="E7" s="15">
        <v>5</v>
      </c>
      <c r="F7" s="15"/>
      <c r="G7" s="15"/>
      <c r="H7" s="15" t="s">
        <v>11</v>
      </c>
      <c r="I7" s="15" t="s">
        <v>12</v>
      </c>
    </row>
    <row r="8" spans="1:9" ht="18" customHeight="1" x14ac:dyDescent="0.35">
      <c r="A8" s="13">
        <v>2</v>
      </c>
      <c r="B8" s="14">
        <v>674</v>
      </c>
      <c r="C8" s="15" t="s">
        <v>13</v>
      </c>
      <c r="D8" s="16">
        <v>46143</v>
      </c>
      <c r="E8" s="15" t="s">
        <v>14</v>
      </c>
      <c r="F8" s="15"/>
      <c r="G8" s="15"/>
      <c r="H8" s="15" t="s">
        <v>11</v>
      </c>
      <c r="I8" s="15" t="s">
        <v>15</v>
      </c>
    </row>
    <row r="9" spans="1:9" ht="18" customHeight="1" x14ac:dyDescent="0.35">
      <c r="A9" s="13">
        <v>3</v>
      </c>
      <c r="B9" s="14">
        <v>677</v>
      </c>
      <c r="C9" s="15" t="s">
        <v>16</v>
      </c>
      <c r="D9" s="16">
        <v>46145</v>
      </c>
      <c r="E9" s="15" t="s">
        <v>17</v>
      </c>
      <c r="F9" s="15"/>
      <c r="G9" s="15"/>
      <c r="H9" s="15" t="s">
        <v>11</v>
      </c>
      <c r="I9" s="15" t="s">
        <v>12</v>
      </c>
    </row>
    <row r="10" spans="1:9" ht="18" customHeight="1" x14ac:dyDescent="0.35">
      <c r="A10" s="13">
        <v>4</v>
      </c>
      <c r="B10" s="14" t="s">
        <v>18</v>
      </c>
      <c r="C10" s="15" t="s">
        <v>19</v>
      </c>
      <c r="D10" s="16">
        <v>46144</v>
      </c>
      <c r="E10" s="15">
        <v>4</v>
      </c>
      <c r="F10" s="15"/>
      <c r="G10" s="15"/>
      <c r="H10" s="15" t="s">
        <v>11</v>
      </c>
      <c r="I10" s="15" t="s">
        <v>20</v>
      </c>
    </row>
    <row r="11" spans="1:9" ht="18" customHeight="1" x14ac:dyDescent="0.35">
      <c r="A11" s="13">
        <v>5</v>
      </c>
      <c r="B11" s="14"/>
      <c r="C11" s="17"/>
      <c r="D11" s="16"/>
      <c r="E11" s="15"/>
      <c r="F11" s="17"/>
      <c r="G11" s="17"/>
      <c r="H11" s="17"/>
      <c r="I11" s="18"/>
    </row>
    <row r="12" spans="1:9" ht="18" customHeight="1" x14ac:dyDescent="0.35">
      <c r="A12" s="13">
        <v>6</v>
      </c>
      <c r="B12" s="14"/>
      <c r="C12" s="17"/>
      <c r="D12" s="16"/>
      <c r="E12" s="15"/>
      <c r="F12" s="17"/>
      <c r="G12" s="17"/>
      <c r="H12" s="17"/>
      <c r="I12" s="18"/>
    </row>
    <row r="13" spans="1:9" ht="18" customHeight="1" x14ac:dyDescent="0.35">
      <c r="A13" s="13">
        <v>7</v>
      </c>
      <c r="B13" s="14"/>
      <c r="C13" s="17"/>
      <c r="D13" s="16"/>
      <c r="E13" s="15"/>
      <c r="F13" s="17"/>
      <c r="G13" s="17"/>
      <c r="H13" s="17"/>
      <c r="I13" s="18"/>
    </row>
    <row r="14" spans="1:9" ht="18" customHeight="1" x14ac:dyDescent="0.35">
      <c r="A14" s="13">
        <v>8</v>
      </c>
      <c r="B14" s="14"/>
      <c r="C14" s="17"/>
      <c r="D14" s="16"/>
      <c r="E14" s="15"/>
      <c r="F14" s="17"/>
      <c r="G14" s="17"/>
      <c r="H14" s="17"/>
      <c r="I14" s="18"/>
    </row>
    <row r="15" spans="1:9" ht="18" customHeight="1" x14ac:dyDescent="0.35">
      <c r="A15" s="2"/>
      <c r="B15" s="2"/>
      <c r="C15" s="2" t="s">
        <v>21</v>
      </c>
      <c r="D15" s="19" t="s">
        <v>22</v>
      </c>
      <c r="E15" s="20">
        <f>SUM(E7:E14)</f>
        <v>9</v>
      </c>
      <c r="F15" s="20">
        <f>SUM(F7:F14)</f>
        <v>0</v>
      </c>
      <c r="G15" s="2"/>
      <c r="H15" s="2"/>
      <c r="I15" s="2"/>
    </row>
    <row r="16" spans="1:9" ht="18" customHeight="1" x14ac:dyDescent="0.35">
      <c r="A16" s="2"/>
      <c r="B16" s="21"/>
      <c r="C16" s="21"/>
      <c r="D16" s="22"/>
      <c r="E16" s="21"/>
      <c r="F16" s="21"/>
      <c r="G16" s="21"/>
      <c r="H16" s="2"/>
      <c r="I16" s="2"/>
    </row>
    <row r="17" spans="2:7" x14ac:dyDescent="0.3">
      <c r="B17" s="21" t="s">
        <v>23</v>
      </c>
    </row>
    <row r="18" spans="2:7" x14ac:dyDescent="0.3">
      <c r="B18" s="23" t="s">
        <v>24</v>
      </c>
      <c r="C18" s="24"/>
      <c r="D18" s="25"/>
      <c r="E18" s="24"/>
      <c r="F18" s="24"/>
      <c r="G18" s="24"/>
    </row>
    <row r="19" spans="2:7" x14ac:dyDescent="0.3">
      <c r="B19" s="23" t="s">
        <v>25</v>
      </c>
      <c r="C19" s="24"/>
      <c r="D19" s="25"/>
      <c r="E19" s="24"/>
      <c r="F19" s="24"/>
      <c r="G19" s="24"/>
    </row>
    <row r="20" spans="2:7" x14ac:dyDescent="0.3">
      <c r="B20" s="23" t="s">
        <v>26</v>
      </c>
      <c r="C20" s="24"/>
      <c r="D20" s="25"/>
      <c r="E20" s="24"/>
      <c r="F20" s="24"/>
      <c r="G20" s="24"/>
    </row>
    <row r="21" spans="2:7" x14ac:dyDescent="0.3">
      <c r="B21" s="23" t="s">
        <v>27</v>
      </c>
      <c r="C21" s="24"/>
      <c r="D21" s="25"/>
      <c r="E21" s="24"/>
      <c r="F21" s="24"/>
      <c r="G21" s="24"/>
    </row>
    <row r="22" spans="2:7" x14ac:dyDescent="0.3">
      <c r="B22" s="26" t="s">
        <v>28</v>
      </c>
    </row>
    <row r="23" spans="2:7" x14ac:dyDescent="0.3">
      <c r="B23" s="26" t="s">
        <v>29</v>
      </c>
    </row>
  </sheetData>
  <customSheetViews>
    <customSheetView guid="{48F96E8B-9CB5-4FE7-993E-F1AFEC90CCF6}" fitToPage="1">
      <selection activeCell="B7" sqref="B7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C13" sqref="C13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>
        <v>305</v>
      </c>
      <c r="C7" s="15" t="s">
        <v>30</v>
      </c>
      <c r="D7" s="16">
        <v>46145</v>
      </c>
      <c r="E7" s="15" t="s">
        <v>14</v>
      </c>
      <c r="F7" s="15"/>
      <c r="G7" s="15"/>
      <c r="H7" s="15" t="s">
        <v>31</v>
      </c>
      <c r="I7" s="15" t="s">
        <v>15</v>
      </c>
    </row>
    <row r="8" spans="1:9" ht="18" customHeight="1" x14ac:dyDescent="0.35">
      <c r="A8" s="27">
        <v>2</v>
      </c>
      <c r="B8" s="15">
        <v>603</v>
      </c>
      <c r="C8" s="15" t="s">
        <v>32</v>
      </c>
      <c r="D8" s="16">
        <v>46144</v>
      </c>
      <c r="E8" s="15">
        <v>2</v>
      </c>
      <c r="F8" s="15"/>
      <c r="G8" s="15"/>
      <c r="H8" s="15" t="s">
        <v>11</v>
      </c>
      <c r="I8" s="15" t="s">
        <v>33</v>
      </c>
    </row>
    <row r="9" spans="1:9" ht="18" customHeight="1" x14ac:dyDescent="0.35">
      <c r="A9" s="27">
        <v>3</v>
      </c>
      <c r="B9" s="14">
        <v>677</v>
      </c>
      <c r="C9" s="14" t="s">
        <v>16</v>
      </c>
      <c r="D9" s="28">
        <v>46145</v>
      </c>
      <c r="E9" s="14" t="s">
        <v>14</v>
      </c>
      <c r="F9" s="14"/>
      <c r="G9" s="14"/>
      <c r="H9" s="15" t="s">
        <v>11</v>
      </c>
      <c r="I9" s="15" t="s">
        <v>12</v>
      </c>
    </row>
    <row r="10" spans="1:9" ht="18" customHeight="1" x14ac:dyDescent="0.35">
      <c r="A10" s="27">
        <v>4</v>
      </c>
      <c r="B10" s="15">
        <v>895</v>
      </c>
      <c r="C10" s="15" t="s">
        <v>34</v>
      </c>
      <c r="D10" s="16">
        <v>46146</v>
      </c>
      <c r="E10" s="15" t="s">
        <v>14</v>
      </c>
      <c r="F10" s="15"/>
      <c r="G10" s="15"/>
      <c r="H10" s="15" t="s">
        <v>11</v>
      </c>
      <c r="I10" s="15" t="s">
        <v>35</v>
      </c>
    </row>
    <row r="11" spans="1:9" ht="18" customHeight="1" x14ac:dyDescent="0.35">
      <c r="A11" s="27">
        <v>5</v>
      </c>
      <c r="B11" s="15"/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2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C13" sqref="C13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C14" sqref="C14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3/05/2026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29"/>
      <c r="C7" s="30"/>
      <c r="D7" s="31"/>
      <c r="E7" s="29"/>
      <c r="F7" s="29"/>
      <c r="G7" s="29"/>
      <c r="H7" s="29"/>
      <c r="I7" s="29"/>
    </row>
    <row r="8" spans="1:9" ht="18" customHeight="1" x14ac:dyDescent="0.35">
      <c r="A8" s="27">
        <v>2</v>
      </c>
      <c r="B8" s="29"/>
      <c r="C8" s="30"/>
      <c r="D8" s="31"/>
      <c r="E8" s="29"/>
      <c r="F8" s="29"/>
      <c r="G8" s="29"/>
      <c r="H8" s="29"/>
      <c r="I8" s="29"/>
    </row>
    <row r="9" spans="1:9" ht="18" customHeight="1" x14ac:dyDescent="0.35">
      <c r="A9" s="27">
        <v>3</v>
      </c>
      <c r="B9" s="32"/>
      <c r="C9" s="33"/>
      <c r="D9" s="34"/>
      <c r="E9" s="32"/>
      <c r="F9" s="32"/>
      <c r="G9" s="32"/>
      <c r="H9" s="32"/>
      <c r="I9" s="32"/>
    </row>
    <row r="10" spans="1:9" ht="18" customHeight="1" x14ac:dyDescent="0.35">
      <c r="A10" s="27">
        <v>4</v>
      </c>
      <c r="B10" s="32"/>
      <c r="C10" s="33"/>
      <c r="D10" s="34"/>
      <c r="E10" s="32"/>
      <c r="F10" s="32"/>
      <c r="G10" s="32"/>
      <c r="H10" s="32"/>
      <c r="I10" s="32"/>
    </row>
    <row r="11" spans="1:9" ht="18" customHeight="1" x14ac:dyDescent="0.35">
      <c r="A11" s="27">
        <v>5</v>
      </c>
      <c r="B11" s="35"/>
      <c r="C11" s="36"/>
      <c r="D11" s="37"/>
      <c r="E11" s="36"/>
      <c r="F11" s="36"/>
      <c r="G11" s="36"/>
      <c r="H11" s="36"/>
      <c r="I11" s="38"/>
    </row>
    <row r="12" spans="1:9" ht="18" customHeight="1" x14ac:dyDescent="0.35">
      <c r="A12" s="27">
        <v>6</v>
      </c>
      <c r="B12" s="35"/>
      <c r="C12" s="36"/>
      <c r="D12" s="37"/>
      <c r="E12" s="36"/>
      <c r="F12" s="36"/>
      <c r="G12" s="36"/>
      <c r="H12" s="36"/>
      <c r="I12" s="38"/>
    </row>
    <row r="13" spans="1:9" ht="18" customHeight="1" x14ac:dyDescent="0.35">
      <c r="A13" s="27">
        <v>7</v>
      </c>
      <c r="B13" s="35"/>
      <c r="C13" s="36"/>
      <c r="D13" s="37"/>
      <c r="E13" s="36"/>
      <c r="F13" s="36"/>
      <c r="G13" s="36"/>
      <c r="H13" s="36"/>
      <c r="I13" s="3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C14" sqref="C14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C15" sqref="C15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4/05/2026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/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C15" sqref="C15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F7" sqref="F7:F16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5/05/2026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5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/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/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F7" sqref="F7:F16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zoomScaleNormal="100" workbookViewId="0">
      <selection activeCell="G3" sqref="G3"/>
    </sheetView>
  </sheetViews>
  <sheetFormatPr defaultRowHeight="14.4" customHeight="1" x14ac:dyDescent="0.3"/>
  <cols>
    <col min="3" max="3" width="10.44140625" customWidth="1"/>
    <col min="4" max="4" width="33" customWidth="1"/>
    <col min="5" max="5" width="16.88671875" style="1" customWidth="1"/>
    <col min="6" max="6" width="8.33203125" customWidth="1"/>
    <col min="7" max="7" width="8" customWidth="1"/>
    <col min="8" max="8" width="10.109375" customWidth="1"/>
    <col min="9" max="9" width="21.109375" customWidth="1"/>
    <col min="10" max="10" width="24.5546875" customWidth="1"/>
  </cols>
  <sheetData>
    <row r="1" spans="1:10" ht="18" customHeight="1" x14ac:dyDescent="0.35">
      <c r="A1" s="2"/>
      <c r="B1" s="2"/>
      <c r="C1" s="2"/>
      <c r="D1" s="2"/>
      <c r="E1" s="3"/>
      <c r="F1" s="2"/>
      <c r="G1" s="2"/>
      <c r="H1" s="2"/>
      <c r="I1" s="2"/>
      <c r="J1" s="2"/>
    </row>
    <row r="2" spans="1:10" ht="18" customHeight="1" x14ac:dyDescent="0.35">
      <c r="A2" s="2"/>
      <c r="B2" s="2"/>
      <c r="C2" s="2"/>
      <c r="D2" s="2"/>
      <c r="E2" s="3"/>
      <c r="F2" s="2"/>
      <c r="G2" s="2"/>
      <c r="H2" s="2"/>
      <c r="I2" s="2"/>
      <c r="J2" s="2"/>
    </row>
    <row r="3" spans="1:10" ht="18" customHeight="1" x14ac:dyDescent="0.35">
      <c r="A3" s="2"/>
      <c r="B3" s="2"/>
      <c r="C3" s="2"/>
      <c r="D3" s="2"/>
      <c r="E3" s="3"/>
      <c r="F3" s="2"/>
      <c r="G3" s="2"/>
      <c r="H3" s="2"/>
      <c r="I3" s="2"/>
      <c r="J3" s="2"/>
    </row>
    <row r="4" spans="1:10" ht="18" customHeight="1" x14ac:dyDescent="0.35">
      <c r="A4" s="4"/>
      <c r="B4" s="4"/>
      <c r="C4" s="4"/>
      <c r="D4" s="4"/>
      <c r="E4" s="5"/>
      <c r="F4" s="4"/>
      <c r="G4" s="4"/>
      <c r="H4" s="4"/>
      <c r="I4" s="4"/>
      <c r="J4" s="4"/>
    </row>
    <row r="5" spans="1:10" ht="23.4" customHeight="1" x14ac:dyDescent="0.45">
      <c r="A5" s="75" t="s">
        <v>0</v>
      </c>
      <c r="B5" s="77"/>
      <c r="C5" s="76"/>
      <c r="D5" s="76"/>
      <c r="E5" s="76"/>
      <c r="F5" s="76"/>
      <c r="G5" s="76"/>
      <c r="H5" s="76"/>
      <c r="I5" s="6" t="s">
        <v>1</v>
      </c>
      <c r="J5" s="7" t="str">
        <f ca="1">CONCATENATE((MID(CELL("filename",J5),FIND("]",CELL("filename",J5))+1,25)),"/05/2026")</f>
        <v>06/05/2026</v>
      </c>
    </row>
    <row r="6" spans="1:10" ht="18.600000000000001" customHeight="1" x14ac:dyDescent="0.35">
      <c r="A6" s="8"/>
      <c r="B6" s="66"/>
      <c r="C6" s="9" t="s">
        <v>2</v>
      </c>
      <c r="D6" s="9" t="s">
        <v>3</v>
      </c>
      <c r="E6" s="10" t="s">
        <v>4</v>
      </c>
      <c r="F6" s="9" t="s">
        <v>5</v>
      </c>
      <c r="G6" s="9" t="s">
        <v>6</v>
      </c>
      <c r="H6" s="9" t="s">
        <v>7</v>
      </c>
      <c r="I6" s="11" t="s">
        <v>8</v>
      </c>
      <c r="J6" s="12" t="s">
        <v>9</v>
      </c>
    </row>
    <row r="7" spans="1:10" ht="18" customHeight="1" x14ac:dyDescent="0.35">
      <c r="A7" s="13">
        <v>1</v>
      </c>
      <c r="B7" s="13"/>
      <c r="C7" s="15">
        <v>841</v>
      </c>
      <c r="D7" s="15" t="s">
        <v>37</v>
      </c>
      <c r="E7" s="16">
        <v>46152</v>
      </c>
      <c r="F7" s="15">
        <v>2</v>
      </c>
      <c r="G7" s="15"/>
      <c r="H7" s="15"/>
      <c r="I7" s="15"/>
      <c r="J7" s="15" t="s">
        <v>38</v>
      </c>
    </row>
    <row r="8" spans="1:10" ht="18" customHeight="1" x14ac:dyDescent="0.35">
      <c r="A8" s="27">
        <v>2</v>
      </c>
      <c r="B8" s="27"/>
      <c r="C8" s="15">
        <v>842</v>
      </c>
      <c r="D8" s="15" t="s">
        <v>39</v>
      </c>
      <c r="E8" s="16">
        <v>46152</v>
      </c>
      <c r="F8" s="15">
        <v>2</v>
      </c>
      <c r="G8" s="15"/>
      <c r="H8" s="15"/>
      <c r="I8" s="15"/>
      <c r="J8" s="15" t="s">
        <v>38</v>
      </c>
    </row>
    <row r="9" spans="1:10" ht="18" customHeight="1" x14ac:dyDescent="0.35">
      <c r="A9" s="27">
        <v>3</v>
      </c>
      <c r="B9" s="67"/>
      <c r="C9" s="15" t="s">
        <v>123</v>
      </c>
      <c r="D9" s="15" t="s">
        <v>40</v>
      </c>
      <c r="E9" s="16">
        <v>46146</v>
      </c>
      <c r="F9" s="15">
        <v>2</v>
      </c>
      <c r="G9" s="14"/>
      <c r="H9" s="14"/>
      <c r="I9" s="14"/>
      <c r="J9" s="15" t="s">
        <v>35</v>
      </c>
    </row>
    <row r="10" spans="1:10" ht="18" customHeight="1" x14ac:dyDescent="0.35">
      <c r="A10" s="27">
        <v>4</v>
      </c>
      <c r="B10" s="67"/>
      <c r="C10" s="15">
        <v>876</v>
      </c>
      <c r="D10" s="15" t="s">
        <v>41</v>
      </c>
      <c r="E10" s="16">
        <v>46149</v>
      </c>
      <c r="F10" s="15">
        <v>2</v>
      </c>
      <c r="G10" s="15"/>
      <c r="H10" s="15"/>
      <c r="I10" s="15"/>
      <c r="J10" s="15" t="s">
        <v>35</v>
      </c>
    </row>
    <row r="11" spans="1:10" ht="18" customHeight="1" x14ac:dyDescent="0.35">
      <c r="A11" s="27">
        <v>5</v>
      </c>
      <c r="B11" s="67"/>
      <c r="C11" s="15">
        <v>685</v>
      </c>
      <c r="D11" s="15" t="s">
        <v>42</v>
      </c>
      <c r="E11" s="16">
        <v>46147</v>
      </c>
      <c r="F11" s="15">
        <v>2</v>
      </c>
      <c r="G11" s="15"/>
      <c r="H11" s="15"/>
      <c r="I11" s="15"/>
      <c r="J11" s="15" t="s">
        <v>15</v>
      </c>
    </row>
    <row r="12" spans="1:10" ht="18" customHeight="1" x14ac:dyDescent="0.35">
      <c r="A12" s="27">
        <v>6</v>
      </c>
      <c r="B12" s="67"/>
      <c r="C12" s="15">
        <v>310</v>
      </c>
      <c r="D12" s="15" t="s">
        <v>43</v>
      </c>
      <c r="E12" s="16">
        <v>46150</v>
      </c>
      <c r="F12" s="15">
        <v>2</v>
      </c>
      <c r="G12" s="15"/>
      <c r="H12" s="15"/>
      <c r="I12" s="15"/>
      <c r="J12" s="15" t="s">
        <v>35</v>
      </c>
    </row>
    <row r="13" spans="1:10" ht="18" customHeight="1" x14ac:dyDescent="0.35">
      <c r="A13" s="27">
        <v>7</v>
      </c>
      <c r="B13" s="67"/>
      <c r="C13" s="15">
        <v>621</v>
      </c>
      <c r="D13" s="15" t="s">
        <v>44</v>
      </c>
      <c r="E13" s="16">
        <v>46148</v>
      </c>
      <c r="F13" s="15">
        <v>2</v>
      </c>
      <c r="G13" s="15"/>
      <c r="H13" s="15"/>
      <c r="I13" s="15"/>
      <c r="J13" s="15" t="s">
        <v>45</v>
      </c>
    </row>
    <row r="14" spans="1:10" ht="18" customHeight="1" x14ac:dyDescent="0.35">
      <c r="A14" s="27">
        <v>8</v>
      </c>
      <c r="B14" s="67"/>
      <c r="C14" s="15">
        <v>878</v>
      </c>
      <c r="D14" s="15" t="s">
        <v>46</v>
      </c>
      <c r="E14" s="16">
        <v>46149</v>
      </c>
      <c r="F14" s="15">
        <v>2</v>
      </c>
      <c r="G14" s="15"/>
      <c r="H14" s="15"/>
      <c r="I14" s="15"/>
      <c r="J14" s="15" t="s">
        <v>35</v>
      </c>
    </row>
    <row r="15" spans="1:10" ht="18" customHeight="1" x14ac:dyDescent="0.35">
      <c r="A15" s="27">
        <v>9</v>
      </c>
      <c r="B15" s="27"/>
      <c r="C15" s="15">
        <v>689</v>
      </c>
      <c r="D15" s="17" t="s">
        <v>121</v>
      </c>
      <c r="E15" s="16">
        <v>46148</v>
      </c>
      <c r="F15" s="17">
        <v>2</v>
      </c>
      <c r="G15" s="17"/>
      <c r="H15" s="17"/>
      <c r="I15" s="17"/>
      <c r="J15" s="18" t="s">
        <v>15</v>
      </c>
    </row>
    <row r="16" spans="1:10" ht="18" customHeight="1" x14ac:dyDescent="0.35">
      <c r="A16" s="27">
        <v>10</v>
      </c>
      <c r="B16" s="27"/>
      <c r="C16" s="15">
        <v>814</v>
      </c>
      <c r="D16" s="17" t="s">
        <v>125</v>
      </c>
      <c r="E16" s="16">
        <v>46149</v>
      </c>
      <c r="F16" s="17">
        <v>2</v>
      </c>
      <c r="G16" s="17"/>
      <c r="H16" s="17"/>
      <c r="I16" s="17"/>
      <c r="J16" s="18" t="s">
        <v>124</v>
      </c>
    </row>
    <row r="17" spans="1:10" ht="18" customHeight="1" x14ac:dyDescent="0.35">
      <c r="A17" s="27">
        <v>11</v>
      </c>
      <c r="B17" s="67"/>
      <c r="C17" s="15">
        <v>319</v>
      </c>
      <c r="D17" s="51" t="s">
        <v>122</v>
      </c>
      <c r="E17" s="16">
        <v>46149</v>
      </c>
      <c r="F17" s="15">
        <v>1</v>
      </c>
      <c r="G17" s="17"/>
      <c r="H17" s="17"/>
      <c r="I17" s="17"/>
      <c r="J17" s="18" t="s">
        <v>35</v>
      </c>
    </row>
    <row r="18" spans="1:10" ht="18" customHeight="1" x14ac:dyDescent="0.35">
      <c r="A18" s="2"/>
      <c r="B18" s="2"/>
      <c r="C18" s="2"/>
      <c r="D18" s="2" t="s">
        <v>21</v>
      </c>
      <c r="E18" s="19" t="s">
        <v>22</v>
      </c>
      <c r="F18" s="20">
        <f>SUM(F7:F17)</f>
        <v>21</v>
      </c>
      <c r="G18" s="20">
        <f>SUM(G7:G17)</f>
        <v>0</v>
      </c>
      <c r="H18" s="2"/>
      <c r="I18" s="2"/>
      <c r="J18" s="2"/>
    </row>
    <row r="19" spans="1:10" ht="18" customHeight="1" x14ac:dyDescent="0.35">
      <c r="A19" s="2"/>
      <c r="B19" s="2"/>
      <c r="C19" s="21"/>
      <c r="D19" s="21"/>
      <c r="E19" s="22"/>
      <c r="F19" s="21"/>
      <c r="G19" s="21"/>
      <c r="H19" s="21"/>
      <c r="I19" s="2"/>
      <c r="J19" s="2"/>
    </row>
    <row r="20" spans="1:10" x14ac:dyDescent="0.3">
      <c r="C20" s="21" t="s">
        <v>23</v>
      </c>
    </row>
    <row r="21" spans="1:10" x14ac:dyDescent="0.3">
      <c r="C21" s="23" t="s">
        <v>24</v>
      </c>
      <c r="D21" s="24"/>
      <c r="E21" s="25"/>
      <c r="F21" s="24"/>
      <c r="G21" s="24"/>
    </row>
    <row r="22" spans="1:10" x14ac:dyDescent="0.3">
      <c r="C22" s="23" t="s">
        <v>25</v>
      </c>
      <c r="D22" s="24"/>
      <c r="E22" s="25"/>
      <c r="F22" s="24"/>
      <c r="G22" s="24"/>
    </row>
    <row r="23" spans="1:10" x14ac:dyDescent="0.3">
      <c r="C23" s="23" t="s">
        <v>26</v>
      </c>
      <c r="D23" s="24"/>
      <c r="E23" s="25"/>
      <c r="F23" s="24"/>
      <c r="G23" s="24"/>
    </row>
    <row r="24" spans="1:10" x14ac:dyDescent="0.3">
      <c r="C24" s="23" t="s">
        <v>27</v>
      </c>
      <c r="D24" s="24"/>
      <c r="E24" s="25"/>
      <c r="F24" s="24"/>
      <c r="G24" s="24"/>
    </row>
    <row r="25" spans="1:10" x14ac:dyDescent="0.3">
      <c r="C25" s="26" t="s">
        <v>28</v>
      </c>
    </row>
    <row r="26" spans="1:10" x14ac:dyDescent="0.3">
      <c r="C26" s="26" t="s">
        <v>29</v>
      </c>
    </row>
  </sheetData>
  <customSheetViews>
    <customSheetView guid="{48F96E8B-9CB5-4FE7-993E-F1AFEC90CCF6}" showPageBreaks="1" fitToPage="1">
      <selection activeCell="G3" sqref="G3"/>
      <pageMargins left="0.7" right="0.7" top="0.75" bottom="0.75" header="0.3" footer="0.3"/>
      <pageSetup scale="81" orientation="landscape" useFirstPageNumber="1" r:id="rId1"/>
    </customSheetView>
    <customSheetView guid="{60760000-1846-4662-8265-C415E38339B9}" fitToPage="1">
      <selection activeCell="G8" sqref="G8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H5"/>
  </mergeCells>
  <pageMargins left="0.7" right="0.7" top="0.75" bottom="0.75" header="0.3" footer="0.3"/>
  <pageSetup scale="81" orientation="landscape" useFirstPageNumber="1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B7" sqref="B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07/05/2026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/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B7" sqref="B7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I5" sqref="I5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08/05/2026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/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I5" sqref="I5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zoomScaleNormal="100" workbookViewId="0">
      <selection activeCell="N8" sqref="N8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10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10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10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10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10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CONCATENATE((MID(CELL("filename",I5),FIND("]",CELL("filename",I5))+1,255)),"/05/2026")</f>
        <v>09/05/2026</v>
      </c>
    </row>
    <row r="6" spans="1:10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10" ht="18" customHeight="1" x14ac:dyDescent="0.35">
      <c r="A7" s="13">
        <v>1</v>
      </c>
      <c r="B7" s="15">
        <v>889</v>
      </c>
      <c r="C7" s="68" t="s">
        <v>126</v>
      </c>
      <c r="D7" s="16">
        <v>46151</v>
      </c>
      <c r="E7" s="15">
        <v>2</v>
      </c>
      <c r="F7" s="15"/>
      <c r="G7" s="15"/>
      <c r="H7" s="68" t="s">
        <v>11</v>
      </c>
      <c r="I7" s="15" t="s">
        <v>127</v>
      </c>
      <c r="J7" s="71"/>
    </row>
    <row r="8" spans="1:10" ht="18" customHeight="1" x14ac:dyDescent="0.35">
      <c r="A8" s="27">
        <v>2</v>
      </c>
      <c r="B8" s="15">
        <v>617</v>
      </c>
      <c r="C8" s="15" t="s">
        <v>128</v>
      </c>
      <c r="D8" s="16">
        <v>46124</v>
      </c>
      <c r="E8" s="15" t="s">
        <v>17</v>
      </c>
      <c r="F8" s="15"/>
      <c r="G8" s="15"/>
      <c r="H8" s="15" t="s">
        <v>129</v>
      </c>
      <c r="I8" s="15" t="s">
        <v>15</v>
      </c>
      <c r="J8" s="70"/>
    </row>
    <row r="9" spans="1:10" ht="18" customHeight="1" x14ac:dyDescent="0.35">
      <c r="A9" s="27">
        <v>3</v>
      </c>
      <c r="B9" s="15" t="s">
        <v>140</v>
      </c>
      <c r="C9" s="15" t="s">
        <v>130</v>
      </c>
      <c r="D9" s="16">
        <v>46150</v>
      </c>
      <c r="E9" s="15" t="s">
        <v>17</v>
      </c>
      <c r="F9" s="15"/>
      <c r="G9" s="15"/>
      <c r="H9" s="15" t="s">
        <v>11</v>
      </c>
      <c r="I9" s="15" t="s">
        <v>45</v>
      </c>
      <c r="J9" s="70"/>
    </row>
    <row r="10" spans="1:10" ht="18" customHeight="1" x14ac:dyDescent="0.35">
      <c r="A10" s="27">
        <v>4</v>
      </c>
      <c r="B10" s="15">
        <v>869</v>
      </c>
      <c r="C10" s="15" t="s">
        <v>131</v>
      </c>
      <c r="D10" s="16">
        <v>46152</v>
      </c>
      <c r="E10" s="15">
        <v>2</v>
      </c>
      <c r="F10" s="15"/>
      <c r="G10" s="15"/>
      <c r="H10" s="15" t="s">
        <v>11</v>
      </c>
      <c r="I10" s="15" t="s">
        <v>15</v>
      </c>
      <c r="J10" s="70"/>
    </row>
    <row r="11" spans="1:10" ht="18" customHeight="1" x14ac:dyDescent="0.35">
      <c r="A11" s="27">
        <v>5</v>
      </c>
      <c r="B11" s="15">
        <v>850</v>
      </c>
      <c r="C11" s="15" t="s">
        <v>132</v>
      </c>
      <c r="D11" s="16">
        <v>46158</v>
      </c>
      <c r="E11" s="15">
        <v>2</v>
      </c>
      <c r="F11" s="15"/>
      <c r="G11" s="15"/>
      <c r="H11" s="15" t="s">
        <v>11</v>
      </c>
      <c r="I11" s="15" t="s">
        <v>35</v>
      </c>
      <c r="J11" s="71"/>
    </row>
    <row r="12" spans="1:10" ht="18" customHeight="1" x14ac:dyDescent="0.35">
      <c r="A12" s="27">
        <v>6</v>
      </c>
      <c r="B12" s="15">
        <v>339</v>
      </c>
      <c r="C12" s="15" t="s">
        <v>133</v>
      </c>
      <c r="D12" s="16">
        <v>46155</v>
      </c>
      <c r="E12" s="15">
        <v>1</v>
      </c>
      <c r="F12" s="15"/>
      <c r="G12" s="15"/>
      <c r="H12" s="15" t="s">
        <v>11</v>
      </c>
      <c r="I12" s="15" t="s">
        <v>35</v>
      </c>
      <c r="J12" s="71"/>
    </row>
    <row r="13" spans="1:10" ht="18" customHeight="1" x14ac:dyDescent="0.35">
      <c r="A13" s="27">
        <v>7</v>
      </c>
      <c r="B13" s="15">
        <v>810</v>
      </c>
      <c r="C13" s="15" t="s">
        <v>134</v>
      </c>
      <c r="D13" s="16">
        <v>46154</v>
      </c>
      <c r="E13" s="15">
        <v>1</v>
      </c>
      <c r="F13" s="15"/>
      <c r="G13" s="15"/>
      <c r="H13" s="15" t="s">
        <v>11</v>
      </c>
      <c r="I13" s="15" t="s">
        <v>135</v>
      </c>
      <c r="J13" s="71"/>
    </row>
    <row r="14" spans="1:10" ht="18" customHeight="1" x14ac:dyDescent="0.35">
      <c r="A14" s="27">
        <v>8</v>
      </c>
      <c r="B14" s="15">
        <v>881</v>
      </c>
      <c r="C14" s="15" t="s">
        <v>136</v>
      </c>
      <c r="D14" s="16">
        <v>46154</v>
      </c>
      <c r="E14" s="15" t="s">
        <v>17</v>
      </c>
      <c r="F14" s="15"/>
      <c r="G14" s="15"/>
      <c r="H14" s="15" t="s">
        <v>11</v>
      </c>
      <c r="I14" s="15" t="s">
        <v>137</v>
      </c>
      <c r="J14" s="70"/>
    </row>
    <row r="15" spans="1:10" ht="18" customHeight="1" x14ac:dyDescent="0.35">
      <c r="A15" s="27">
        <v>9</v>
      </c>
      <c r="B15" s="15">
        <v>216</v>
      </c>
      <c r="C15" s="15" t="s">
        <v>139</v>
      </c>
      <c r="D15" s="16">
        <v>46154</v>
      </c>
      <c r="E15" s="15">
        <v>2</v>
      </c>
      <c r="F15" s="15"/>
      <c r="G15" s="15"/>
      <c r="H15" s="15" t="s">
        <v>31</v>
      </c>
      <c r="I15" s="15" t="s">
        <v>138</v>
      </c>
      <c r="J15" s="70"/>
    </row>
    <row r="16" spans="1:10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10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N8" sqref="N8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 topLeftCell="A4">
      <selection activeCell="E11" sqref="E11"/>
      <pageMargins left="0.7" right="0.7" top="0.75" bottom="0.75" header="0.3" footer="0.3"/>
      <pageSetup scale="86" orientation="landscape" useFirstPageNumber="1" horizontalDpi="4294967295" verticalDpi="4294967295" r:id="rId1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zoomScaleNormal="100" workbookViewId="0">
      <selection activeCell="N6" sqref="N6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10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10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10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10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10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10/05/2026</v>
      </c>
    </row>
    <row r="6" spans="1:10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10" ht="18" customHeight="1" x14ac:dyDescent="0.35">
      <c r="A7" s="13">
        <v>1</v>
      </c>
      <c r="B7" s="15">
        <v>617</v>
      </c>
      <c r="C7" s="15" t="s">
        <v>128</v>
      </c>
      <c r="D7" s="16">
        <v>46124</v>
      </c>
      <c r="E7" s="15" t="s">
        <v>17</v>
      </c>
      <c r="F7" s="15"/>
      <c r="G7" s="15"/>
      <c r="H7" s="15" t="s">
        <v>129</v>
      </c>
      <c r="I7" s="15" t="s">
        <v>15</v>
      </c>
      <c r="J7" s="73"/>
    </row>
    <row r="8" spans="1:10" ht="18" customHeight="1" x14ac:dyDescent="0.35">
      <c r="A8" s="27">
        <v>2</v>
      </c>
      <c r="B8" s="15">
        <v>881</v>
      </c>
      <c r="C8" s="15" t="s">
        <v>136</v>
      </c>
      <c r="D8" s="16">
        <v>46154</v>
      </c>
      <c r="E8" s="15">
        <v>2</v>
      </c>
      <c r="F8" s="15"/>
      <c r="G8" s="15"/>
      <c r="H8" s="15" t="s">
        <v>11</v>
      </c>
      <c r="I8" s="15" t="s">
        <v>137</v>
      </c>
      <c r="J8" s="71"/>
    </row>
    <row r="9" spans="1:10" ht="18" customHeight="1" x14ac:dyDescent="0.35">
      <c r="A9" s="27">
        <v>3</v>
      </c>
      <c r="B9" s="15">
        <v>216</v>
      </c>
      <c r="C9" s="15" t="s">
        <v>139</v>
      </c>
      <c r="D9" s="16">
        <v>46154</v>
      </c>
      <c r="E9" s="15">
        <v>2</v>
      </c>
      <c r="F9" s="15"/>
      <c r="G9" s="15"/>
      <c r="H9" s="15" t="s">
        <v>31</v>
      </c>
      <c r="I9" s="15" t="s">
        <v>138</v>
      </c>
      <c r="J9" s="71"/>
    </row>
    <row r="10" spans="1:10" ht="18" customHeight="1" x14ac:dyDescent="0.35">
      <c r="A10" s="27">
        <v>4</v>
      </c>
      <c r="B10" s="15">
        <v>869</v>
      </c>
      <c r="C10" s="17" t="s">
        <v>131</v>
      </c>
      <c r="D10" s="16">
        <v>46152</v>
      </c>
      <c r="E10" s="17" t="s">
        <v>14</v>
      </c>
      <c r="F10" s="17"/>
      <c r="G10" s="17"/>
      <c r="H10" s="17" t="s">
        <v>11</v>
      </c>
      <c r="I10" s="18" t="s">
        <v>15</v>
      </c>
    </row>
    <row r="11" spans="1:10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10" ht="18" customHeight="1" x14ac:dyDescent="0.35">
      <c r="A12" s="27">
        <v>6</v>
      </c>
      <c r="C12" s="72" t="s">
        <v>141</v>
      </c>
      <c r="D12" s="16"/>
      <c r="E12" s="17"/>
      <c r="F12" s="17"/>
      <c r="G12" s="17"/>
      <c r="H12" s="17"/>
      <c r="I12" s="18"/>
    </row>
    <row r="13" spans="1:10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10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10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10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4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N6" sqref="N6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D12" sqref="D12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P13" sqref="P13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11/05/2026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5">
        <v>617</v>
      </c>
      <c r="C7" s="15" t="s">
        <v>128</v>
      </c>
      <c r="D7" s="16">
        <v>46124</v>
      </c>
      <c r="E7" s="15">
        <v>2</v>
      </c>
      <c r="F7" s="15"/>
      <c r="G7" s="15"/>
      <c r="H7" s="15" t="s">
        <v>129</v>
      </c>
      <c r="I7" s="15" t="s">
        <v>15</v>
      </c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2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P13" sqref="P13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O8" sqref="O8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12/05/2026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68">
        <v>868</v>
      </c>
      <c r="C7" s="15" t="s">
        <v>142</v>
      </c>
      <c r="D7" s="16">
        <v>46154</v>
      </c>
      <c r="E7" s="15">
        <v>2</v>
      </c>
      <c r="F7" s="15"/>
      <c r="G7" s="15"/>
      <c r="H7" s="15"/>
      <c r="I7" s="15" t="s">
        <v>33</v>
      </c>
    </row>
    <row r="8" spans="1:9" ht="18" customHeight="1" x14ac:dyDescent="0.35">
      <c r="A8" s="27">
        <v>2</v>
      </c>
      <c r="B8" s="68">
        <v>865</v>
      </c>
      <c r="C8" s="15" t="s">
        <v>143</v>
      </c>
      <c r="D8" s="16">
        <v>46155</v>
      </c>
      <c r="E8" s="15">
        <v>2</v>
      </c>
      <c r="F8" s="15"/>
      <c r="G8" s="15"/>
      <c r="H8" s="15"/>
      <c r="I8" s="15" t="s">
        <v>144</v>
      </c>
    </row>
    <row r="9" spans="1:9" ht="18" customHeight="1" x14ac:dyDescent="0.35">
      <c r="A9" s="27">
        <v>3</v>
      </c>
      <c r="B9" s="68">
        <v>885</v>
      </c>
      <c r="C9" s="15" t="s">
        <v>145</v>
      </c>
      <c r="D9" s="16">
        <v>46155</v>
      </c>
      <c r="E9" s="15">
        <v>2</v>
      </c>
      <c r="F9" s="15"/>
      <c r="G9" s="15"/>
      <c r="H9" s="15">
        <v>3199466</v>
      </c>
      <c r="I9" s="15" t="s">
        <v>146</v>
      </c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6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O8" sqref="O8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zoomScale="85" zoomScaleNormal="85" workbookViewId="0">
      <selection activeCell="C10" sqref="C10"/>
    </sheetView>
  </sheetViews>
  <sheetFormatPr defaultRowHeight="14.4" customHeight="1" x14ac:dyDescent="0.3"/>
  <cols>
    <col min="2" max="2" width="13" customWidth="1"/>
    <col min="3" max="3" width="33.77734375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6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13/05/2026</v>
      </c>
    </row>
    <row r="6" spans="1:9" ht="18" customHeight="1" x14ac:dyDescent="0.35">
      <c r="A6" s="40"/>
      <c r="B6" s="41" t="s">
        <v>2</v>
      </c>
      <c r="C6" s="41" t="s">
        <v>3</v>
      </c>
      <c r="D6" s="42" t="s">
        <v>4</v>
      </c>
      <c r="E6" s="41" t="s">
        <v>5</v>
      </c>
      <c r="F6" s="41" t="s">
        <v>6</v>
      </c>
      <c r="G6" s="41" t="s">
        <v>7</v>
      </c>
      <c r="H6" s="43" t="s">
        <v>8</v>
      </c>
      <c r="I6" s="44">
        <v>3</v>
      </c>
    </row>
    <row r="7" spans="1:9" ht="18" customHeight="1" x14ac:dyDescent="0.35">
      <c r="A7" s="45"/>
      <c r="B7" s="46"/>
      <c r="C7" s="47" t="s">
        <v>47</v>
      </c>
      <c r="D7" s="48" t="s">
        <v>48</v>
      </c>
      <c r="E7" s="46"/>
      <c r="F7" s="46"/>
      <c r="G7" s="46"/>
      <c r="H7" s="49"/>
      <c r="I7" s="50"/>
    </row>
    <row r="8" spans="1:9" ht="18" customHeight="1" x14ac:dyDescent="0.35">
      <c r="A8" s="13">
        <v>1</v>
      </c>
      <c r="B8" s="14" t="s">
        <v>49</v>
      </c>
      <c r="C8" s="14" t="s">
        <v>50</v>
      </c>
      <c r="D8" s="28">
        <v>46156</v>
      </c>
      <c r="E8" s="14">
        <v>2</v>
      </c>
      <c r="F8" s="14"/>
      <c r="G8" s="14"/>
      <c r="H8" s="14" t="s">
        <v>51</v>
      </c>
      <c r="I8" s="14" t="s">
        <v>52</v>
      </c>
    </row>
    <row r="9" spans="1:9" ht="18" customHeight="1" x14ac:dyDescent="0.35">
      <c r="A9" s="27">
        <v>2</v>
      </c>
      <c r="B9" s="15" t="s">
        <v>49</v>
      </c>
      <c r="C9" s="15" t="s">
        <v>53</v>
      </c>
      <c r="D9" s="16">
        <v>46156</v>
      </c>
      <c r="E9" s="15">
        <v>2</v>
      </c>
      <c r="F9" s="15"/>
      <c r="G9" s="15"/>
      <c r="H9" s="15" t="s">
        <v>54</v>
      </c>
      <c r="I9" s="14" t="s">
        <v>52</v>
      </c>
    </row>
    <row r="10" spans="1:9" ht="18" customHeight="1" x14ac:dyDescent="0.35">
      <c r="A10" s="27">
        <v>3</v>
      </c>
      <c r="B10" s="15" t="s">
        <v>49</v>
      </c>
      <c r="C10" s="15" t="s">
        <v>55</v>
      </c>
      <c r="D10" s="16">
        <v>46156</v>
      </c>
      <c r="E10" s="15">
        <v>2</v>
      </c>
      <c r="F10" s="15"/>
      <c r="G10" s="15"/>
      <c r="H10" s="51" t="s">
        <v>56</v>
      </c>
      <c r="I10" s="14" t="s">
        <v>52</v>
      </c>
    </row>
    <row r="11" spans="1:9" ht="18" customHeight="1" x14ac:dyDescent="0.35">
      <c r="A11" s="27">
        <v>4</v>
      </c>
      <c r="B11" s="15" t="s">
        <v>49</v>
      </c>
      <c r="C11" s="15" t="s">
        <v>57</v>
      </c>
      <c r="D11" s="16">
        <v>46156</v>
      </c>
      <c r="E11" s="15">
        <v>2</v>
      </c>
      <c r="F11" s="15"/>
      <c r="G11" s="15"/>
      <c r="H11" s="51" t="s">
        <v>58</v>
      </c>
      <c r="I11" s="14" t="s">
        <v>52</v>
      </c>
    </row>
    <row r="12" spans="1:9" ht="18" customHeight="1" x14ac:dyDescent="0.35">
      <c r="A12" s="27">
        <v>5</v>
      </c>
      <c r="B12" s="15" t="s">
        <v>49</v>
      </c>
      <c r="C12" s="15" t="s">
        <v>59</v>
      </c>
      <c r="D12" s="16">
        <v>46156</v>
      </c>
      <c r="E12" s="15">
        <v>2</v>
      </c>
      <c r="F12" s="15"/>
      <c r="G12" s="15"/>
      <c r="H12" s="51" t="s">
        <v>60</v>
      </c>
      <c r="I12" s="14" t="s">
        <v>52</v>
      </c>
    </row>
    <row r="13" spans="1:9" ht="18" customHeight="1" x14ac:dyDescent="0.35">
      <c r="A13" s="27">
        <v>6</v>
      </c>
      <c r="B13" s="15" t="s">
        <v>49</v>
      </c>
      <c r="C13" s="15" t="s">
        <v>61</v>
      </c>
      <c r="D13" s="16">
        <v>46156</v>
      </c>
      <c r="E13" s="15">
        <v>2</v>
      </c>
      <c r="F13" s="15"/>
      <c r="G13" s="15"/>
      <c r="H13" s="51" t="s">
        <v>62</v>
      </c>
      <c r="I13" s="14" t="s">
        <v>52</v>
      </c>
    </row>
    <row r="14" spans="1:9" ht="18" customHeight="1" x14ac:dyDescent="0.35">
      <c r="A14" s="27">
        <v>7</v>
      </c>
      <c r="B14" s="15" t="s">
        <v>49</v>
      </c>
      <c r="C14" s="15" t="s">
        <v>63</v>
      </c>
      <c r="D14" s="16">
        <v>46156</v>
      </c>
      <c r="E14" s="15">
        <v>2</v>
      </c>
      <c r="F14" s="15"/>
      <c r="G14" s="15"/>
      <c r="H14" s="51" t="s">
        <v>64</v>
      </c>
      <c r="I14" s="14" t="s">
        <v>52</v>
      </c>
    </row>
    <row r="15" spans="1:9" ht="18" customHeight="1" x14ac:dyDescent="0.35">
      <c r="A15" s="27">
        <v>8</v>
      </c>
      <c r="B15" s="15" t="s">
        <v>49</v>
      </c>
      <c r="C15" s="15" t="s">
        <v>65</v>
      </c>
      <c r="D15" s="16">
        <v>46156</v>
      </c>
      <c r="E15" s="15">
        <v>2</v>
      </c>
      <c r="F15" s="15"/>
      <c r="G15" s="15"/>
      <c r="H15" s="51" t="s">
        <v>66</v>
      </c>
      <c r="I15" s="14" t="s">
        <v>52</v>
      </c>
    </row>
    <row r="16" spans="1:9" ht="18" customHeight="1" x14ac:dyDescent="0.35">
      <c r="A16" s="27">
        <v>9</v>
      </c>
      <c r="B16" s="15" t="s">
        <v>49</v>
      </c>
      <c r="C16" s="15" t="s">
        <v>67</v>
      </c>
      <c r="D16" s="16">
        <v>46156</v>
      </c>
      <c r="E16" s="15">
        <v>2</v>
      </c>
      <c r="F16" s="15"/>
      <c r="G16" s="15"/>
      <c r="H16" s="51" t="s">
        <v>68</v>
      </c>
      <c r="I16" s="14" t="s">
        <v>52</v>
      </c>
    </row>
    <row r="17" spans="1:9" ht="18" customHeight="1" x14ac:dyDescent="0.35">
      <c r="A17" s="27">
        <v>10</v>
      </c>
      <c r="B17" s="15" t="s">
        <v>49</v>
      </c>
      <c r="C17" s="15" t="s">
        <v>69</v>
      </c>
      <c r="D17" s="16">
        <v>46156</v>
      </c>
      <c r="E17" s="15">
        <v>2</v>
      </c>
      <c r="F17" s="15"/>
      <c r="G17" s="15"/>
      <c r="H17" s="51" t="s">
        <v>70</v>
      </c>
      <c r="I17" s="14" t="s">
        <v>52</v>
      </c>
    </row>
    <row r="18" spans="1:9" ht="18" customHeight="1" x14ac:dyDescent="0.35">
      <c r="A18" s="43">
        <v>11</v>
      </c>
      <c r="B18" s="52" t="s">
        <v>49</v>
      </c>
      <c r="C18" s="52" t="s">
        <v>71</v>
      </c>
      <c r="D18" s="53">
        <v>46156</v>
      </c>
      <c r="E18" s="52">
        <v>2</v>
      </c>
      <c r="F18" s="52"/>
      <c r="G18" s="52"/>
      <c r="H18" s="54" t="s">
        <v>72</v>
      </c>
      <c r="I18" s="14" t="s">
        <v>52</v>
      </c>
    </row>
    <row r="19" spans="1:9" ht="18" customHeight="1" x14ac:dyDescent="0.35">
      <c r="A19" s="45"/>
      <c r="B19" s="55"/>
      <c r="C19" s="56" t="s">
        <v>73</v>
      </c>
      <c r="D19" s="57" t="s">
        <v>74</v>
      </c>
      <c r="E19" s="55"/>
      <c r="F19" s="55"/>
      <c r="G19" s="55"/>
      <c r="H19" s="58"/>
      <c r="I19" s="59"/>
    </row>
    <row r="20" spans="1:9" ht="18" customHeight="1" x14ac:dyDescent="0.35">
      <c r="A20" s="13">
        <v>12</v>
      </c>
      <c r="B20" s="14" t="s">
        <v>49</v>
      </c>
      <c r="C20" s="14" t="s">
        <v>75</v>
      </c>
      <c r="D20" s="28">
        <v>46156</v>
      </c>
      <c r="E20" s="14">
        <v>2</v>
      </c>
      <c r="F20" s="14"/>
      <c r="G20" s="14"/>
      <c r="H20" s="60" t="s">
        <v>76</v>
      </c>
      <c r="I20" s="14" t="s">
        <v>52</v>
      </c>
    </row>
    <row r="21" spans="1:9" ht="18" customHeight="1" x14ac:dyDescent="0.35">
      <c r="A21" s="27">
        <v>13</v>
      </c>
      <c r="B21" s="15" t="s">
        <v>49</v>
      </c>
      <c r="C21" s="51" t="s">
        <v>77</v>
      </c>
      <c r="D21" s="16">
        <v>46156</v>
      </c>
      <c r="E21" s="15">
        <v>2</v>
      </c>
      <c r="F21" s="15"/>
      <c r="G21" s="15"/>
      <c r="H21" s="51" t="s">
        <v>78</v>
      </c>
      <c r="I21" s="14" t="s">
        <v>52</v>
      </c>
    </row>
    <row r="22" spans="1:9" ht="18" customHeight="1" x14ac:dyDescent="0.35">
      <c r="A22" s="27">
        <v>14</v>
      </c>
      <c r="B22" s="15" t="s">
        <v>49</v>
      </c>
      <c r="C22" s="51" t="s">
        <v>79</v>
      </c>
      <c r="D22" s="16">
        <v>46156</v>
      </c>
      <c r="E22" s="15">
        <v>2</v>
      </c>
      <c r="F22" s="15"/>
      <c r="G22" s="15"/>
      <c r="H22" s="51" t="s">
        <v>80</v>
      </c>
      <c r="I22" s="14" t="s">
        <v>52</v>
      </c>
    </row>
    <row r="23" spans="1:9" ht="18" customHeight="1" x14ac:dyDescent="0.35">
      <c r="A23" s="27">
        <v>15</v>
      </c>
      <c r="B23" s="15" t="s">
        <v>49</v>
      </c>
      <c r="C23" s="51" t="s">
        <v>81</v>
      </c>
      <c r="D23" s="16">
        <v>46156</v>
      </c>
      <c r="E23" s="15">
        <v>2</v>
      </c>
      <c r="F23" s="15"/>
      <c r="G23" s="15"/>
      <c r="H23" s="51" t="s">
        <v>82</v>
      </c>
      <c r="I23" s="14" t="s">
        <v>52</v>
      </c>
    </row>
    <row r="24" spans="1:9" ht="18" customHeight="1" x14ac:dyDescent="0.35">
      <c r="A24" s="27">
        <v>16</v>
      </c>
      <c r="B24" s="15" t="s">
        <v>49</v>
      </c>
      <c r="C24" s="51" t="s">
        <v>83</v>
      </c>
      <c r="D24" s="16">
        <v>46156</v>
      </c>
      <c r="E24" s="15">
        <v>2</v>
      </c>
      <c r="F24" s="15"/>
      <c r="G24" s="15"/>
      <c r="H24" s="51" t="s">
        <v>84</v>
      </c>
      <c r="I24" s="14" t="s">
        <v>52</v>
      </c>
    </row>
    <row r="25" spans="1:9" ht="18" customHeight="1" x14ac:dyDescent="0.35">
      <c r="A25" s="27">
        <v>17</v>
      </c>
      <c r="B25" s="15" t="s">
        <v>49</v>
      </c>
      <c r="C25" s="51" t="s">
        <v>85</v>
      </c>
      <c r="D25" s="16">
        <v>46156</v>
      </c>
      <c r="E25" s="15">
        <v>2</v>
      </c>
      <c r="F25" s="15"/>
      <c r="G25" s="15"/>
      <c r="H25" s="51" t="s">
        <v>86</v>
      </c>
      <c r="I25" s="14" t="s">
        <v>52</v>
      </c>
    </row>
    <row r="26" spans="1:9" ht="18" customHeight="1" x14ac:dyDescent="0.35">
      <c r="A26" s="27">
        <v>18</v>
      </c>
      <c r="B26" s="15" t="s">
        <v>49</v>
      </c>
      <c r="C26" s="51" t="s">
        <v>87</v>
      </c>
      <c r="D26" s="16">
        <v>46156</v>
      </c>
      <c r="E26" s="15">
        <v>2</v>
      </c>
      <c r="F26" s="15"/>
      <c r="G26" s="15"/>
      <c r="H26" s="51" t="s">
        <v>88</v>
      </c>
      <c r="I26" s="14" t="s">
        <v>52</v>
      </c>
    </row>
    <row r="27" spans="1:9" ht="18" customHeight="1" x14ac:dyDescent="0.35">
      <c r="A27" s="27">
        <v>19</v>
      </c>
      <c r="B27" s="15" t="s">
        <v>49</v>
      </c>
      <c r="C27" s="51" t="s">
        <v>89</v>
      </c>
      <c r="D27" s="16">
        <v>46156</v>
      </c>
      <c r="E27" s="15">
        <v>2</v>
      </c>
      <c r="F27" s="15"/>
      <c r="G27" s="15"/>
      <c r="H27" s="51" t="s">
        <v>90</v>
      </c>
      <c r="I27" s="14" t="s">
        <v>52</v>
      </c>
    </row>
    <row r="28" spans="1:9" ht="18" customHeight="1" x14ac:dyDescent="0.35">
      <c r="A28" s="27">
        <v>20</v>
      </c>
      <c r="B28" s="15" t="s">
        <v>49</v>
      </c>
      <c r="C28" s="51" t="s">
        <v>91</v>
      </c>
      <c r="D28" s="16">
        <v>46156</v>
      </c>
      <c r="E28" s="15">
        <v>2</v>
      </c>
      <c r="F28" s="15"/>
      <c r="G28" s="15"/>
      <c r="H28" s="51" t="s">
        <v>92</v>
      </c>
      <c r="I28" s="14" t="s">
        <v>52</v>
      </c>
    </row>
    <row r="29" spans="1:9" ht="18" customHeight="1" x14ac:dyDescent="0.35">
      <c r="A29" s="27">
        <v>21</v>
      </c>
      <c r="B29" s="15" t="s">
        <v>49</v>
      </c>
      <c r="C29" s="51" t="s">
        <v>93</v>
      </c>
      <c r="D29" s="16">
        <v>46156</v>
      </c>
      <c r="E29" s="15">
        <v>2</v>
      </c>
      <c r="F29" s="15"/>
      <c r="G29" s="15"/>
      <c r="H29" s="51" t="s">
        <v>94</v>
      </c>
      <c r="I29" s="14" t="s">
        <v>52</v>
      </c>
    </row>
    <row r="30" spans="1:9" ht="18" customHeight="1" x14ac:dyDescent="0.35">
      <c r="A30" s="27">
        <v>22</v>
      </c>
      <c r="B30" s="15" t="s">
        <v>49</v>
      </c>
      <c r="C30" s="51" t="s">
        <v>95</v>
      </c>
      <c r="D30" s="16">
        <v>46156</v>
      </c>
      <c r="E30" s="15">
        <v>2</v>
      </c>
      <c r="F30" s="15"/>
      <c r="G30" s="15"/>
      <c r="H30" s="51" t="s">
        <v>96</v>
      </c>
      <c r="I30" s="14" t="s">
        <v>52</v>
      </c>
    </row>
    <row r="31" spans="1:9" ht="18" customHeight="1" x14ac:dyDescent="0.35">
      <c r="A31" s="27">
        <v>23</v>
      </c>
      <c r="B31" s="15" t="s">
        <v>49</v>
      </c>
      <c r="C31" s="51" t="s">
        <v>97</v>
      </c>
      <c r="D31" s="16">
        <v>46156</v>
      </c>
      <c r="E31" s="15">
        <v>1</v>
      </c>
      <c r="F31" s="15"/>
      <c r="G31" s="15"/>
      <c r="H31" s="51" t="s">
        <v>98</v>
      </c>
      <c r="I31" s="14" t="s">
        <v>52</v>
      </c>
    </row>
    <row r="32" spans="1:9" ht="18" customHeight="1" x14ac:dyDescent="0.35">
      <c r="A32" s="2"/>
      <c r="B32" s="2"/>
      <c r="C32" s="2" t="s">
        <v>21</v>
      </c>
      <c r="D32" s="19" t="s">
        <v>22</v>
      </c>
      <c r="E32" s="20">
        <f>SUM(E8:E31)</f>
        <v>45</v>
      </c>
      <c r="F32" s="20">
        <f>SUM(F8:F31)</f>
        <v>0</v>
      </c>
      <c r="G32" s="2"/>
      <c r="H32" s="2"/>
      <c r="I32" s="2"/>
    </row>
    <row r="33" spans="1:9" ht="18" customHeight="1" x14ac:dyDescent="0.35">
      <c r="A33" s="2"/>
      <c r="B33" s="21"/>
      <c r="C33" s="21"/>
      <c r="D33" s="22"/>
      <c r="E33" s="21"/>
      <c r="F33" s="21"/>
      <c r="G33" s="21"/>
      <c r="H33" s="2"/>
      <c r="I33" s="2"/>
    </row>
    <row r="34" spans="1:9" x14ac:dyDescent="0.3">
      <c r="B34" s="21" t="s">
        <v>23</v>
      </c>
    </row>
    <row r="35" spans="1:9" x14ac:dyDescent="0.3">
      <c r="B35" s="23" t="s">
        <v>24</v>
      </c>
      <c r="C35" s="24"/>
      <c r="D35" s="25"/>
      <c r="E35" s="24"/>
      <c r="F35" s="24"/>
    </row>
    <row r="36" spans="1:9" x14ac:dyDescent="0.3">
      <c r="B36" s="23" t="s">
        <v>25</v>
      </c>
      <c r="C36" s="24"/>
      <c r="D36" s="25"/>
      <c r="E36" s="24"/>
      <c r="F36" s="24"/>
    </row>
    <row r="37" spans="1:9" x14ac:dyDescent="0.3">
      <c r="B37" s="23" t="s">
        <v>26</v>
      </c>
      <c r="C37" s="24"/>
      <c r="D37" s="25"/>
      <c r="E37" s="24"/>
      <c r="F37" s="24"/>
    </row>
    <row r="38" spans="1:9" x14ac:dyDescent="0.3">
      <c r="B38" s="23" t="s">
        <v>27</v>
      </c>
      <c r="C38" s="24"/>
      <c r="D38" s="25"/>
      <c r="E38" s="24"/>
      <c r="F38" s="24"/>
    </row>
    <row r="39" spans="1:9" x14ac:dyDescent="0.3">
      <c r="B39" s="26" t="s">
        <v>28</v>
      </c>
    </row>
    <row r="40" spans="1:9" x14ac:dyDescent="0.3">
      <c r="B40" s="26" t="s">
        <v>29</v>
      </c>
    </row>
  </sheetData>
  <customSheetViews>
    <customSheetView guid="{48F96E8B-9CB5-4FE7-993E-F1AFEC90CCF6}" scale="85" fitToPage="1">
      <selection activeCell="C10" sqref="C10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scale="85" fitToPage="1" topLeftCell="A10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zoomScaleNormal="100" workbookViewId="0">
      <selection activeCell="N6" sqref="N6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10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10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10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10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10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14/05/2026</v>
      </c>
    </row>
    <row r="6" spans="1:10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10" ht="18" customHeight="1" x14ac:dyDescent="0.35">
      <c r="A7" s="13">
        <v>1</v>
      </c>
      <c r="B7" s="15">
        <v>613</v>
      </c>
      <c r="C7" s="15" t="s">
        <v>159</v>
      </c>
      <c r="D7" s="16">
        <v>46157</v>
      </c>
      <c r="E7" s="15">
        <v>2</v>
      </c>
      <c r="F7" s="15"/>
      <c r="G7" s="15"/>
      <c r="H7" s="15"/>
      <c r="I7" s="15" t="s">
        <v>35</v>
      </c>
      <c r="J7" s="73"/>
    </row>
    <row r="8" spans="1:10" ht="18" customHeight="1" x14ac:dyDescent="0.35">
      <c r="A8" s="27">
        <v>2</v>
      </c>
      <c r="B8" s="15" t="s">
        <v>160</v>
      </c>
      <c r="C8" s="15" t="s">
        <v>148</v>
      </c>
      <c r="D8" s="16">
        <v>46154</v>
      </c>
      <c r="E8" s="15">
        <v>2</v>
      </c>
      <c r="F8" s="15"/>
      <c r="G8" s="15"/>
      <c r="H8" s="15"/>
      <c r="I8" s="15" t="s">
        <v>15</v>
      </c>
      <c r="J8" s="71"/>
    </row>
    <row r="9" spans="1:10" ht="18" customHeight="1" x14ac:dyDescent="0.35">
      <c r="A9" s="27">
        <v>3</v>
      </c>
      <c r="B9" s="14">
        <v>628</v>
      </c>
      <c r="C9" s="14" t="s">
        <v>150</v>
      </c>
      <c r="D9" s="28">
        <v>46156</v>
      </c>
      <c r="E9" s="14">
        <v>2</v>
      </c>
      <c r="F9" s="14"/>
      <c r="G9" s="14"/>
      <c r="H9" s="14"/>
      <c r="I9" s="15" t="s">
        <v>149</v>
      </c>
      <c r="J9" s="73"/>
    </row>
    <row r="10" spans="1:10" ht="18" customHeight="1" x14ac:dyDescent="0.35">
      <c r="A10" s="27">
        <v>4</v>
      </c>
      <c r="B10" s="15">
        <v>648</v>
      </c>
      <c r="C10" s="15" t="s">
        <v>153</v>
      </c>
      <c r="D10" s="16">
        <v>46157</v>
      </c>
      <c r="E10" s="15">
        <v>2</v>
      </c>
      <c r="F10" s="15"/>
      <c r="G10" s="15"/>
      <c r="H10" s="15" t="s">
        <v>154</v>
      </c>
      <c r="I10" s="15" t="s">
        <v>155</v>
      </c>
      <c r="J10" s="73"/>
    </row>
    <row r="11" spans="1:10" ht="18" customHeight="1" x14ac:dyDescent="0.35">
      <c r="A11" s="27">
        <v>5</v>
      </c>
      <c r="B11" s="15" t="s">
        <v>161</v>
      </c>
      <c r="C11" s="15" t="s">
        <v>147</v>
      </c>
      <c r="D11" s="16">
        <v>46155</v>
      </c>
      <c r="E11" s="15">
        <v>2</v>
      </c>
      <c r="F11" s="15"/>
      <c r="G11" s="15"/>
      <c r="H11" s="15"/>
      <c r="I11" s="15" t="s">
        <v>15</v>
      </c>
      <c r="J11" s="71"/>
    </row>
    <row r="12" spans="1:10" ht="18" customHeight="1" x14ac:dyDescent="0.35">
      <c r="A12" s="27">
        <v>6</v>
      </c>
      <c r="B12" s="15" t="s">
        <v>151</v>
      </c>
      <c r="C12" s="68" t="s">
        <v>152</v>
      </c>
      <c r="D12" s="16">
        <v>46154</v>
      </c>
      <c r="E12" s="15">
        <v>2</v>
      </c>
      <c r="F12" s="15"/>
      <c r="G12" s="15"/>
      <c r="H12" s="15"/>
      <c r="I12" s="15" t="s">
        <v>15</v>
      </c>
      <c r="J12" s="73"/>
    </row>
    <row r="13" spans="1:10" ht="18" customHeight="1" x14ac:dyDescent="0.35">
      <c r="A13" s="27">
        <v>7</v>
      </c>
      <c r="B13" s="15" t="s">
        <v>156</v>
      </c>
      <c r="C13" s="15" t="s">
        <v>157</v>
      </c>
      <c r="D13" s="16">
        <v>46154</v>
      </c>
      <c r="E13" s="15">
        <v>2</v>
      </c>
      <c r="F13" s="15"/>
      <c r="G13" s="15"/>
      <c r="H13" s="15" t="s">
        <v>158</v>
      </c>
      <c r="I13" s="15" t="s">
        <v>155</v>
      </c>
      <c r="J13" s="73"/>
    </row>
    <row r="14" spans="1:10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10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10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14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sortState ref="B7:I13">
    <sortCondition ref="B7"/>
  </sortState>
  <customSheetViews>
    <customSheetView guid="{48F96E8B-9CB5-4FE7-993E-F1AFEC90CCF6}" fitToPage="1">
      <selection activeCell="N6" sqref="N6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abSelected="1" zoomScaleNormal="100" workbookViewId="0">
      <selection activeCell="C9" sqref="C9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15/05/2026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5">
        <v>613</v>
      </c>
      <c r="C7" s="15" t="s">
        <v>159</v>
      </c>
      <c r="D7" s="16">
        <v>46157</v>
      </c>
      <c r="E7" s="15" t="s">
        <v>14</v>
      </c>
      <c r="F7" s="15"/>
      <c r="G7" s="15"/>
      <c r="H7" s="15"/>
      <c r="I7" s="15" t="s">
        <v>35</v>
      </c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C9" sqref="C9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B7" sqref="B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16/05/2026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5">
        <v>613</v>
      </c>
      <c r="C7" s="15" t="s">
        <v>159</v>
      </c>
      <c r="D7" s="16">
        <v>46157</v>
      </c>
      <c r="E7" s="15">
        <v>2</v>
      </c>
      <c r="F7" s="15"/>
      <c r="G7" s="15"/>
      <c r="H7" s="15"/>
      <c r="I7" s="15" t="s">
        <v>35</v>
      </c>
    </row>
    <row r="8" spans="1:9" ht="18" customHeight="1" x14ac:dyDescent="0.35">
      <c r="A8" s="27">
        <v>2</v>
      </c>
      <c r="B8" s="15"/>
      <c r="C8" s="17"/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2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B7" sqref="B7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M7" sqref="M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17/05/2026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61" t="s">
        <v>49</v>
      </c>
      <c r="C7" s="62" t="s">
        <v>99</v>
      </c>
      <c r="D7" s="63">
        <v>46130</v>
      </c>
      <c r="E7" s="64">
        <v>2</v>
      </c>
      <c r="F7" s="64"/>
      <c r="G7" s="64"/>
      <c r="H7" s="64" t="s">
        <v>100</v>
      </c>
      <c r="I7" s="64" t="s">
        <v>101</v>
      </c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2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M7" sqref="M7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I28" sqref="I28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18/05/2026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I28" sqref="I28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O7" sqref="O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19/05/2026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O7" sqref="O7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N9" sqref="N9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20/05/2026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N9" sqref="N9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N8" sqref="N8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21/05/2026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N8" sqref="N8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B7" sqref="B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22/05/2026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/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B7" sqref="B7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B7" sqref="B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23/05/2026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B7" sqref="B7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Normal="100" workbookViewId="0">
      <selection activeCell="C12" sqref="C12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24/05/2026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27"/>
      <c r="C7" s="74"/>
      <c r="D7" s="69"/>
      <c r="E7" s="27"/>
      <c r="F7" s="27"/>
      <c r="G7" s="27"/>
      <c r="H7" s="27"/>
      <c r="I7" s="27"/>
    </row>
    <row r="8" spans="1:9" ht="18" customHeight="1" x14ac:dyDescent="0.35">
      <c r="A8" s="27">
        <v>2</v>
      </c>
      <c r="B8" s="27"/>
      <c r="C8" s="74"/>
      <c r="D8" s="69"/>
      <c r="E8" s="27"/>
      <c r="F8" s="27"/>
      <c r="G8" s="27"/>
      <c r="H8" s="27"/>
      <c r="I8" s="27"/>
    </row>
    <row r="9" spans="1:9" ht="18" customHeight="1" x14ac:dyDescent="0.35">
      <c r="A9" s="27">
        <v>3</v>
      </c>
      <c r="B9" s="27"/>
      <c r="C9" s="74"/>
      <c r="D9" s="69"/>
      <c r="E9" s="27"/>
      <c r="F9" s="27"/>
      <c r="G9" s="27"/>
      <c r="H9" s="27"/>
      <c r="I9" s="27"/>
    </row>
    <row r="10" spans="1:9" ht="18" customHeight="1" x14ac:dyDescent="0.35">
      <c r="A10" s="27">
        <v>4</v>
      </c>
      <c r="B10" s="27"/>
      <c r="C10" s="74"/>
      <c r="D10" s="69"/>
      <c r="E10" s="27"/>
      <c r="F10" s="27"/>
      <c r="G10" s="27"/>
      <c r="H10" s="27"/>
      <c r="I10" s="27"/>
    </row>
    <row r="11" spans="1:9" ht="18" customHeight="1" x14ac:dyDescent="0.35">
      <c r="A11" s="27">
        <v>5</v>
      </c>
      <c r="B11" s="27"/>
      <c r="C11" s="74"/>
      <c r="D11" s="69"/>
      <c r="E11" s="27"/>
      <c r="F11" s="27"/>
      <c r="G11" s="27"/>
      <c r="H11" s="27"/>
      <c r="I11" s="27"/>
    </row>
    <row r="12" spans="1:9" ht="18" customHeight="1" x14ac:dyDescent="0.35">
      <c r="A12" s="27">
        <v>6</v>
      </c>
      <c r="B12" s="27"/>
      <c r="C12" s="74"/>
      <c r="D12" s="69"/>
      <c r="E12" s="27"/>
      <c r="F12" s="27"/>
      <c r="G12" s="27"/>
      <c r="H12" s="27"/>
      <c r="I12" s="27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 fitToPage="1">
      <selection activeCell="C12" sqref="C12"/>
      <pageMargins left="0.7" right="0.7" top="0.75" bottom="0.75" header="0.3" footer="0.3"/>
      <pageSetup scale="86" orientation="landscape" useFirstPageNumber="1" horizontalDpi="4294967295" verticalDpi="4294967295"/>
    </customSheetView>
    <customSheetView guid="{60760000-1846-4662-8265-C415E38339B9}" fitToPage="1">
      <selection activeCell="I6" sqref="I6"/>
      <pageMargins left="0.7" right="0.7" top="0.75" bottom="0.75" header="0.3" footer="0.3"/>
      <pageSetup scale="86" orientation="landscape" useFirstPageNumber="1" horizontalDpi="4294967295" verticalDpi="4294967295"/>
    </customSheetView>
  </customSheetViews>
  <mergeCells count="1">
    <mergeCell ref="A5:G5"/>
  </mergeCells>
  <pageMargins left="0.7" right="0.7" top="0.75" bottom="0.75" header="0.3" footer="0.3"/>
  <pageSetup scale="86" orientation="landscape" useFirstPageNumber="1" horizontalDpi="4294967295" verticalDpi="429496729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selection activeCell="B7" sqref="B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25/05/2026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65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/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>
      <selection activeCell="B7" sqref="B7"/>
      <pageMargins left="0.7" right="0.7" top="0.75" bottom="0.75" header="0.3" footer="0.3"/>
    </customSheetView>
    <customSheetView guid="{60760000-1846-4662-8265-C415E38339B9}">
      <selection activeCell="I6" sqref="I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selection activeCell="O10" sqref="O10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26/05/2026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>
      <selection activeCell="O10" sqref="O10"/>
      <pageMargins left="0.7" right="0.7" top="0.75" bottom="0.75" header="0.3" footer="0.3"/>
    </customSheetView>
    <customSheetView guid="{60760000-1846-4662-8265-C415E38339B9}">
      <selection activeCell="I6" sqref="I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selection activeCell="N6" sqref="N6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27/05/2026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>
      <selection activeCell="N6" sqref="N6"/>
      <pageMargins left="0.7" right="0.7" top="0.75" bottom="0.75" header="0.3" footer="0.3"/>
    </customSheetView>
    <customSheetView guid="{60760000-1846-4662-8265-C415E38339B9}">
      <selection activeCell="I6" sqref="I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selection activeCell="B7" sqref="B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28/05/2026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/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>
      <selection activeCell="B7" sqref="B7"/>
      <pageMargins left="0.7" right="0.7" top="0.75" bottom="0.75" header="0.3" footer="0.3"/>
    </customSheetView>
    <customSheetView guid="{60760000-1846-4662-8265-C415E38339B9}">
      <selection activeCell="I6" sqref="I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selection activeCell="P9" sqref="P9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29/05/2026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>
      <selection activeCell="P9" sqref="P9"/>
      <pageMargins left="0.7" right="0.7" top="0.75" bottom="0.75" header="0.3" footer="0.3"/>
    </customSheetView>
    <customSheetView guid="{60760000-1846-4662-8265-C415E38339B9}">
      <selection activeCell="I6" sqref="I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selection activeCell="A7" sqref="A7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30/05/2026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>
      <selection activeCell="A7" sqref="A7"/>
      <pageMargins left="0.7" right="0.7" top="0.75" bottom="0.75" header="0.3" footer="0.3"/>
    </customSheetView>
    <customSheetView guid="{60760000-1846-4662-8265-C415E38339B9}">
      <selection activeCell="I6" sqref="I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Normal="100" workbookViewId="0">
      <selection activeCell="I5" sqref="I5"/>
    </sheetView>
  </sheetViews>
  <sheetFormatPr defaultRowHeight="14.4" customHeight="1" x14ac:dyDescent="0.3"/>
  <cols>
    <col min="2" max="2" width="10.44140625" customWidth="1"/>
    <col min="3" max="3" width="33" customWidth="1"/>
    <col min="4" max="4" width="16.88671875" style="1" customWidth="1"/>
    <col min="5" max="5" width="8.33203125" customWidth="1"/>
    <col min="6" max="6" width="8" customWidth="1"/>
    <col min="7" max="7" width="10.109375" customWidth="1"/>
    <col min="8" max="8" width="21.109375" customWidth="1"/>
    <col min="9" max="9" width="24.5546875" customWidth="1"/>
  </cols>
  <sheetData>
    <row r="1" spans="1:9" ht="18" customHeight="1" x14ac:dyDescent="0.35">
      <c r="A1" s="2"/>
      <c r="B1" s="2"/>
      <c r="C1" s="2"/>
      <c r="D1" s="3"/>
      <c r="E1" s="2"/>
      <c r="F1" s="2"/>
      <c r="G1" s="2"/>
      <c r="H1" s="2"/>
      <c r="I1" s="2"/>
    </row>
    <row r="2" spans="1:9" ht="18" customHeight="1" x14ac:dyDescent="0.35">
      <c r="A2" s="2"/>
      <c r="B2" s="2"/>
      <c r="C2" s="2"/>
      <c r="D2" s="3"/>
      <c r="E2" s="2"/>
      <c r="F2" s="2"/>
      <c r="G2" s="2"/>
      <c r="H2" s="2"/>
      <c r="I2" s="2"/>
    </row>
    <row r="3" spans="1:9" ht="18" customHeight="1" x14ac:dyDescent="0.35">
      <c r="A3" s="2"/>
      <c r="B3" s="2"/>
      <c r="C3" s="2"/>
      <c r="D3" s="3"/>
      <c r="E3" s="2"/>
      <c r="F3" s="2"/>
      <c r="G3" s="2"/>
      <c r="H3" s="2"/>
      <c r="I3" s="2"/>
    </row>
    <row r="4" spans="1:9" ht="18" customHeight="1" x14ac:dyDescent="0.35">
      <c r="A4" s="4"/>
      <c r="B4" s="4"/>
      <c r="C4" s="4"/>
      <c r="D4" s="5"/>
      <c r="E4" s="4"/>
      <c r="F4" s="4"/>
      <c r="G4" s="4"/>
      <c r="H4" s="4"/>
      <c r="I4" s="4"/>
    </row>
    <row r="5" spans="1:9" ht="23.4" customHeight="1" x14ac:dyDescent="0.45">
      <c r="A5" s="75" t="s">
        <v>0</v>
      </c>
      <c r="B5" s="76"/>
      <c r="C5" s="76"/>
      <c r="D5" s="76"/>
      <c r="E5" s="76"/>
      <c r="F5" s="76"/>
      <c r="G5" s="76"/>
      <c r="H5" s="6" t="s">
        <v>1</v>
      </c>
      <c r="I5" s="7" t="str">
        <f ca="1">CONCATENATE((MID(CELL("filename",I5),FIND("]",CELL("filename",I5))+1,25)),"/05/2026")</f>
        <v>31/05/2026</v>
      </c>
    </row>
    <row r="6" spans="1:9" ht="18.600000000000001" customHeight="1" x14ac:dyDescent="0.35">
      <c r="A6" s="8"/>
      <c r="B6" s="9" t="s">
        <v>2</v>
      </c>
      <c r="C6" s="9" t="s">
        <v>3</v>
      </c>
      <c r="D6" s="10" t="s">
        <v>4</v>
      </c>
      <c r="E6" s="9" t="s">
        <v>5</v>
      </c>
      <c r="F6" s="9" t="s">
        <v>6</v>
      </c>
      <c r="G6" s="9" t="s">
        <v>7</v>
      </c>
      <c r="H6" s="11" t="s">
        <v>8</v>
      </c>
      <c r="I6" s="12" t="s">
        <v>9</v>
      </c>
    </row>
    <row r="7" spans="1:9" ht="18" customHeight="1" x14ac:dyDescent="0.35">
      <c r="A7" s="13">
        <v>1</v>
      </c>
      <c r="B7" s="14"/>
      <c r="C7" s="17"/>
      <c r="D7" s="16"/>
      <c r="E7" s="17"/>
      <c r="F7" s="17"/>
      <c r="G7" s="17"/>
      <c r="H7" s="17"/>
      <c r="I7" s="18"/>
    </row>
    <row r="8" spans="1:9" ht="18" customHeight="1" x14ac:dyDescent="0.35">
      <c r="A8" s="27">
        <v>2</v>
      </c>
      <c r="B8" s="15"/>
      <c r="C8" s="17" t="s">
        <v>21</v>
      </c>
      <c r="D8" s="16"/>
      <c r="E8" s="17"/>
      <c r="F8" s="17"/>
      <c r="G8" s="17"/>
      <c r="H8" s="17"/>
      <c r="I8" s="18"/>
    </row>
    <row r="9" spans="1:9" ht="18" customHeight="1" x14ac:dyDescent="0.35">
      <c r="A9" s="27">
        <v>3</v>
      </c>
      <c r="B9" s="14"/>
      <c r="C9" s="39"/>
      <c r="D9" s="28"/>
      <c r="E9" s="39"/>
      <c r="F9" s="39"/>
      <c r="G9" s="39"/>
      <c r="H9" s="39"/>
      <c r="I9" s="18"/>
    </row>
    <row r="10" spans="1:9" ht="18" customHeight="1" x14ac:dyDescent="0.35">
      <c r="A10" s="27">
        <v>4</v>
      </c>
      <c r="B10" s="15"/>
      <c r="C10" s="17"/>
      <c r="D10" s="16"/>
      <c r="E10" s="17"/>
      <c r="F10" s="17"/>
      <c r="G10" s="17"/>
      <c r="H10" s="17"/>
      <c r="I10" s="18"/>
    </row>
    <row r="11" spans="1:9" ht="18" customHeight="1" x14ac:dyDescent="0.35">
      <c r="A11" s="27">
        <v>5</v>
      </c>
      <c r="B11" s="15" t="s">
        <v>21</v>
      </c>
      <c r="C11" s="17"/>
      <c r="D11" s="16"/>
      <c r="E11" s="17"/>
      <c r="F11" s="17"/>
      <c r="G11" s="17"/>
      <c r="H11" s="17"/>
      <c r="I11" s="18"/>
    </row>
    <row r="12" spans="1:9" ht="18" customHeight="1" x14ac:dyDescent="0.35">
      <c r="A12" s="27">
        <v>6</v>
      </c>
      <c r="B12" s="15"/>
      <c r="C12" s="17"/>
      <c r="D12" s="16"/>
      <c r="E12" s="17"/>
      <c r="F12" s="17"/>
      <c r="G12" s="17"/>
      <c r="H12" s="17"/>
      <c r="I12" s="18"/>
    </row>
    <row r="13" spans="1:9" ht="18" customHeight="1" x14ac:dyDescent="0.35">
      <c r="A13" s="27">
        <v>7</v>
      </c>
      <c r="B13" s="15"/>
      <c r="C13" s="17"/>
      <c r="D13" s="16"/>
      <c r="E13" s="17"/>
      <c r="F13" s="17"/>
      <c r="G13" s="17"/>
      <c r="H13" s="17"/>
      <c r="I13" s="18"/>
    </row>
    <row r="14" spans="1:9" ht="18" customHeight="1" x14ac:dyDescent="0.35">
      <c r="A14" s="27">
        <v>8</v>
      </c>
      <c r="B14" s="15"/>
      <c r="C14" s="17"/>
      <c r="D14" s="16"/>
      <c r="E14" s="17"/>
      <c r="F14" s="17"/>
      <c r="G14" s="17"/>
      <c r="H14" s="17"/>
      <c r="I14" s="18"/>
    </row>
    <row r="15" spans="1:9" ht="18" customHeight="1" x14ac:dyDescent="0.35">
      <c r="A15" s="27">
        <v>9</v>
      </c>
      <c r="B15" s="15"/>
      <c r="C15" s="17"/>
      <c r="D15" s="16"/>
      <c r="E15" s="17"/>
      <c r="F15" s="17"/>
      <c r="G15" s="17"/>
      <c r="H15" s="17"/>
      <c r="I15" s="18"/>
    </row>
    <row r="16" spans="1:9" ht="18" customHeight="1" x14ac:dyDescent="0.35">
      <c r="A16" s="27">
        <v>10</v>
      </c>
      <c r="B16" s="15"/>
      <c r="C16" s="17"/>
      <c r="D16" s="16"/>
      <c r="E16" s="17"/>
      <c r="F16" s="17"/>
      <c r="G16" s="17"/>
      <c r="H16" s="17"/>
      <c r="I16" s="18"/>
    </row>
    <row r="17" spans="1:9" ht="18" customHeight="1" x14ac:dyDescent="0.35">
      <c r="A17" s="2"/>
      <c r="B17" s="2"/>
      <c r="C17" s="2" t="s">
        <v>21</v>
      </c>
      <c r="D17" s="19" t="s">
        <v>22</v>
      </c>
      <c r="E17" s="20">
        <f>SUM(E7:E16)</f>
        <v>0</v>
      </c>
      <c r="F17" s="20">
        <f>SUM(F7:F16)</f>
        <v>0</v>
      </c>
      <c r="G17" s="2"/>
      <c r="H17" s="2"/>
      <c r="I17" s="2"/>
    </row>
    <row r="18" spans="1:9" ht="18" customHeight="1" x14ac:dyDescent="0.35">
      <c r="A18" s="2"/>
      <c r="B18" s="21"/>
      <c r="C18" s="21"/>
      <c r="D18" s="22"/>
      <c r="E18" s="21"/>
      <c r="F18" s="21"/>
      <c r="G18" s="21"/>
      <c r="H18" s="2"/>
      <c r="I18" s="2"/>
    </row>
    <row r="19" spans="1:9" x14ac:dyDescent="0.3">
      <c r="B19" s="21" t="s">
        <v>23</v>
      </c>
    </row>
    <row r="20" spans="1:9" x14ac:dyDescent="0.3">
      <c r="B20" s="23" t="s">
        <v>24</v>
      </c>
      <c r="C20" s="24"/>
      <c r="D20" s="25"/>
      <c r="E20" s="24"/>
      <c r="F20" s="24"/>
    </row>
    <row r="21" spans="1:9" x14ac:dyDescent="0.3">
      <c r="B21" s="23" t="s">
        <v>25</v>
      </c>
      <c r="C21" s="24"/>
      <c r="D21" s="25"/>
      <c r="E21" s="24"/>
      <c r="F21" s="24"/>
    </row>
    <row r="22" spans="1:9" x14ac:dyDescent="0.3">
      <c r="B22" s="23" t="s">
        <v>26</v>
      </c>
      <c r="C22" s="24"/>
      <c r="D22" s="25"/>
      <c r="E22" s="24"/>
      <c r="F22" s="24"/>
    </row>
    <row r="23" spans="1:9" x14ac:dyDescent="0.3">
      <c r="B23" s="23" t="s">
        <v>27</v>
      </c>
      <c r="C23" s="24"/>
      <c r="D23" s="25"/>
      <c r="E23" s="24"/>
      <c r="F23" s="24"/>
    </row>
    <row r="24" spans="1:9" x14ac:dyDescent="0.3">
      <c r="B24" s="26" t="s">
        <v>28</v>
      </c>
    </row>
    <row r="25" spans="1:9" x14ac:dyDescent="0.3">
      <c r="B25" s="26" t="s">
        <v>29</v>
      </c>
    </row>
  </sheetData>
  <customSheetViews>
    <customSheetView guid="{48F96E8B-9CB5-4FE7-993E-F1AFEC90CCF6}">
      <selection activeCell="I5" sqref="I5"/>
      <pageMargins left="0.7" right="0.7" top="0.75" bottom="0.75" header="0.3" footer="0.3"/>
    </customSheetView>
    <customSheetView guid="{60760000-1846-4662-8265-C415E38339B9}">
      <selection activeCell="I6" sqref="I6"/>
      <pageMargins left="0.7" right="0.7" top="0.75" bottom="0.75" header="0.3" footer="0.3"/>
    </customSheetView>
  </customSheetViews>
  <mergeCells count="1">
    <mergeCell ref="A5:G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/>
  </sheetViews>
  <sheetFormatPr defaultRowHeight="14.4" x14ac:dyDescent="0.3"/>
  <sheetData>
    <row r="1" spans="1:10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</sheetData>
  <customSheetViews>
    <customSheetView guid="{48F96E8B-9CB5-4FE7-993E-F1AFEC90CCF6}" state="hidden">
      <pageMargins left="0.7" right="0.7" top="0.75" bottom="0.75" header="0.3" footer="0.3"/>
      <pageSetup orientation="portrait" useFirstPageNumber="1" horizontalDpi="4294967295" verticalDpi="4294967295"/>
    </customSheetView>
    <customSheetView guid="{60760000-1846-4662-8265-C415E38339B9}" state="hidden">
      <pageMargins left="0.7" right="0.7" top="0.75" bottom="0.75" header="0.3" footer="0.3"/>
      <pageSetup orientation="portrait" useFirstPageNumber="1" horizontalDpi="4294967295" verticalDpi="4294967295"/>
    </customSheetView>
  </customSheetViews>
  <pageMargins left="0.7" right="0.7" top="0.75" bottom="0.75" header="0.3" footer="0.3"/>
  <pageSetup orientation="portrait" useFirstPageNumber="1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4.4" x14ac:dyDescent="0.3"/>
  <sheetData>
    <row r="1" spans="1:7" x14ac:dyDescent="0.3">
      <c r="A1" t="s">
        <v>102</v>
      </c>
      <c r="B1" t="s">
        <v>112</v>
      </c>
      <c r="C1" t="s">
        <v>113</v>
      </c>
      <c r="D1" t="s">
        <v>114</v>
      </c>
      <c r="E1" t="s">
        <v>115</v>
      </c>
      <c r="F1" t="s">
        <v>106</v>
      </c>
      <c r="G1" t="s">
        <v>116</v>
      </c>
    </row>
    <row r="2" spans="1:7" x14ac:dyDescent="0.3">
      <c r="A2" t="s">
        <v>36</v>
      </c>
      <c r="B2" t="s">
        <v>117</v>
      </c>
      <c r="C2" t="s">
        <v>118</v>
      </c>
      <c r="D2" t="s">
        <v>119</v>
      </c>
      <c r="E2" t="s">
        <v>117</v>
      </c>
      <c r="F2" t="s">
        <v>120</v>
      </c>
      <c r="G2">
        <v>27</v>
      </c>
    </row>
  </sheetData>
  <customSheetViews>
    <customSheetView guid="{48F96E8B-9CB5-4FE7-993E-F1AFEC90CCF6}" state="hidden">
      <pageMargins left="0.7" right="0.7" top="0.75" bottom="0.75" header="0.3" footer="0.3"/>
      <pageSetup orientation="portrait" useFirstPageNumber="1" horizontalDpi="4294967295" verticalDpi="4294967295"/>
    </customSheetView>
    <customSheetView guid="{60760000-1846-4662-8265-C415E38339B9}" state="hidden">
      <pageMargins left="0.7" right="0.7" top="0.75" bottom="0.75" header="0.3" footer="0.3"/>
      <pageSetup orientation="portrait" useFirstPageNumber="1" horizontalDpi="4294967295" verticalDpi="4294967295"/>
    </customSheetView>
  </customSheetViews>
  <pageMargins left="0.7" right="0.7" top="0.75" bottom="0.75" header="0.3" footer="0.3"/>
  <pageSetup orientation="portrait" useFirstPageNumber="1" horizontalDpi="4294967295" verticalDpi="4294967295"/>
</worksheet>
</file>

<file path=xl/worksheets/wsSortMap1.xml><?xml version="1.0" encoding="utf-8"?>
<worksheetSortMap xmlns="http://schemas.microsoft.com/office/excel/2006/main">
  <rowSortMap ref="A7:XFD13" count="5">
    <row newVal="6" oldVal="12"/>
    <row newVal="9" oldVal="10"/>
    <row newVal="10" oldVal="6"/>
    <row newVal="11" oldVal="9"/>
    <row newVal="12" oldVal="11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</vt:lpstr>
      <vt:lpstr>2</vt:lpstr>
      <vt:lpstr>3</vt:lpstr>
      <vt:lpstr>4</vt:lpstr>
      <vt:lpstr>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_BookingMeta</vt:lpstr>
      <vt:lpstr>_SheetMeta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Assistant DiveCenter Manager</cp:lastModifiedBy>
  <cp:lastPrinted>2026-05-06T05:24:24Z</cp:lastPrinted>
  <dcterms:created xsi:type="dcterms:W3CDTF">2019-12-25T05:56:10Z</dcterms:created>
  <dcterms:modified xsi:type="dcterms:W3CDTF">2026-05-15T03:54:37Z</dcterms:modified>
</cp:coreProperties>
</file>