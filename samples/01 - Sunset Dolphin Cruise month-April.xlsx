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worksheets/wsSortMap1.xml" ContentType="application/vnd.ms-excel.wsSortMap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BOOKINGS\2026\04- April\"/>
    </mc:Choice>
  </mc:AlternateContent>
  <bookViews>
    <workbookView xWindow="0" yWindow="0" windowWidth="23040" windowHeight="9072" tabRatio="755" firstSheet="7" activeTab="29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</sheets>
  <definedNames>
    <definedName name="_xlnm._FilterDatabase" localSheetId="9" hidden="1">'10'!$A$6:$K$28</definedName>
    <definedName name="_xlnm._FilterDatabase" localSheetId="8" hidden="1">'9'!$A$6:$K$34</definedName>
    <definedName name="_xlnm.Print_Area" localSheetId="0">'1'!$A$1:$L$39</definedName>
    <definedName name="_xlnm.Print_Area" localSheetId="9">'10'!$A$1:$L$42</definedName>
    <definedName name="_xlnm.Print_Area" localSheetId="10">'11'!$A$1:$J$40</definedName>
    <definedName name="_xlnm.Print_Area" localSheetId="11">'12'!$A$1:$L$36</definedName>
    <definedName name="_xlnm.Print_Area" localSheetId="12">'13'!$A$1:$L$38</definedName>
    <definedName name="_xlnm.Print_Area" localSheetId="13">'14'!$A$1:$J$38</definedName>
    <definedName name="_xlnm.Print_Area" localSheetId="14">'15'!$A$1:$L$38</definedName>
    <definedName name="_xlnm.Print_Area" localSheetId="15">'16'!$A$1:$L$33</definedName>
    <definedName name="_xlnm.Print_Area" localSheetId="16">'17'!$A$1:$L$35</definedName>
    <definedName name="_xlnm.Print_Area" localSheetId="17">'18'!$A$1:$L$38</definedName>
    <definedName name="_xlnm.Print_Area" localSheetId="18">'19'!$A$1:$L$38</definedName>
    <definedName name="_xlnm.Print_Area" localSheetId="1">'2'!$A$1:$L$38</definedName>
    <definedName name="_xlnm.Print_Area" localSheetId="19">'20'!$A$1:$J$31</definedName>
    <definedName name="_xlnm.Print_Area" localSheetId="20">'21'!$A$1:$L$33</definedName>
    <definedName name="_xlnm.Print_Area" localSheetId="21">'22'!$A$1:$L$40</definedName>
    <definedName name="_xlnm.Print_Area" localSheetId="22">'23'!$A$1:$J$41</definedName>
    <definedName name="_xlnm.Print_Area" localSheetId="23">'24'!$A$1:$J$38</definedName>
    <definedName name="_xlnm.Print_Area" localSheetId="24">'25'!$A$1:$L$34</definedName>
    <definedName name="_xlnm.Print_Area" localSheetId="25">'26'!$A$1:$L$33</definedName>
    <definedName name="_xlnm.Print_Area" localSheetId="26">'27'!$A$1:$K$31</definedName>
    <definedName name="_xlnm.Print_Area" localSheetId="27">'28'!$A$1:$K$32</definedName>
    <definedName name="_xlnm.Print_Area" localSheetId="28">'29'!$A$1:$J$38</definedName>
    <definedName name="_xlnm.Print_Area" localSheetId="2">'3'!$A$1:$L$32</definedName>
    <definedName name="_xlnm.Print_Area" localSheetId="29">'30'!$A$1:$M$41</definedName>
    <definedName name="_xlnm.Print_Area" localSheetId="3">'4'!$A$1:$L$40</definedName>
    <definedName name="_xlnm.Print_Area" localSheetId="4">'5'!$A$1:$L$37</definedName>
    <definedName name="_xlnm.Print_Area" localSheetId="5">'6'!$A$1:$L$37</definedName>
    <definedName name="_xlnm.Print_Area" localSheetId="6">'7'!$A$1:$L$39</definedName>
    <definedName name="_xlnm.Print_Area" localSheetId="7">'8'!$A$1:$L$32</definedName>
    <definedName name="_xlnm.Print_Area" localSheetId="8">'9'!$A$1:$L$46</definedName>
    <definedName name="Z_4E59406A_696F_45F3_96CE_A9A2B9D4DCC4_.wvu.FilterData" localSheetId="9" hidden="1">'10'!$A$6:$K$28</definedName>
    <definedName name="Z_4E59406A_696F_45F3_96CE_A9A2B9D4DCC4_.wvu.FilterData" localSheetId="8" hidden="1">'9'!$A$6:$K$34</definedName>
    <definedName name="Z_4E59406A_696F_45F3_96CE_A9A2B9D4DCC4_.wvu.PrintArea" localSheetId="0" hidden="1">'1'!$A$1:$L$39</definedName>
    <definedName name="Z_4E59406A_696F_45F3_96CE_A9A2B9D4DCC4_.wvu.PrintArea" localSheetId="9" hidden="1">'10'!$A$1:$L$42</definedName>
    <definedName name="Z_4E59406A_696F_45F3_96CE_A9A2B9D4DCC4_.wvu.PrintArea" localSheetId="10" hidden="1">'11'!$A$1:$J$40</definedName>
    <definedName name="Z_4E59406A_696F_45F3_96CE_A9A2B9D4DCC4_.wvu.PrintArea" localSheetId="11" hidden="1">'12'!$A$1:$L$36</definedName>
    <definedName name="Z_4E59406A_696F_45F3_96CE_A9A2B9D4DCC4_.wvu.PrintArea" localSheetId="12" hidden="1">'13'!$A$1:$L$38</definedName>
    <definedName name="Z_4E59406A_696F_45F3_96CE_A9A2B9D4DCC4_.wvu.PrintArea" localSheetId="13" hidden="1">'14'!$A$1:$J$38</definedName>
    <definedName name="Z_4E59406A_696F_45F3_96CE_A9A2B9D4DCC4_.wvu.PrintArea" localSheetId="14" hidden="1">'15'!$A$1:$L$38</definedName>
    <definedName name="Z_4E59406A_696F_45F3_96CE_A9A2B9D4DCC4_.wvu.PrintArea" localSheetId="15" hidden="1">'16'!$A$1:$L$33</definedName>
    <definedName name="Z_4E59406A_696F_45F3_96CE_A9A2B9D4DCC4_.wvu.PrintArea" localSheetId="16" hidden="1">'17'!$A$1:$L$35</definedName>
    <definedName name="Z_4E59406A_696F_45F3_96CE_A9A2B9D4DCC4_.wvu.PrintArea" localSheetId="17" hidden="1">'18'!$A$1:$L$38</definedName>
    <definedName name="Z_4E59406A_696F_45F3_96CE_A9A2B9D4DCC4_.wvu.PrintArea" localSheetId="18" hidden="1">'19'!$A$1:$L$38</definedName>
    <definedName name="Z_4E59406A_696F_45F3_96CE_A9A2B9D4DCC4_.wvu.PrintArea" localSheetId="1" hidden="1">'2'!$A$1:$L$38</definedName>
    <definedName name="Z_4E59406A_696F_45F3_96CE_A9A2B9D4DCC4_.wvu.PrintArea" localSheetId="19" hidden="1">'20'!$A$1:$J$31</definedName>
    <definedName name="Z_4E59406A_696F_45F3_96CE_A9A2B9D4DCC4_.wvu.PrintArea" localSheetId="20" hidden="1">'21'!$A$1:$L$33</definedName>
    <definedName name="Z_4E59406A_696F_45F3_96CE_A9A2B9D4DCC4_.wvu.PrintArea" localSheetId="21" hidden="1">'22'!$A$1:$L$40</definedName>
    <definedName name="Z_4E59406A_696F_45F3_96CE_A9A2B9D4DCC4_.wvu.PrintArea" localSheetId="22" hidden="1">'23'!$A$1:$J$41</definedName>
    <definedName name="Z_4E59406A_696F_45F3_96CE_A9A2B9D4DCC4_.wvu.PrintArea" localSheetId="23" hidden="1">'24'!$A$1:$J$38</definedName>
    <definedName name="Z_4E59406A_696F_45F3_96CE_A9A2B9D4DCC4_.wvu.PrintArea" localSheetId="24" hidden="1">'25'!$A$1:$L$34</definedName>
    <definedName name="Z_4E59406A_696F_45F3_96CE_A9A2B9D4DCC4_.wvu.PrintArea" localSheetId="25" hidden="1">'26'!$A$1:$L$33</definedName>
    <definedName name="Z_4E59406A_696F_45F3_96CE_A9A2B9D4DCC4_.wvu.PrintArea" localSheetId="26" hidden="1">'27'!$A$1:$K$31</definedName>
    <definedName name="Z_4E59406A_696F_45F3_96CE_A9A2B9D4DCC4_.wvu.PrintArea" localSheetId="27" hidden="1">'28'!$A$1:$K$32</definedName>
    <definedName name="Z_4E59406A_696F_45F3_96CE_A9A2B9D4DCC4_.wvu.PrintArea" localSheetId="28" hidden="1">'29'!$A$1:$J$38</definedName>
    <definedName name="Z_4E59406A_696F_45F3_96CE_A9A2B9D4DCC4_.wvu.PrintArea" localSheetId="2" hidden="1">'3'!$A$1:$L$32</definedName>
    <definedName name="Z_4E59406A_696F_45F3_96CE_A9A2B9D4DCC4_.wvu.PrintArea" localSheetId="29" hidden="1">'30'!$A$1:$M$41</definedName>
    <definedName name="Z_4E59406A_696F_45F3_96CE_A9A2B9D4DCC4_.wvu.PrintArea" localSheetId="3" hidden="1">'4'!$A$1:$L$40</definedName>
    <definedName name="Z_4E59406A_696F_45F3_96CE_A9A2B9D4DCC4_.wvu.PrintArea" localSheetId="4" hidden="1">'5'!$A$1:$L$37</definedName>
    <definedName name="Z_4E59406A_696F_45F3_96CE_A9A2B9D4DCC4_.wvu.PrintArea" localSheetId="5" hidden="1">'6'!$A$1:$L$37</definedName>
    <definedName name="Z_4E59406A_696F_45F3_96CE_A9A2B9D4DCC4_.wvu.PrintArea" localSheetId="6" hidden="1">'7'!$A$1:$L$39</definedName>
    <definedName name="Z_4E59406A_696F_45F3_96CE_A9A2B9D4DCC4_.wvu.PrintArea" localSheetId="7" hidden="1">'8'!$A$1:$L$32</definedName>
    <definedName name="Z_4E59406A_696F_45F3_96CE_A9A2B9D4DCC4_.wvu.PrintArea" localSheetId="8" hidden="1">'9'!$A$1:$L$46</definedName>
    <definedName name="Z_744BB052_D863_41D2_951C_2AB325855A97_.wvu.FilterData" localSheetId="9" hidden="1">'10'!$A$6:$K$28</definedName>
    <definedName name="Z_744BB052_D863_41D2_951C_2AB325855A97_.wvu.FilterData" localSheetId="8" hidden="1">'9'!$A$6:$K$34</definedName>
    <definedName name="Z_744BB052_D863_41D2_951C_2AB325855A97_.wvu.PrintArea" localSheetId="0" hidden="1">'1'!$A$1:$L$39</definedName>
    <definedName name="Z_744BB052_D863_41D2_951C_2AB325855A97_.wvu.PrintArea" localSheetId="9" hidden="1">'10'!$A$1:$L$42</definedName>
    <definedName name="Z_744BB052_D863_41D2_951C_2AB325855A97_.wvu.PrintArea" localSheetId="10" hidden="1">'11'!$A$1:$J$40</definedName>
    <definedName name="Z_744BB052_D863_41D2_951C_2AB325855A97_.wvu.PrintArea" localSheetId="11" hidden="1">'12'!$A$1:$L$36</definedName>
    <definedName name="Z_744BB052_D863_41D2_951C_2AB325855A97_.wvu.PrintArea" localSheetId="12" hidden="1">'13'!$A$1:$L$38</definedName>
    <definedName name="Z_744BB052_D863_41D2_951C_2AB325855A97_.wvu.PrintArea" localSheetId="13" hidden="1">'14'!$A$1:$J$38</definedName>
    <definedName name="Z_744BB052_D863_41D2_951C_2AB325855A97_.wvu.PrintArea" localSheetId="14" hidden="1">'15'!$A$1:$L$38</definedName>
    <definedName name="Z_744BB052_D863_41D2_951C_2AB325855A97_.wvu.PrintArea" localSheetId="15" hidden="1">'16'!$A$1:$L$33</definedName>
    <definedName name="Z_744BB052_D863_41D2_951C_2AB325855A97_.wvu.PrintArea" localSheetId="16" hidden="1">'17'!$A$1:$L$35</definedName>
    <definedName name="Z_744BB052_D863_41D2_951C_2AB325855A97_.wvu.PrintArea" localSheetId="17" hidden="1">'18'!$A$1:$L$38</definedName>
    <definedName name="Z_744BB052_D863_41D2_951C_2AB325855A97_.wvu.PrintArea" localSheetId="18" hidden="1">'19'!$A$1:$L$38</definedName>
    <definedName name="Z_744BB052_D863_41D2_951C_2AB325855A97_.wvu.PrintArea" localSheetId="1" hidden="1">'2'!$A$1:$L$38</definedName>
    <definedName name="Z_744BB052_D863_41D2_951C_2AB325855A97_.wvu.PrintArea" localSheetId="19" hidden="1">'20'!$A$1:$J$31</definedName>
    <definedName name="Z_744BB052_D863_41D2_951C_2AB325855A97_.wvu.PrintArea" localSheetId="20" hidden="1">'21'!$A$1:$L$33</definedName>
    <definedName name="Z_744BB052_D863_41D2_951C_2AB325855A97_.wvu.PrintArea" localSheetId="21" hidden="1">'22'!$A$1:$L$40</definedName>
    <definedName name="Z_744BB052_D863_41D2_951C_2AB325855A97_.wvu.PrintArea" localSheetId="22" hidden="1">'23'!$A$1:$J$41</definedName>
    <definedName name="Z_744BB052_D863_41D2_951C_2AB325855A97_.wvu.PrintArea" localSheetId="23" hidden="1">'24'!$A$1:$J$38</definedName>
    <definedName name="Z_744BB052_D863_41D2_951C_2AB325855A97_.wvu.PrintArea" localSheetId="24" hidden="1">'25'!$A$1:$L$34</definedName>
    <definedName name="Z_744BB052_D863_41D2_951C_2AB325855A97_.wvu.PrintArea" localSheetId="25" hidden="1">'26'!$A$1:$L$33</definedName>
    <definedName name="Z_744BB052_D863_41D2_951C_2AB325855A97_.wvu.PrintArea" localSheetId="26" hidden="1">'27'!$A$1:$K$31</definedName>
    <definedName name="Z_744BB052_D863_41D2_951C_2AB325855A97_.wvu.PrintArea" localSheetId="27" hidden="1">'28'!$A$1:$K$32</definedName>
    <definedName name="Z_744BB052_D863_41D2_951C_2AB325855A97_.wvu.PrintArea" localSheetId="28" hidden="1">'29'!$A$1:$J$38</definedName>
    <definedName name="Z_744BB052_D863_41D2_951C_2AB325855A97_.wvu.PrintArea" localSheetId="2" hidden="1">'3'!$A$1:$L$32</definedName>
    <definedName name="Z_744BB052_D863_41D2_951C_2AB325855A97_.wvu.PrintArea" localSheetId="29" hidden="1">'30'!$A$1:$M$41</definedName>
    <definedName name="Z_744BB052_D863_41D2_951C_2AB325855A97_.wvu.PrintArea" localSheetId="3" hidden="1">'4'!$A$1:$L$40</definedName>
    <definedName name="Z_744BB052_D863_41D2_951C_2AB325855A97_.wvu.PrintArea" localSheetId="4" hidden="1">'5'!$A$1:$L$37</definedName>
    <definedName name="Z_744BB052_D863_41D2_951C_2AB325855A97_.wvu.PrintArea" localSheetId="5" hidden="1">'6'!$A$1:$L$37</definedName>
    <definedName name="Z_744BB052_D863_41D2_951C_2AB325855A97_.wvu.PrintArea" localSheetId="6" hidden="1">'7'!$A$1:$L$39</definedName>
    <definedName name="Z_744BB052_D863_41D2_951C_2AB325855A97_.wvu.PrintArea" localSheetId="7" hidden="1">'8'!$A$1:$L$32</definedName>
    <definedName name="Z_744BB052_D863_41D2_951C_2AB325855A97_.wvu.PrintArea" localSheetId="8" hidden="1">'9'!$A$1:$L$46</definedName>
    <definedName name="Z_BF5B6E81_A93C_498B_825D_A8F997D33B36_.wvu.PrintArea" localSheetId="0" hidden="1">'1'!$A$1:$L$39</definedName>
    <definedName name="Z_BF5B6E81_A93C_498B_825D_A8F997D33B36_.wvu.PrintArea" localSheetId="9" hidden="1">'10'!$A$1:$L$42</definedName>
    <definedName name="Z_BF5B6E81_A93C_498B_825D_A8F997D33B36_.wvu.PrintArea" localSheetId="10" hidden="1">'11'!$A$1:$J$40</definedName>
    <definedName name="Z_BF5B6E81_A93C_498B_825D_A8F997D33B36_.wvu.PrintArea" localSheetId="11" hidden="1">'12'!$A$1:$L$36</definedName>
    <definedName name="Z_BF5B6E81_A93C_498B_825D_A8F997D33B36_.wvu.PrintArea" localSheetId="12" hidden="1">'13'!$A$1:$L$38</definedName>
    <definedName name="Z_BF5B6E81_A93C_498B_825D_A8F997D33B36_.wvu.PrintArea" localSheetId="13" hidden="1">'14'!$A$1:$J$38</definedName>
    <definedName name="Z_BF5B6E81_A93C_498B_825D_A8F997D33B36_.wvu.PrintArea" localSheetId="14" hidden="1">'15'!$A$1:$L$38</definedName>
    <definedName name="Z_BF5B6E81_A93C_498B_825D_A8F997D33B36_.wvu.PrintArea" localSheetId="15" hidden="1">'16'!$A$1:$L$33</definedName>
    <definedName name="Z_BF5B6E81_A93C_498B_825D_A8F997D33B36_.wvu.PrintArea" localSheetId="16" hidden="1">'17'!$A$1:$L$35</definedName>
    <definedName name="Z_BF5B6E81_A93C_498B_825D_A8F997D33B36_.wvu.PrintArea" localSheetId="17" hidden="1">'18'!$A$1:$L$38</definedName>
    <definedName name="Z_BF5B6E81_A93C_498B_825D_A8F997D33B36_.wvu.PrintArea" localSheetId="18" hidden="1">'19'!$A$1:$L$38</definedName>
    <definedName name="Z_BF5B6E81_A93C_498B_825D_A8F997D33B36_.wvu.PrintArea" localSheetId="1" hidden="1">'2'!$A$1:$L$38</definedName>
    <definedName name="Z_BF5B6E81_A93C_498B_825D_A8F997D33B36_.wvu.PrintArea" localSheetId="19" hidden="1">'20'!$A$1:$J$31</definedName>
    <definedName name="Z_BF5B6E81_A93C_498B_825D_A8F997D33B36_.wvu.PrintArea" localSheetId="20" hidden="1">'21'!$A$1:$L$33</definedName>
    <definedName name="Z_BF5B6E81_A93C_498B_825D_A8F997D33B36_.wvu.PrintArea" localSheetId="21" hidden="1">'22'!$A$1:$L$40</definedName>
    <definedName name="Z_BF5B6E81_A93C_498B_825D_A8F997D33B36_.wvu.PrintArea" localSheetId="22" hidden="1">'23'!$A$1:$J$41</definedName>
    <definedName name="Z_BF5B6E81_A93C_498B_825D_A8F997D33B36_.wvu.PrintArea" localSheetId="23" hidden="1">'24'!$A$1:$J$38</definedName>
    <definedName name="Z_BF5B6E81_A93C_498B_825D_A8F997D33B36_.wvu.PrintArea" localSheetId="24" hidden="1">'25'!$A$1:$L$34</definedName>
    <definedName name="Z_BF5B6E81_A93C_498B_825D_A8F997D33B36_.wvu.PrintArea" localSheetId="25" hidden="1">'26'!$A$1:$L$33</definedName>
    <definedName name="Z_BF5B6E81_A93C_498B_825D_A8F997D33B36_.wvu.PrintArea" localSheetId="26" hidden="1">'27'!$A$1:$K$31</definedName>
    <definedName name="Z_BF5B6E81_A93C_498B_825D_A8F997D33B36_.wvu.PrintArea" localSheetId="27" hidden="1">'28'!$A$1:$K$32</definedName>
    <definedName name="Z_BF5B6E81_A93C_498B_825D_A8F997D33B36_.wvu.PrintArea" localSheetId="28" hidden="1">'29'!$A$1:$J$38</definedName>
    <definedName name="Z_BF5B6E81_A93C_498B_825D_A8F997D33B36_.wvu.PrintArea" localSheetId="2" hidden="1">'3'!$A$1:$L$32</definedName>
    <definedName name="Z_BF5B6E81_A93C_498B_825D_A8F997D33B36_.wvu.PrintArea" localSheetId="29" hidden="1">'30'!$A$1:$M$41</definedName>
    <definedName name="Z_BF5B6E81_A93C_498B_825D_A8F997D33B36_.wvu.PrintArea" localSheetId="3" hidden="1">'4'!$A$1:$L$40</definedName>
    <definedName name="Z_BF5B6E81_A93C_498B_825D_A8F997D33B36_.wvu.PrintArea" localSheetId="4" hidden="1">'5'!$A$1:$L$37</definedName>
    <definedName name="Z_BF5B6E81_A93C_498B_825D_A8F997D33B36_.wvu.PrintArea" localSheetId="5" hidden="1">'6'!$A$1:$L$37</definedName>
    <definedName name="Z_BF5B6E81_A93C_498B_825D_A8F997D33B36_.wvu.PrintArea" localSheetId="6" hidden="1">'7'!$A$1:$L$39</definedName>
    <definedName name="Z_BF5B6E81_A93C_498B_825D_A8F997D33B36_.wvu.PrintArea" localSheetId="7" hidden="1">'8'!$A$1:$L$32</definedName>
    <definedName name="Z_BF5B6E81_A93C_498B_825D_A8F997D33B36_.wvu.PrintArea" localSheetId="8" hidden="1">'9'!$A$1:$L$46</definedName>
    <definedName name="Z_E646B2A6_D876_4850_BD6A_9EDE7D7D90A5_.wvu.PrintArea" localSheetId="0" hidden="1">'1'!$A$1:$L$39</definedName>
    <definedName name="Z_E646B2A6_D876_4850_BD6A_9EDE7D7D90A5_.wvu.PrintArea" localSheetId="9" hidden="1">'10'!$A$1:$L$42</definedName>
    <definedName name="Z_E646B2A6_D876_4850_BD6A_9EDE7D7D90A5_.wvu.PrintArea" localSheetId="10" hidden="1">'11'!$A$1:$J$40</definedName>
    <definedName name="Z_E646B2A6_D876_4850_BD6A_9EDE7D7D90A5_.wvu.PrintArea" localSheetId="11" hidden="1">'12'!$A$1:$L$36</definedName>
    <definedName name="Z_E646B2A6_D876_4850_BD6A_9EDE7D7D90A5_.wvu.PrintArea" localSheetId="12" hidden="1">'13'!$A$1:$L$38</definedName>
    <definedName name="Z_E646B2A6_D876_4850_BD6A_9EDE7D7D90A5_.wvu.PrintArea" localSheetId="13" hidden="1">'14'!$A$1:$J$38</definedName>
    <definedName name="Z_E646B2A6_D876_4850_BD6A_9EDE7D7D90A5_.wvu.PrintArea" localSheetId="14" hidden="1">'15'!$A$1:$L$38</definedName>
    <definedName name="Z_E646B2A6_D876_4850_BD6A_9EDE7D7D90A5_.wvu.PrintArea" localSheetId="15" hidden="1">'16'!$A$1:$L$33</definedName>
    <definedName name="Z_E646B2A6_D876_4850_BD6A_9EDE7D7D90A5_.wvu.PrintArea" localSheetId="16" hidden="1">'17'!$A$1:$L$35</definedName>
    <definedName name="Z_E646B2A6_D876_4850_BD6A_9EDE7D7D90A5_.wvu.PrintArea" localSheetId="17" hidden="1">'18'!$A$1:$L$38</definedName>
    <definedName name="Z_E646B2A6_D876_4850_BD6A_9EDE7D7D90A5_.wvu.PrintArea" localSheetId="18" hidden="1">'19'!$A$1:$L$38</definedName>
    <definedName name="Z_E646B2A6_D876_4850_BD6A_9EDE7D7D90A5_.wvu.PrintArea" localSheetId="1" hidden="1">'2'!$A$1:$L$38</definedName>
    <definedName name="Z_E646B2A6_D876_4850_BD6A_9EDE7D7D90A5_.wvu.PrintArea" localSheetId="19" hidden="1">'20'!$A$1:$J$31</definedName>
    <definedName name="Z_E646B2A6_D876_4850_BD6A_9EDE7D7D90A5_.wvu.PrintArea" localSheetId="20" hidden="1">'21'!$A$1:$L$33</definedName>
    <definedName name="Z_E646B2A6_D876_4850_BD6A_9EDE7D7D90A5_.wvu.PrintArea" localSheetId="21" hidden="1">'22'!$A$1:$L$40</definedName>
    <definedName name="Z_E646B2A6_D876_4850_BD6A_9EDE7D7D90A5_.wvu.PrintArea" localSheetId="22" hidden="1">'23'!$A$1:$J$41</definedName>
    <definedName name="Z_E646B2A6_D876_4850_BD6A_9EDE7D7D90A5_.wvu.PrintArea" localSheetId="23" hidden="1">'24'!$A$1:$J$38</definedName>
    <definedName name="Z_E646B2A6_D876_4850_BD6A_9EDE7D7D90A5_.wvu.PrintArea" localSheetId="24" hidden="1">'25'!$A$1:$L$34</definedName>
    <definedName name="Z_E646B2A6_D876_4850_BD6A_9EDE7D7D90A5_.wvu.PrintArea" localSheetId="25" hidden="1">'26'!$A$1:$L$33</definedName>
    <definedName name="Z_E646B2A6_D876_4850_BD6A_9EDE7D7D90A5_.wvu.PrintArea" localSheetId="26" hidden="1">'27'!$A$1:$K$31</definedName>
    <definedName name="Z_E646B2A6_D876_4850_BD6A_9EDE7D7D90A5_.wvu.PrintArea" localSheetId="27" hidden="1">'28'!$A$1:$K$32</definedName>
    <definedName name="Z_E646B2A6_D876_4850_BD6A_9EDE7D7D90A5_.wvu.PrintArea" localSheetId="28" hidden="1">'29'!$A$1:$J$38</definedName>
    <definedName name="Z_E646B2A6_D876_4850_BD6A_9EDE7D7D90A5_.wvu.PrintArea" localSheetId="2" hidden="1">'3'!$A$1:$L$32</definedName>
    <definedName name="Z_E646B2A6_D876_4850_BD6A_9EDE7D7D90A5_.wvu.PrintArea" localSheetId="29" hidden="1">'30'!$A$1:$M$41</definedName>
    <definedName name="Z_E646B2A6_D876_4850_BD6A_9EDE7D7D90A5_.wvu.PrintArea" localSheetId="3" hidden="1">'4'!$A$1:$L$40</definedName>
    <definedName name="Z_E646B2A6_D876_4850_BD6A_9EDE7D7D90A5_.wvu.PrintArea" localSheetId="4" hidden="1">'5'!$A$1:$L$37</definedName>
    <definedName name="Z_E646B2A6_D876_4850_BD6A_9EDE7D7D90A5_.wvu.PrintArea" localSheetId="5" hidden="1">'6'!$A$1:$L$37</definedName>
    <definedName name="Z_E646B2A6_D876_4850_BD6A_9EDE7D7D90A5_.wvu.PrintArea" localSheetId="6" hidden="1">'7'!$A$1:$L$39</definedName>
    <definedName name="Z_E646B2A6_D876_4850_BD6A_9EDE7D7D90A5_.wvu.PrintArea" localSheetId="7" hidden="1">'8'!$A$1:$L$32</definedName>
    <definedName name="Z_E646B2A6_D876_4850_BD6A_9EDE7D7D90A5_.wvu.PrintArea" localSheetId="8" hidden="1">'9'!$A$1:$L$46</definedName>
    <definedName name="Z_F72E1D2B_35A0_48DE_9DE8_D5DC19588220_.wvu.FilterData" localSheetId="9" hidden="1">'10'!$A$6:$K$28</definedName>
    <definedName name="Z_F72E1D2B_35A0_48DE_9DE8_D5DC19588220_.wvu.FilterData" localSheetId="8" hidden="1">'9'!$A$6:$K$34</definedName>
    <definedName name="Z_F72E1D2B_35A0_48DE_9DE8_D5DC19588220_.wvu.PrintArea" localSheetId="0" hidden="1">'1'!$A$1:$L$39</definedName>
    <definedName name="Z_F72E1D2B_35A0_48DE_9DE8_D5DC19588220_.wvu.PrintArea" localSheetId="9" hidden="1">'10'!$A$1:$L$42</definedName>
    <definedName name="Z_F72E1D2B_35A0_48DE_9DE8_D5DC19588220_.wvu.PrintArea" localSheetId="10" hidden="1">'11'!$A$1:$J$40</definedName>
    <definedName name="Z_F72E1D2B_35A0_48DE_9DE8_D5DC19588220_.wvu.PrintArea" localSheetId="11" hidden="1">'12'!$A$1:$L$36</definedName>
    <definedName name="Z_F72E1D2B_35A0_48DE_9DE8_D5DC19588220_.wvu.PrintArea" localSheetId="12" hidden="1">'13'!$A$1:$L$38</definedName>
    <definedName name="Z_F72E1D2B_35A0_48DE_9DE8_D5DC19588220_.wvu.PrintArea" localSheetId="13" hidden="1">'14'!$A$1:$J$38</definedName>
    <definedName name="Z_F72E1D2B_35A0_48DE_9DE8_D5DC19588220_.wvu.PrintArea" localSheetId="14" hidden="1">'15'!$A$1:$L$38</definedName>
    <definedName name="Z_F72E1D2B_35A0_48DE_9DE8_D5DC19588220_.wvu.PrintArea" localSheetId="15" hidden="1">'16'!$A$1:$L$33</definedName>
    <definedName name="Z_F72E1D2B_35A0_48DE_9DE8_D5DC19588220_.wvu.PrintArea" localSheetId="16" hidden="1">'17'!$A$1:$L$35</definedName>
    <definedName name="Z_F72E1D2B_35A0_48DE_9DE8_D5DC19588220_.wvu.PrintArea" localSheetId="17" hidden="1">'18'!$A$1:$L$38</definedName>
    <definedName name="Z_F72E1D2B_35A0_48DE_9DE8_D5DC19588220_.wvu.PrintArea" localSheetId="18" hidden="1">'19'!$A$1:$L$38</definedName>
    <definedName name="Z_F72E1D2B_35A0_48DE_9DE8_D5DC19588220_.wvu.PrintArea" localSheetId="1" hidden="1">'2'!$A$1:$L$38</definedName>
    <definedName name="Z_F72E1D2B_35A0_48DE_9DE8_D5DC19588220_.wvu.PrintArea" localSheetId="19" hidden="1">'20'!$A$1:$J$31</definedName>
    <definedName name="Z_F72E1D2B_35A0_48DE_9DE8_D5DC19588220_.wvu.PrintArea" localSheetId="20" hidden="1">'21'!$A$1:$L$33</definedName>
    <definedName name="Z_F72E1D2B_35A0_48DE_9DE8_D5DC19588220_.wvu.PrintArea" localSheetId="21" hidden="1">'22'!$A$1:$L$40</definedName>
    <definedName name="Z_F72E1D2B_35A0_48DE_9DE8_D5DC19588220_.wvu.PrintArea" localSheetId="22" hidden="1">'23'!$A$1:$J$41</definedName>
    <definedName name="Z_F72E1D2B_35A0_48DE_9DE8_D5DC19588220_.wvu.PrintArea" localSheetId="23" hidden="1">'24'!$A$1:$J$38</definedName>
    <definedName name="Z_F72E1D2B_35A0_48DE_9DE8_D5DC19588220_.wvu.PrintArea" localSheetId="24" hidden="1">'25'!$A$1:$L$34</definedName>
    <definedName name="Z_F72E1D2B_35A0_48DE_9DE8_D5DC19588220_.wvu.PrintArea" localSheetId="25" hidden="1">'26'!$A$1:$L$33</definedName>
    <definedName name="Z_F72E1D2B_35A0_48DE_9DE8_D5DC19588220_.wvu.PrintArea" localSheetId="26" hidden="1">'27'!$A$1:$K$31</definedName>
    <definedName name="Z_F72E1D2B_35A0_48DE_9DE8_D5DC19588220_.wvu.PrintArea" localSheetId="27" hidden="1">'28'!$A$1:$K$32</definedName>
    <definedName name="Z_F72E1D2B_35A0_48DE_9DE8_D5DC19588220_.wvu.PrintArea" localSheetId="28" hidden="1">'29'!$A$1:$J$38</definedName>
    <definedName name="Z_F72E1D2B_35A0_48DE_9DE8_D5DC19588220_.wvu.PrintArea" localSheetId="2" hidden="1">'3'!$A$1:$L$32</definedName>
    <definedName name="Z_F72E1D2B_35A0_48DE_9DE8_D5DC19588220_.wvu.PrintArea" localSheetId="29" hidden="1">'30'!$A$1:$M$41</definedName>
    <definedName name="Z_F72E1D2B_35A0_48DE_9DE8_D5DC19588220_.wvu.PrintArea" localSheetId="3" hidden="1">'4'!$A$1:$L$40</definedName>
    <definedName name="Z_F72E1D2B_35A0_48DE_9DE8_D5DC19588220_.wvu.PrintArea" localSheetId="4" hidden="1">'5'!$A$1:$L$37</definedName>
    <definedName name="Z_F72E1D2B_35A0_48DE_9DE8_D5DC19588220_.wvu.PrintArea" localSheetId="5" hidden="1">'6'!$A$1:$L$37</definedName>
    <definedName name="Z_F72E1D2B_35A0_48DE_9DE8_D5DC19588220_.wvu.PrintArea" localSheetId="6" hidden="1">'7'!$A$1:$L$39</definedName>
    <definedName name="Z_F72E1D2B_35A0_48DE_9DE8_D5DC19588220_.wvu.PrintArea" localSheetId="7" hidden="1">'8'!$A$1:$L$32</definedName>
    <definedName name="Z_F72E1D2B_35A0_48DE_9DE8_D5DC19588220_.wvu.PrintArea" localSheetId="8" hidden="1">'9'!$A$1:$L$46</definedName>
  </definedNames>
  <calcPr calcId="162913" calcOnSave="0"/>
  <customWorkbookViews>
    <customWorkbookView name="Dive Centre Office - Personal View" guid="{744BB052-D863-41D2-951C-2AB325855A97}" mergeInterval="0" personalView="1" maximized="1" xWindow="-9" yWindow="-9" windowWidth="1938" windowHeight="1038" tabRatio="755" activeSheetId="30"/>
    <customWorkbookView name="Dive Centre Manager - Personal View" guid="{E646B2A6-D876-4850-BD6A-9EDE7D7D90A5}" mergeInterval="0" personalView="1" maximized="1" xWindow="-9" yWindow="-9" windowWidth="1938" windowHeight="1038" tabRatio="817" activeSheetId="18"/>
    <customWorkbookView name="Dive Center - Personal View" guid="{BF5B6E81-A93C-498B-825D-A8F997D33B36}" mergeInterval="0" personalView="1" maximized="1" xWindow="-8" yWindow="-8" windowWidth="1382" windowHeight="744" tabRatio="817" activeSheetId="1"/>
    <customWorkbookView name="Dhigurah Water Sports - Personal View" guid="{F72E1D2B-35A0-48DE-9DE8-D5DC19588220}" mergeInterval="0" personalView="1" maximized="1" xWindow="-8" yWindow="-8" windowWidth="1382" windowHeight="736" tabRatio="817" activeSheetId="24"/>
    <customWorkbookView name="Assistant DiveCenter Manager - Personal View" guid="{4E59406A-696F-45F3-96CE-A9A2B9D4DCC4}" mergeInterval="0" personalView="1" maximized="1" xWindow="-9" yWindow="-9" windowWidth="1938" windowHeight="1038" tabRatio="817" activeSheetId="3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8" i="30" l="1"/>
  <c r="M25" i="30"/>
  <c r="M24" i="30"/>
  <c r="M21" i="30"/>
  <c r="M20" i="30"/>
  <c r="H30" i="30" l="1"/>
  <c r="G21" i="28" l="1"/>
  <c r="F21" i="28"/>
  <c r="E27" i="29"/>
  <c r="G20" i="27"/>
  <c r="F20" i="27"/>
  <c r="H22" i="26"/>
  <c r="G22" i="26"/>
  <c r="H23" i="25" l="1"/>
  <c r="G23" i="25"/>
  <c r="J16" i="23" l="1"/>
  <c r="E30" i="23" l="1"/>
  <c r="H29" i="22" l="1"/>
  <c r="G29" i="22"/>
  <c r="G22" i="21" l="1"/>
  <c r="L17" i="21"/>
  <c r="L7" i="21"/>
  <c r="L12" i="21"/>
  <c r="L16" i="21"/>
  <c r="F20" i="20" l="1"/>
  <c r="E20" i="20"/>
  <c r="H27" i="19" l="1"/>
  <c r="G27" i="19"/>
  <c r="L20" i="18" l="1"/>
  <c r="L17" i="18"/>
  <c r="H27" i="18" l="1"/>
  <c r="G27" i="18"/>
  <c r="L16" i="18" l="1"/>
  <c r="L12" i="18"/>
  <c r="L14" i="18"/>
  <c r="L7" i="18"/>
  <c r="H24" i="17" l="1"/>
  <c r="G24" i="17"/>
  <c r="H22" i="16" l="1"/>
  <c r="G22" i="16"/>
  <c r="E22" i="16" l="1"/>
  <c r="I22" i="16"/>
  <c r="H27" i="13" l="1"/>
  <c r="G27" i="13"/>
  <c r="H25" i="12" l="1"/>
  <c r="G25" i="12"/>
  <c r="F27" i="11" l="1"/>
  <c r="E27" i="11"/>
  <c r="L25" i="10" l="1"/>
  <c r="L14" i="9" l="1"/>
  <c r="L30" i="9" l="1"/>
  <c r="L29" i="9"/>
  <c r="H46" i="9"/>
  <c r="G46" i="9"/>
  <c r="H29" i="7" l="1"/>
  <c r="G29" i="7"/>
  <c r="H22" i="8" l="1"/>
  <c r="G22" i="8"/>
  <c r="L17" i="6" l="1"/>
  <c r="G27" i="6" l="1"/>
  <c r="L19" i="5" l="1"/>
  <c r="L19" i="4" l="1"/>
  <c r="L18" i="4" l="1"/>
  <c r="L17" i="4"/>
  <c r="L16" i="4"/>
  <c r="L15" i="4"/>
  <c r="L14" i="4"/>
  <c r="L11" i="4"/>
  <c r="L10" i="4"/>
  <c r="H27" i="5" l="1"/>
  <c r="G27" i="5"/>
  <c r="L12" i="3" l="1"/>
  <c r="L11" i="3"/>
  <c r="L10" i="3"/>
  <c r="L9" i="3"/>
  <c r="H22" i="3" l="1"/>
  <c r="G22" i="3"/>
  <c r="L19" i="2" l="1"/>
  <c r="L13" i="2"/>
  <c r="L9" i="2"/>
  <c r="L8" i="2"/>
  <c r="L16" i="2"/>
  <c r="L15" i="2"/>
  <c r="L11" i="2"/>
  <c r="L10" i="2"/>
  <c r="L17" i="2"/>
  <c r="L18" i="2"/>
  <c r="L7" i="2"/>
  <c r="H27" i="2" l="1"/>
  <c r="G27" i="2"/>
  <c r="L15" i="1" l="1"/>
  <c r="L14" i="1"/>
  <c r="L13" i="1"/>
  <c r="L12" i="1"/>
  <c r="H30" i="4" l="1"/>
  <c r="G30" i="4"/>
  <c r="L5" i="30" l="1"/>
  <c r="I5" i="29"/>
  <c r="J5" i="28"/>
  <c r="J5" i="27"/>
  <c r="K5" i="26"/>
  <c r="K5" i="25"/>
  <c r="I5" i="24"/>
  <c r="I5" i="23"/>
  <c r="K5" i="22"/>
  <c r="K5" i="21"/>
  <c r="I5" i="20"/>
  <c r="K5" i="19"/>
  <c r="K5" i="18"/>
  <c r="K5" i="17"/>
  <c r="K5" i="16"/>
  <c r="K5" i="15"/>
  <c r="I5" i="14"/>
  <c r="K5" i="13"/>
  <c r="K5" i="12"/>
  <c r="I5" i="11"/>
  <c r="K5" i="10"/>
  <c r="K5" i="9"/>
  <c r="K5" i="8"/>
  <c r="K5" i="7"/>
  <c r="K5" i="6"/>
  <c r="K5" i="5"/>
  <c r="K5" i="4"/>
  <c r="K5" i="3"/>
  <c r="K5" i="2"/>
  <c r="K5" i="1"/>
  <c r="M13" i="30" l="1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K20" i="28"/>
  <c r="K19" i="28"/>
  <c r="K18" i="28"/>
  <c r="K17" i="28"/>
  <c r="K16" i="28"/>
  <c r="K12" i="28"/>
  <c r="K11" i="28"/>
  <c r="K10" i="28"/>
  <c r="K19" i="27"/>
  <c r="K18" i="27"/>
  <c r="K17" i="27"/>
  <c r="K16" i="27"/>
  <c r="K15" i="27"/>
  <c r="K14" i="27"/>
  <c r="K13" i="27"/>
  <c r="K12" i="27"/>
  <c r="K11" i="27"/>
  <c r="K10" i="27"/>
  <c r="K9" i="27"/>
  <c r="K8" i="27"/>
  <c r="K7" i="27"/>
  <c r="L21" i="26"/>
  <c r="L20" i="26"/>
  <c r="L19" i="26"/>
  <c r="L18" i="26"/>
  <c r="L17" i="26"/>
  <c r="L16" i="26"/>
  <c r="L14" i="26"/>
  <c r="L13" i="26"/>
  <c r="L10" i="26"/>
  <c r="L9" i="26"/>
  <c r="L8" i="26"/>
  <c r="L22" i="25"/>
  <c r="L21" i="25"/>
  <c r="L19" i="25"/>
  <c r="L17" i="25"/>
  <c r="L16" i="25"/>
  <c r="L15" i="25"/>
  <c r="L14" i="25"/>
  <c r="L13" i="25"/>
  <c r="L11" i="25"/>
  <c r="L10" i="25"/>
  <c r="L9" i="25"/>
  <c r="L8" i="25"/>
  <c r="J26" i="24"/>
  <c r="J25" i="24"/>
  <c r="J24" i="24"/>
  <c r="J23" i="24"/>
  <c r="J22" i="24"/>
  <c r="J21" i="24"/>
  <c r="J20" i="24"/>
  <c r="J19" i="24"/>
  <c r="J18" i="24"/>
  <c r="J17" i="24"/>
  <c r="J16" i="24"/>
  <c r="J15" i="24"/>
  <c r="J14" i="24"/>
  <c r="J13" i="24"/>
  <c r="J12" i="24"/>
  <c r="J11" i="24"/>
  <c r="J10" i="24"/>
  <c r="J8" i="24"/>
  <c r="J7" i="24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4" i="23"/>
  <c r="J12" i="23"/>
  <c r="J11" i="23"/>
  <c r="J10" i="23"/>
  <c r="J9" i="23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4" i="22"/>
  <c r="L13" i="22"/>
  <c r="L12" i="22"/>
  <c r="L11" i="22"/>
  <c r="L10" i="22"/>
  <c r="L9" i="22"/>
  <c r="L8" i="22"/>
  <c r="L21" i="21"/>
  <c r="L20" i="21"/>
  <c r="L19" i="21"/>
  <c r="L18" i="21"/>
  <c r="L9" i="21"/>
  <c r="J19" i="20"/>
  <c r="J18" i="20"/>
  <c r="J17" i="20"/>
  <c r="J16" i="20"/>
  <c r="J15" i="20"/>
  <c r="J14" i="20"/>
  <c r="J12" i="20"/>
  <c r="J11" i="20"/>
  <c r="J9" i="20"/>
  <c r="J8" i="20"/>
  <c r="J7" i="20"/>
  <c r="L26" i="19"/>
  <c r="L25" i="19"/>
  <c r="L24" i="19"/>
  <c r="L23" i="19"/>
  <c r="L22" i="19"/>
  <c r="L21" i="19"/>
  <c r="L16" i="19"/>
  <c r="L7" i="19"/>
  <c r="L19" i="19"/>
  <c r="L18" i="19"/>
  <c r="L10" i="19"/>
  <c r="L15" i="19"/>
  <c r="L8" i="19"/>
  <c r="L26" i="18"/>
  <c r="L25" i="18"/>
  <c r="L24" i="18"/>
  <c r="L23" i="18"/>
  <c r="L22" i="18"/>
  <c r="L21" i="18"/>
  <c r="L23" i="17"/>
  <c r="L21" i="17"/>
  <c r="L8" i="17"/>
  <c r="L26" i="15"/>
  <c r="L25" i="15"/>
  <c r="L24" i="15"/>
  <c r="L23" i="15"/>
  <c r="L22" i="15"/>
  <c r="L21" i="15"/>
  <c r="L20" i="15"/>
  <c r="L19" i="15"/>
  <c r="L18" i="15"/>
  <c r="L17" i="15"/>
  <c r="L14" i="15"/>
  <c r="L13" i="15"/>
  <c r="L11" i="15"/>
  <c r="L9" i="15"/>
  <c r="L8" i="15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7" i="13"/>
  <c r="L22" i="12"/>
  <c r="L21" i="12"/>
  <c r="L20" i="12"/>
  <c r="L19" i="12"/>
  <c r="L18" i="12"/>
  <c r="L17" i="12"/>
  <c r="L16" i="12"/>
  <c r="L15" i="12"/>
  <c r="L14" i="12"/>
  <c r="L23" i="12"/>
  <c r="L13" i="12"/>
  <c r="L12" i="12"/>
  <c r="L11" i="12"/>
  <c r="L10" i="12"/>
  <c r="L9" i="12"/>
  <c r="L8" i="12"/>
  <c r="L24" i="12"/>
  <c r="J26" i="11"/>
  <c r="J25" i="11"/>
  <c r="J24" i="11"/>
  <c r="J23" i="11"/>
  <c r="J22" i="11"/>
  <c r="J21" i="11"/>
  <c r="J20" i="11"/>
  <c r="J18" i="11"/>
  <c r="J17" i="11"/>
  <c r="J16" i="11"/>
  <c r="J15" i="11"/>
  <c r="J14" i="11"/>
  <c r="J13" i="11"/>
  <c r="J12" i="11"/>
  <c r="J9" i="11"/>
  <c r="J8" i="11"/>
  <c r="L31" i="10"/>
  <c r="L30" i="10"/>
  <c r="L29" i="10"/>
  <c r="L24" i="10"/>
  <c r="L23" i="10"/>
  <c r="L22" i="10"/>
  <c r="L21" i="10"/>
  <c r="L20" i="10"/>
  <c r="L19" i="10"/>
  <c r="L18" i="10"/>
  <c r="L17" i="10"/>
  <c r="L16" i="10"/>
  <c r="L15" i="10"/>
  <c r="L12" i="10"/>
  <c r="L11" i="10"/>
  <c r="L10" i="10"/>
  <c r="L9" i="10"/>
  <c r="L34" i="9"/>
  <c r="L28" i="9"/>
  <c r="L27" i="9"/>
  <c r="L26" i="9"/>
  <c r="L25" i="9"/>
  <c r="L24" i="9"/>
  <c r="L23" i="9"/>
  <c r="L22" i="9"/>
  <c r="L20" i="9"/>
  <c r="L19" i="9"/>
  <c r="L18" i="9"/>
  <c r="L17" i="9"/>
  <c r="L16" i="9"/>
  <c r="L15" i="9"/>
  <c r="L13" i="9"/>
  <c r="L12" i="9"/>
  <c r="L11" i="9"/>
  <c r="L10" i="9"/>
  <c r="L9" i="9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28" i="7"/>
  <c r="L27" i="7"/>
  <c r="L26" i="7"/>
  <c r="L25" i="7"/>
  <c r="L24" i="7"/>
  <c r="L23" i="7"/>
  <c r="L22" i="7"/>
  <c r="L21" i="7"/>
  <c r="L19" i="7"/>
  <c r="L18" i="7"/>
  <c r="L17" i="7"/>
  <c r="L16" i="7"/>
  <c r="L15" i="7"/>
  <c r="L13" i="7"/>
  <c r="L12" i="7"/>
  <c r="L10" i="7"/>
  <c r="L8" i="7"/>
  <c r="L26" i="6"/>
  <c r="L25" i="6"/>
  <c r="L24" i="6"/>
  <c r="L23" i="6"/>
  <c r="L22" i="6"/>
  <c r="L21" i="6"/>
  <c r="L20" i="6"/>
  <c r="L19" i="6"/>
  <c r="L18" i="6"/>
  <c r="L16" i="6"/>
  <c r="L15" i="6"/>
  <c r="L14" i="6"/>
  <c r="L13" i="6"/>
  <c r="L11" i="6"/>
  <c r="L26" i="5"/>
  <c r="L25" i="5"/>
  <c r="L24" i="5"/>
  <c r="L9" i="5"/>
  <c r="L17" i="5"/>
  <c r="L15" i="5"/>
  <c r="L18" i="5"/>
  <c r="L8" i="5"/>
  <c r="L7" i="5"/>
  <c r="L14" i="5"/>
  <c r="L12" i="5"/>
  <c r="L11" i="5"/>
  <c r="L16" i="5"/>
  <c r="L29" i="4"/>
  <c r="L28" i="4"/>
  <c r="L27" i="4"/>
  <c r="L8" i="4"/>
  <c r="L9" i="4"/>
  <c r="L23" i="4"/>
  <c r="L25" i="4"/>
  <c r="L24" i="4"/>
  <c r="L21" i="3"/>
  <c r="L20" i="3"/>
  <c r="L19" i="3"/>
  <c r="L18" i="3"/>
  <c r="L26" i="2"/>
  <c r="L25" i="2"/>
  <c r="L24" i="2"/>
  <c r="L23" i="2"/>
  <c r="L22" i="2"/>
  <c r="L8" i="1"/>
  <c r="L9" i="1"/>
  <c r="L10" i="1"/>
  <c r="L11" i="1"/>
  <c r="L7" i="1"/>
  <c r="L20" i="1"/>
  <c r="L21" i="1"/>
  <c r="L22" i="1"/>
  <c r="L23" i="1"/>
  <c r="L24" i="1"/>
  <c r="L25" i="1"/>
  <c r="L26" i="1"/>
  <c r="L27" i="1" l="1"/>
  <c r="H28" i="1" l="1"/>
  <c r="G28" i="1"/>
  <c r="E28" i="1" s="1"/>
  <c r="I30" i="30" l="1"/>
  <c r="F27" i="29"/>
  <c r="C27" i="29"/>
  <c r="D21" i="28"/>
  <c r="D20" i="27"/>
  <c r="E23" i="25"/>
  <c r="F27" i="24"/>
  <c r="E27" i="24"/>
  <c r="C27" i="24" s="1"/>
  <c r="F30" i="23"/>
  <c r="C30" i="23"/>
  <c r="E29" i="22"/>
  <c r="H22" i="21"/>
  <c r="E22" i="21"/>
  <c r="C20" i="20"/>
  <c r="E27" i="19"/>
  <c r="E27" i="18"/>
  <c r="E24" i="17"/>
  <c r="H27" i="15"/>
  <c r="G27" i="15"/>
  <c r="E27" i="15" s="1"/>
  <c r="F27" i="14"/>
  <c r="E27" i="14"/>
  <c r="C27" i="14" s="1"/>
  <c r="E27" i="13"/>
  <c r="E25" i="12"/>
  <c r="C27" i="11"/>
  <c r="E46" i="9"/>
  <c r="E22" i="8"/>
  <c r="E29" i="7"/>
  <c r="H27" i="6"/>
  <c r="E27" i="6"/>
  <c r="E27" i="5"/>
  <c r="E30" i="4"/>
  <c r="E22" i="3"/>
  <c r="E27" i="2"/>
  <c r="E22" i="26" l="1"/>
  <c r="F30" i="30"/>
</calcChain>
</file>

<file path=xl/sharedStrings.xml><?xml version="1.0" encoding="utf-8"?>
<sst xmlns="http://schemas.openxmlformats.org/spreadsheetml/2006/main" count="2167" uniqueCount="634">
  <si>
    <t xml:space="preserve">Note :  we require a booking  of 4 guests minimum </t>
  </si>
  <si>
    <t>Room No:</t>
  </si>
  <si>
    <t>Guest Name</t>
  </si>
  <si>
    <t>Liability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</si>
  <si>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</si>
  <si>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</si>
  <si>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</si>
  <si>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</si>
  <si>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</si>
  <si>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</si>
  <si>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</si>
  <si>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</si>
  <si>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</si>
  <si>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</si>
  <si>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</si>
  <si>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SUNSET DOLPHIN EXCURSION  (MAX 20 PAX)  USD$65PP  17:00 TO 18:30</t>
  </si>
  <si>
    <t>Adults</t>
  </si>
  <si>
    <t>Child</t>
  </si>
  <si>
    <t xml:space="preserve">Date:                </t>
  </si>
  <si>
    <t>TOTAL</t>
  </si>
  <si>
    <t>Remarks</t>
  </si>
  <si>
    <t>Departure</t>
  </si>
  <si>
    <t>MR. LEE KIEN LOONG </t>
  </si>
  <si>
    <t>Prebooking</t>
  </si>
  <si>
    <t>Vifau/Shamrath</t>
  </si>
  <si>
    <t>MR. CHOW YOONG HERN </t>
  </si>
  <si>
    <t>Monica/Tarush</t>
  </si>
  <si>
    <t>Mr Liam Byrne</t>
  </si>
  <si>
    <t>2889678 (TRMD)</t>
  </si>
  <si>
    <t>Ms. Theresa Lamarque</t>
  </si>
  <si>
    <t>Faiha/Shamrath</t>
  </si>
  <si>
    <t>Jacqueline Gyer</t>
  </si>
  <si>
    <t>BJOERNHEDEN/JONNA LISA MS</t>
  </si>
  <si>
    <t>PreBooking</t>
  </si>
  <si>
    <t>Mrs. Emma Popplewell</t>
  </si>
  <si>
    <t xml:space="preserve">Mr. Paul Warren </t>
  </si>
  <si>
    <t>VENTURA QUEIJA/SANTIAGO</t>
  </si>
  <si>
    <t>Mr. John Neophytou</t>
  </si>
  <si>
    <t>Mr. Hidetomo Yamaguchi</t>
  </si>
  <si>
    <t>Tarush/Shamrath</t>
  </si>
  <si>
    <t>Mr. Jean Audouin Duval</t>
  </si>
  <si>
    <t xml:space="preserve">CHONG Yee Chee </t>
  </si>
  <si>
    <t xml:space="preserve">Mr LIEW WEI HONG </t>
  </si>
  <si>
    <t>Gavin David Hogg</t>
  </si>
  <si>
    <t>Shamrath/Tarush</t>
  </si>
  <si>
    <t>Ms. Debra-Lee Faith</t>
  </si>
  <si>
    <t>Mr Thomas Christopher Dore</t>
  </si>
  <si>
    <t>25761654-TRML</t>
  </si>
  <si>
    <t>Ms. Darla Nicole Hocks</t>
  </si>
  <si>
    <t>Mr Matthew Stubbs</t>
  </si>
  <si>
    <t>Faiha/Monica</t>
  </si>
  <si>
    <t>laura furnival</t>
  </si>
  <si>
    <t>Mrs. Emma Beckley</t>
  </si>
  <si>
    <t>ZHANG,CHONGJIA MR</t>
  </si>
  <si>
    <t>MR TSUCHIYA/KOHEI</t>
  </si>
  <si>
    <t>MR.PAN/YAN</t>
  </si>
  <si>
    <t xml:space="preserve">MA CHENGHUA .MR </t>
  </si>
  <si>
    <t>LI,MENG .MR</t>
  </si>
  <si>
    <t>Ms. Samara Zendera</t>
  </si>
  <si>
    <t xml:space="preserve">MS. LEE WAN JOO </t>
  </si>
  <si>
    <t>MS.QIU/ZIYU</t>
  </si>
  <si>
    <t>Ms Jihie Kim</t>
  </si>
  <si>
    <t>SONG YUHUI / MR</t>
  </si>
  <si>
    <t>MR. ZHU XI</t>
  </si>
  <si>
    <t>Mr. Johnsathiyakumar Adinoshapherjohn</t>
  </si>
  <si>
    <t>Mr. Shanmugaraj Baskaran</t>
  </si>
  <si>
    <t>CHANGED TO 3RD APRIL</t>
  </si>
  <si>
    <t>OLD</t>
  </si>
  <si>
    <t>MS.YE/FEI</t>
  </si>
  <si>
    <t>MR NG CHID HON</t>
  </si>
  <si>
    <t xml:space="preserve">MS.WANG/QIUYUE </t>
  </si>
  <si>
    <t xml:space="preserve">MR.LIU/PENG </t>
  </si>
  <si>
    <t>MS. HONG MEI</t>
  </si>
  <si>
    <t>MR.CHEN/ZEYE</t>
  </si>
  <si>
    <t>MR.WANG/BINYU</t>
  </si>
  <si>
    <t>MR.LIU/SIDONG</t>
  </si>
  <si>
    <t>Carl/Tarush</t>
  </si>
  <si>
    <t>MS. NAN WANG</t>
  </si>
  <si>
    <t>MR.QI/KAIYU</t>
  </si>
  <si>
    <t>Mr. Abhyuday Shekhawat</t>
  </si>
  <si>
    <t>3160175-TRMD</t>
  </si>
  <si>
    <t>MR.HE/WENLI</t>
  </si>
  <si>
    <t>Vifau/Monica</t>
  </si>
  <si>
    <t>Mr. Julien Desbureaux</t>
  </si>
  <si>
    <t>MS.ZHANG GUANNAN </t>
  </si>
  <si>
    <t>Mr Pakchum Tse</t>
  </si>
  <si>
    <t>Mrs Jane Tse</t>
  </si>
  <si>
    <t xml:space="preserve">Ms. Lee/Myolan &amp; Ms. Kim/Suin </t>
  </si>
  <si>
    <t>Mr.Liu Bo / Mr. Zhu Songling / Ms. Lin Yi and other</t>
  </si>
  <si>
    <t>FAM TRIP</t>
  </si>
  <si>
    <t>Ahalya/Tarush</t>
  </si>
  <si>
    <t xml:space="preserve">MR.CHEN/QI </t>
  </si>
  <si>
    <t>OLD according to email</t>
  </si>
  <si>
    <t>CXL 4</t>
  </si>
  <si>
    <t>Mr Michael Jetson</t>
  </si>
  <si>
    <t xml:space="preserve">MR. YANG,ZIXI </t>
  </si>
  <si>
    <t>Mr. Martin Fairhurst</t>
  </si>
  <si>
    <t>MS.HAO,QIAN</t>
  </si>
  <si>
    <t>Mr Paul Neville</t>
  </si>
  <si>
    <t>Ms Rauha Bato Liukkonen</t>
  </si>
  <si>
    <t>Faiha/Jenny</t>
  </si>
  <si>
    <t>Hongyun Zhang</t>
  </si>
  <si>
    <t>Juan Qin</t>
  </si>
  <si>
    <t>Jinshu Sun</t>
  </si>
  <si>
    <t>Rahil/Win</t>
  </si>
  <si>
    <t>MS. QINGYU ZHAO</t>
  </si>
  <si>
    <t>ALLOCATION</t>
  </si>
  <si>
    <t>Ms. Susan Mitchell</t>
  </si>
  <si>
    <t>UV/Xuan</t>
  </si>
  <si>
    <t>Mrs. Georgina Salomón Navarro</t>
  </si>
  <si>
    <t>Vifau</t>
  </si>
  <si>
    <t>Ms. Angela Vinagre Lemus (and Astrid)</t>
  </si>
  <si>
    <t>Ki Lim</t>
  </si>
  <si>
    <t>uv/Tarush</t>
  </si>
  <si>
    <t>Hui Han</t>
  </si>
  <si>
    <t>Vifau/Lu</t>
  </si>
  <si>
    <t>Mrs Karen Messer</t>
  </si>
  <si>
    <t>Tarush</t>
  </si>
  <si>
    <t>Mr. Ji Xiangxin</t>
  </si>
  <si>
    <t>Sergio Tapia Casas</t>
  </si>
  <si>
    <t>Mr.Kwangjun</t>
  </si>
  <si>
    <t>CXL4</t>
  </si>
  <si>
    <t>CXL2</t>
  </si>
  <si>
    <t>SAI(FOC)</t>
  </si>
  <si>
    <t>SAI</t>
  </si>
  <si>
    <t>ITA</t>
  </si>
  <si>
    <t>667/870</t>
  </si>
  <si>
    <t>669/869</t>
  </si>
  <si>
    <t>Jin Lei</t>
  </si>
  <si>
    <t>332/</t>
  </si>
  <si>
    <t>Rahil</t>
  </si>
  <si>
    <t>Jan Jensen</t>
  </si>
  <si>
    <t>PAI</t>
  </si>
  <si>
    <t>Hannan Ali Jamal Nasir</t>
  </si>
  <si>
    <t>Nico Alena</t>
  </si>
  <si>
    <t>Faiha</t>
  </si>
  <si>
    <t>MS.ZHAO/SHUANGCHEN</t>
  </si>
  <si>
    <t>Ishaan/Tarush</t>
  </si>
  <si>
    <t>Yusuke Ojima</t>
  </si>
  <si>
    <t>Yan Yang</t>
  </si>
  <si>
    <t>Dan Zhou</t>
  </si>
  <si>
    <t>Daniel Cotterill</t>
  </si>
  <si>
    <t>BOOKING CLOSED</t>
  </si>
  <si>
    <t>Aiperi/Tarush</t>
  </si>
  <si>
    <t>Katsuya Mitera</t>
  </si>
  <si>
    <t>PP 2</t>
  </si>
  <si>
    <t>Mr. WANG,SHUOSHI </t>
  </si>
  <si>
    <t>Sascha Goetz</t>
  </si>
  <si>
    <t>Lorenzo/Tarush</t>
  </si>
  <si>
    <t>MS.XU/DONGYAN</t>
  </si>
  <si>
    <t>Shamrath/Traush</t>
  </si>
  <si>
    <t>Min Jiang</t>
  </si>
  <si>
    <t>330/319</t>
  </si>
  <si>
    <t>SAI(NP)</t>
  </si>
  <si>
    <t>HB(NP)</t>
  </si>
  <si>
    <t>Sujeong Kim</t>
  </si>
  <si>
    <t>Faiha/UV</t>
  </si>
  <si>
    <t>679/868</t>
  </si>
  <si>
    <t>886/315</t>
  </si>
  <si>
    <t>MR Huang Bin</t>
  </si>
  <si>
    <t>Ishan/Tarush</t>
  </si>
  <si>
    <t>Ryo Tohyama</t>
  </si>
  <si>
    <t>Junho Lee</t>
  </si>
  <si>
    <t>Uv/Tarush</t>
  </si>
  <si>
    <t>Maaji</t>
  </si>
  <si>
    <t>Shun Takeda</t>
  </si>
  <si>
    <t>pp2</t>
  </si>
  <si>
    <t>Win/Maaji</t>
  </si>
  <si>
    <t>Jielu Gao</t>
  </si>
  <si>
    <t>Steven Hunt</t>
  </si>
  <si>
    <t>Allocation</t>
  </si>
  <si>
    <t>Molly Hunt</t>
  </si>
  <si>
    <t>Carl Duckworth</t>
  </si>
  <si>
    <t>Ishan/Maaji</t>
  </si>
  <si>
    <t>Anquan Wang</t>
  </si>
  <si>
    <t>SUNSET DOLPHIN EXCURSION  (MAX 25 PAX)  USD$65PP  17:00 TO 18:30</t>
  </si>
  <si>
    <t>Yuto Furuuchi</t>
  </si>
  <si>
    <t>Olivia Steyne</t>
  </si>
  <si>
    <t>PP4</t>
  </si>
  <si>
    <t>2 PAX allocation/ Child rate $33++</t>
  </si>
  <si>
    <t>CAO,YI .Ms</t>
  </si>
  <si>
    <t>Thomas Snell</t>
  </si>
  <si>
    <t>Ms. Zeng Rong</t>
  </si>
  <si>
    <t xml:space="preserve">Ms. Wang Yan </t>
  </si>
  <si>
    <t xml:space="preserve">Ms. Si Xiaohong </t>
  </si>
  <si>
    <t>Ms. Shi Junxiu</t>
  </si>
  <si>
    <t>Ms. Liu Jia</t>
  </si>
  <si>
    <t xml:space="preserve">Ms. Wang Xiuzhi </t>
  </si>
  <si>
    <t xml:space="preserve">Ms. Huang Xiaoli </t>
  </si>
  <si>
    <t xml:space="preserve">Ms. Lyu Chongyan </t>
  </si>
  <si>
    <t>Ms. Han Haixia</t>
  </si>
  <si>
    <t xml:space="preserve">Ms. Yu Yanjuan </t>
  </si>
  <si>
    <t xml:space="preserve">Ms. Xiao Benqin </t>
  </si>
  <si>
    <t xml:space="preserve">Ms. Zhang Qiujia </t>
  </si>
  <si>
    <t xml:space="preserve">Ms. Jin Ying </t>
  </si>
  <si>
    <t xml:space="preserve">Ms. Liu Fenyun </t>
  </si>
  <si>
    <t xml:space="preserve">Ms. Fan Zanmei </t>
  </si>
  <si>
    <t xml:space="preserve">Ms. Yu Ping </t>
  </si>
  <si>
    <t>Faiha/Madina</t>
  </si>
  <si>
    <t>Jason Honeywill</t>
  </si>
  <si>
    <t>Yashfau/Tarush</t>
  </si>
  <si>
    <t>DISCOUNT $27.00</t>
  </si>
  <si>
    <t>Danbee Choi</t>
  </si>
  <si>
    <t>Yang/Tarush</t>
  </si>
  <si>
    <t>Hao Yang</t>
  </si>
  <si>
    <t>Haidi Li</t>
  </si>
  <si>
    <t>Jenny/Tarush</t>
  </si>
  <si>
    <t>Chao Liang</t>
  </si>
  <si>
    <t>PP2</t>
  </si>
  <si>
    <t>Jonathan Cairns</t>
  </si>
  <si>
    <t>Allison Cairns</t>
  </si>
  <si>
    <t>Archan/Tarush</t>
  </si>
  <si>
    <t>Julia Packman Louise</t>
  </si>
  <si>
    <t>UV/Tarush</t>
  </si>
  <si>
    <t>SUNSET DOLPHIN EXCURSION  (MAX 50 PAX)  USD$65PP  17:00 TO 18:30</t>
  </si>
  <si>
    <t>David Tidy</t>
  </si>
  <si>
    <t>Ms. Jingting Liu</t>
  </si>
  <si>
    <t>Allocation for 2 only</t>
  </si>
  <si>
    <t>Abigail Richman</t>
  </si>
  <si>
    <t>Claire Louise Richman</t>
  </si>
  <si>
    <t>CXL3</t>
  </si>
  <si>
    <t>CXL1</t>
  </si>
  <si>
    <t>Faiha/Lu</t>
  </si>
  <si>
    <t>Booking closed</t>
  </si>
  <si>
    <t>672/843</t>
  </si>
  <si>
    <t>pp1</t>
  </si>
  <si>
    <t>Monica Andresen</t>
  </si>
  <si>
    <t>Boat 2</t>
  </si>
  <si>
    <t>Boat 1</t>
  </si>
  <si>
    <t>cxl2</t>
  </si>
  <si>
    <t>CXL 2</t>
  </si>
  <si>
    <t>Uv/Maaji</t>
  </si>
  <si>
    <t>Yassine Ouhcha</t>
  </si>
  <si>
    <t>Sikai Li</t>
  </si>
  <si>
    <t>206/339</t>
  </si>
  <si>
    <t>673/881</t>
  </si>
  <si>
    <t>Clement Abel</t>
  </si>
  <si>
    <t>629/841</t>
  </si>
  <si>
    <t>Nicholas Lazaroo Hood</t>
  </si>
  <si>
    <t>Archana/Tarush</t>
  </si>
  <si>
    <t>Steven Woods</t>
  </si>
  <si>
    <t xml:space="preserve">If cancelations </t>
  </si>
  <si>
    <t>Yeh Che Hung</t>
  </si>
  <si>
    <t>UV/Aneem</t>
  </si>
  <si>
    <t>Mr. Jose Gonzalez</t>
  </si>
  <si>
    <t>Archana/Aneem</t>
  </si>
  <si>
    <t>Changwoo Choi</t>
  </si>
  <si>
    <t>Mr. Kento Nitukami</t>
  </si>
  <si>
    <t>Informed</t>
  </si>
  <si>
    <t>Sergei Miroshnichenko</t>
  </si>
  <si>
    <t>Aiperi/Maaji</t>
  </si>
  <si>
    <t>pp3</t>
  </si>
  <si>
    <t>CLx2</t>
  </si>
  <si>
    <t>chargeable 2nd time</t>
  </si>
  <si>
    <t>Patrick Moriarty</t>
  </si>
  <si>
    <t>Baig, Muhanmad</t>
  </si>
  <si>
    <t>Xuan</t>
  </si>
  <si>
    <t>Lorenzo/Xuan</t>
  </si>
  <si>
    <t>Ferrer Tomas, Pablo</t>
  </si>
  <si>
    <t>Mr. Georgina Russell</t>
  </si>
  <si>
    <t>Mr. Erik Fitzgerald</t>
  </si>
  <si>
    <t>Cencetti, Alberto</t>
  </si>
  <si>
    <t>Mrs. Anastasiia Iushmanova</t>
  </si>
  <si>
    <t>Jesper Hakan Nilsson</t>
  </si>
  <si>
    <t>Win/Rahil</t>
  </si>
  <si>
    <t>Mr. Patrick Altimiraforneas</t>
  </si>
  <si>
    <t>CLX2</t>
  </si>
  <si>
    <t>ASSEYRI</t>
  </si>
  <si>
    <t>BOAT 1</t>
  </si>
  <si>
    <t>SHADHA</t>
  </si>
  <si>
    <t>BOAT 2</t>
  </si>
  <si>
    <t>Mr. Changhun Lee</t>
  </si>
  <si>
    <t>203/848</t>
  </si>
  <si>
    <t>NO POST</t>
  </si>
  <si>
    <t>FB</t>
  </si>
  <si>
    <t>Tong Han</t>
  </si>
  <si>
    <t>Faiha/Lorenzo</t>
  </si>
  <si>
    <t>James Nosseir</t>
  </si>
  <si>
    <t>810/893</t>
  </si>
  <si>
    <t>SALES ENT</t>
  </si>
  <si>
    <t>MR.HE/CHANGRUI</t>
  </si>
  <si>
    <t>Faiha/Shawin</t>
  </si>
  <si>
    <t>Mark Curant</t>
  </si>
  <si>
    <t>Invoice to Ta</t>
  </si>
  <si>
    <t>TA agreed to pay</t>
  </si>
  <si>
    <t>Jenny/Rahil</t>
  </si>
  <si>
    <t>Yury Ostrovskiy</t>
  </si>
  <si>
    <t>Leanne Atkinson</t>
  </si>
  <si>
    <t>Guy Stewart</t>
  </si>
  <si>
    <t>Samara Zendera</t>
  </si>
  <si>
    <t>Archana/Maaji</t>
  </si>
  <si>
    <t>Carl/Maaji</t>
  </si>
  <si>
    <t>Mr. Rowan Watson</t>
  </si>
  <si>
    <t>Fam trip</t>
  </si>
  <si>
    <t>Ahalya/Maaji</t>
  </si>
  <si>
    <t>Maksim Postelnyi</t>
  </si>
  <si>
    <t>Roman Chernitsyn</t>
  </si>
  <si>
    <t>Astrid/Maaji</t>
  </si>
  <si>
    <t>Siqi Chen</t>
  </si>
  <si>
    <t>Guoyang Liu</t>
  </si>
  <si>
    <t>Jingru/Maaji</t>
  </si>
  <si>
    <t>Chen Xin</t>
  </si>
  <si>
    <t>Seung Oh</t>
  </si>
  <si>
    <t>Pan Cheng</t>
  </si>
  <si>
    <t>2cxl</t>
  </si>
  <si>
    <t>Faiha/Archana</t>
  </si>
  <si>
    <t>Lynsey Watson</t>
  </si>
  <si>
    <t>Roman Chernitayn</t>
  </si>
  <si>
    <t>Yiming Yan</t>
  </si>
  <si>
    <t>UV/Faiha</t>
  </si>
  <si>
    <t>SUNSET DOLPHIN EXCURSION  (MAX 60 PAX)  USD$65PP  17:00 TO 18:30</t>
  </si>
  <si>
    <t>Faiha/Xuan</t>
  </si>
  <si>
    <t>Martin Enev</t>
  </si>
  <si>
    <t>Euijun Hong</t>
  </si>
  <si>
    <t>Yuichiroh Ikeda</t>
  </si>
  <si>
    <t>Faiha/Zeehan</t>
  </si>
  <si>
    <t>Faiha/Yaan</t>
  </si>
  <si>
    <t>Rahil/Uv</t>
  </si>
  <si>
    <t>Hui Ju</t>
  </si>
  <si>
    <t>Eliza Mcleod</t>
  </si>
  <si>
    <t>Faiha/Madinsa</t>
  </si>
  <si>
    <t>Booking Closed</t>
  </si>
  <si>
    <t>Rahil/Aiperi</t>
  </si>
  <si>
    <t>Andrei Kiskichev</t>
  </si>
  <si>
    <t>Sanling Gu</t>
  </si>
  <si>
    <t>Issei Hidaka</t>
  </si>
  <si>
    <t>Anna Voskoboinikov</t>
  </si>
  <si>
    <t>Yuri Sawai</t>
  </si>
  <si>
    <t>HB</t>
  </si>
  <si>
    <t>CL2</t>
  </si>
  <si>
    <t>SUNSET DOLPHIN EXCURSION  (MAX 41 PAX)  USD$65PP  17:00 TO 18:30</t>
  </si>
  <si>
    <t>Raahil</t>
  </si>
  <si>
    <t>Regis Pierre</t>
  </si>
  <si>
    <t>Yang Song</t>
  </si>
  <si>
    <t>Taewoong Hong</t>
  </si>
  <si>
    <t>Changhun Lee</t>
  </si>
  <si>
    <t>Yang/Maaji</t>
  </si>
  <si>
    <t>Yunlong Chen</t>
  </si>
  <si>
    <t>326/200</t>
  </si>
  <si>
    <t>Allocation for 2 ITA 1</t>
  </si>
  <si>
    <t>Myeong Son</t>
  </si>
  <si>
    <t>Seunghyun Park</t>
  </si>
  <si>
    <t>Rahil/Shen</t>
  </si>
  <si>
    <t>Faaiza Farishah</t>
  </si>
  <si>
    <t>Boat 1 (Baaz)</t>
  </si>
  <si>
    <t>Boat 2 (Shadha)</t>
  </si>
  <si>
    <t>No post</t>
  </si>
  <si>
    <t>667/806</t>
  </si>
  <si>
    <t>Catherine Seymour</t>
  </si>
  <si>
    <t>Lorenzo/Maaji</t>
  </si>
  <si>
    <t>Changhong Wu</t>
  </si>
  <si>
    <t>Neil Holloway</t>
  </si>
  <si>
    <t>SUNSET DOLPHIN EXCURSION  (MAX 30 PAX)  USD$65PP  17:00 TO 18:30</t>
  </si>
  <si>
    <t>lorenzo/Aneem</t>
  </si>
  <si>
    <t>Xiyuan Zhang</t>
  </si>
  <si>
    <t>Monica/Maaji</t>
  </si>
  <si>
    <t>Laura Bavastrelli</t>
  </si>
  <si>
    <t>Boat 1 (ASSEYRI)</t>
  </si>
  <si>
    <t>Boat 2 (SHADHA)</t>
  </si>
  <si>
    <t>BB</t>
  </si>
  <si>
    <t>2nd Time Chargeable</t>
  </si>
  <si>
    <t>669/810</t>
  </si>
  <si>
    <t>674/859</t>
  </si>
  <si>
    <t>840/864</t>
  </si>
  <si>
    <t>ulvia/Aneem</t>
  </si>
  <si>
    <t>Insun Park</t>
  </si>
  <si>
    <t>Yoshimoto Miyake</t>
  </si>
  <si>
    <t>Marmeet Narula</t>
  </si>
  <si>
    <t>Borja Garcia Sousa</t>
  </si>
  <si>
    <t>Wen Luan</t>
  </si>
  <si>
    <t>Zhiyuan Zhang</t>
  </si>
  <si>
    <t>SUNSET DOLPHIN EXCURSION  (MAX 28 PAX)  USD$65PP  17:00 TO 18:30</t>
  </si>
  <si>
    <t>Aneem</t>
  </si>
  <si>
    <t>Mrs. Kimberly Stoller</t>
  </si>
  <si>
    <t>Mrs Alexandra Cambatta</t>
  </si>
  <si>
    <t>MS.TIAN/QING</t>
  </si>
  <si>
    <t>Mr Gavin David Hogg</t>
  </si>
  <si>
    <t>Sho Jinnai</t>
  </si>
  <si>
    <t>865 &amp; 863</t>
  </si>
  <si>
    <t>Aurelien Goillot</t>
  </si>
  <si>
    <t>Guofen Zhou</t>
  </si>
  <si>
    <t>Lei Yang</t>
  </si>
  <si>
    <t>Florent Arcangeli</t>
  </si>
  <si>
    <t>Yashfau</t>
  </si>
  <si>
    <t>615/876</t>
  </si>
  <si>
    <t>888/674</t>
  </si>
  <si>
    <t>681/862</t>
  </si>
  <si>
    <t>Maique Mattias De Mulder</t>
  </si>
  <si>
    <t>Madina/Maaji</t>
  </si>
  <si>
    <t>Gru/Maaji</t>
  </si>
  <si>
    <t>Ryusuke Kishida</t>
  </si>
  <si>
    <t>Yuma Nunokawa</t>
  </si>
  <si>
    <t>cxl5</t>
  </si>
  <si>
    <t>Rene Poude</t>
  </si>
  <si>
    <t>667/855</t>
  </si>
  <si>
    <t>621/851</t>
  </si>
  <si>
    <t>Maria Samperiz Cerezo</t>
  </si>
  <si>
    <t>FOC</t>
  </si>
  <si>
    <t>Ru/Maaji</t>
  </si>
  <si>
    <t>Shuoren Wu</t>
  </si>
  <si>
    <t>Xu Hui</t>
  </si>
  <si>
    <t>Ishaan/Rahil</t>
  </si>
  <si>
    <t>Kazuaki Korita</t>
  </si>
  <si>
    <t>jingru/Rahil</t>
  </si>
  <si>
    <t>673/888</t>
  </si>
  <si>
    <t>Anthony Meunier</t>
  </si>
  <si>
    <t>Faiha/Win</t>
  </si>
  <si>
    <t>Xiangcao Wu</t>
  </si>
  <si>
    <t>Kristen Michele Whitehead</t>
  </si>
  <si>
    <t>Neil MeLeod</t>
  </si>
  <si>
    <t>Nirmal Choudhary</t>
  </si>
  <si>
    <t>880/883</t>
  </si>
  <si>
    <t>Akihiro Hanada</t>
  </si>
  <si>
    <t>Paul Carson</t>
  </si>
  <si>
    <t>Pritesh Tank</t>
  </si>
  <si>
    <t>Doyoon Kim</t>
  </si>
  <si>
    <t>Natsu Murakami</t>
  </si>
  <si>
    <t>PR ENT</t>
  </si>
  <si>
    <t>Michael Krikor Kassapian</t>
  </si>
  <si>
    <t>$400 credit</t>
  </si>
  <si>
    <t>Xin Yu</t>
  </si>
  <si>
    <t>Rahil/Madina</t>
  </si>
  <si>
    <t>Annie Barbera</t>
  </si>
  <si>
    <t>Ines Chaigne</t>
  </si>
  <si>
    <t>Stefan Czeller</t>
  </si>
  <si>
    <t>Yura Tatara</t>
  </si>
  <si>
    <t>Boyu Yang</t>
  </si>
  <si>
    <t>Rahil/Shawin</t>
  </si>
  <si>
    <t>Rin Yamakawa</t>
  </si>
  <si>
    <t>Jisu Park</t>
  </si>
  <si>
    <t>Invoice to TA</t>
  </si>
  <si>
    <t>Cindy Margues</t>
  </si>
  <si>
    <t>Catherine Loez</t>
  </si>
  <si>
    <t>Oliver Schmidt</t>
  </si>
  <si>
    <t>Alexander Barritt</t>
  </si>
  <si>
    <t>Cuong Luu</t>
  </si>
  <si>
    <t>150 Credit</t>
  </si>
  <si>
    <t>MR ZAIKIN ANDREI</t>
  </si>
  <si>
    <t>Nicola Collas</t>
  </si>
  <si>
    <t>Carsten Sattel</t>
  </si>
  <si>
    <t>Yurika Tsuneyoshi</t>
  </si>
  <si>
    <t>Mehdi Andersen</t>
  </si>
  <si>
    <t>Rui Wang</t>
  </si>
  <si>
    <t>UV/Maaji</t>
  </si>
  <si>
    <t>Artem Galustov</t>
  </si>
  <si>
    <t>Inyoung Jang</t>
  </si>
  <si>
    <t>Napo/Maaji</t>
  </si>
  <si>
    <t>Hongwei Luo</t>
  </si>
  <si>
    <t>Danielle Marie Lewis</t>
  </si>
  <si>
    <t>no post</t>
  </si>
  <si>
    <t>MS.ZHAO/YAN</t>
  </si>
  <si>
    <t>3283176, 3283177</t>
  </si>
  <si>
    <t>Monica/Faiha</t>
  </si>
  <si>
    <t>Elisabeth Berger</t>
  </si>
  <si>
    <t>Chris Alberts</t>
  </si>
  <si>
    <t>Win/Faiha</t>
  </si>
  <si>
    <t>Wenfeng Pan</t>
  </si>
  <si>
    <t>Svetlana Gordeeva</t>
  </si>
  <si>
    <t>Madina/Faiha</t>
  </si>
  <si>
    <t>Napo/Faiha</t>
  </si>
  <si>
    <t>Marta Vicente Ninot</t>
  </si>
  <si>
    <t>Theo Voisin</t>
  </si>
  <si>
    <t>1 inf</t>
  </si>
  <si>
    <t>Ishan/Xuan</t>
  </si>
  <si>
    <t>Raia Kurosaka</t>
  </si>
  <si>
    <t>668/856</t>
  </si>
  <si>
    <t>Rahil/Medina</t>
  </si>
  <si>
    <t>Tamerlan Cha</t>
  </si>
  <si>
    <t>Rahil/Ishan</t>
  </si>
  <si>
    <t>691/853</t>
  </si>
  <si>
    <t>Kenta Nagano</t>
  </si>
  <si>
    <t>Lee Mitchell</t>
  </si>
  <si>
    <t>Ulviya/Maaji</t>
  </si>
  <si>
    <t>Carla Saldarriaga</t>
  </si>
  <si>
    <t>Shanshan Liang</t>
  </si>
  <si>
    <t>Shan Liu</t>
  </si>
  <si>
    <t>Changyue Liu</t>
  </si>
  <si>
    <t>$100 credit</t>
  </si>
  <si>
    <t>$150 credit</t>
  </si>
  <si>
    <t>Thura Myo</t>
  </si>
  <si>
    <t>Yusuf/Maaji</t>
  </si>
  <si>
    <t>Harun Keskin</t>
  </si>
  <si>
    <t>Tatjana Shadeck</t>
  </si>
  <si>
    <t>Uri Song</t>
  </si>
  <si>
    <t>Masuto Shobayashi</t>
  </si>
  <si>
    <t>Simone Brida</t>
  </si>
  <si>
    <t>Alessandro Di Piano</t>
  </si>
  <si>
    <t>Rowan Healey</t>
  </si>
  <si>
    <t>Jumpei Osawa</t>
  </si>
  <si>
    <t>Pascale Gaussen</t>
  </si>
  <si>
    <t>Manuel Badillo Bellavista</t>
  </si>
  <si>
    <t>Mr.He Bo</t>
  </si>
  <si>
    <t>Sales ENT</t>
  </si>
  <si>
    <t>Mikhail &amp; Others</t>
  </si>
  <si>
    <t>Bea &amp; Steffen</t>
  </si>
  <si>
    <t>ITA(NP)</t>
  </si>
  <si>
    <t>Blis Maldives</t>
  </si>
  <si>
    <t>Faiha/Maaji</t>
  </si>
  <si>
    <t>Miwako Ito</t>
  </si>
  <si>
    <t>Beijing Sunshine Fam trip</t>
  </si>
  <si>
    <t>200/301</t>
  </si>
  <si>
    <t>621/881</t>
  </si>
  <si>
    <t>Victor Leduc</t>
  </si>
  <si>
    <t>Nana Sato</t>
  </si>
  <si>
    <t>Minsu Son</t>
  </si>
  <si>
    <t>672/883</t>
  </si>
  <si>
    <t>612/888</t>
  </si>
  <si>
    <t>623/882</t>
  </si>
  <si>
    <t>Erkui Yu</t>
  </si>
  <si>
    <t>Archana/Faiha</t>
  </si>
  <si>
    <t>Aiperi/Faiha</t>
  </si>
  <si>
    <t>Dennis Giancaspro</t>
  </si>
  <si>
    <t>Ishan/Faiha</t>
  </si>
  <si>
    <t>Shavin/Faiha</t>
  </si>
  <si>
    <t>Benedikt Krause</t>
  </si>
  <si>
    <t>Atsushi Suzuki</t>
  </si>
  <si>
    <t>Alexandre Lamargue</t>
  </si>
  <si>
    <t>Filipe Saldanha</t>
  </si>
  <si>
    <t>Sedat Basol</t>
  </si>
  <si>
    <t>Sara Yokota</t>
  </si>
  <si>
    <t>Yanan Fan</t>
  </si>
  <si>
    <t>Yapeng Duan</t>
  </si>
  <si>
    <t>Lauren McLaughlin</t>
  </si>
  <si>
    <t>Huisang Moon</t>
  </si>
  <si>
    <t xml:space="preserve">150 credit </t>
  </si>
  <si>
    <t>Daniel Kohistter</t>
  </si>
  <si>
    <t>Franz Pach</t>
  </si>
  <si>
    <t>Pablo Lloret Blances</t>
  </si>
  <si>
    <t>Kento Okudera</t>
  </si>
  <si>
    <t>Hyun Choi</t>
  </si>
  <si>
    <t>Masahiro Miura</t>
  </si>
  <si>
    <t>UV/Rahil</t>
  </si>
  <si>
    <t>100 credit</t>
  </si>
  <si>
    <t xml:space="preserve">Mr. Zhou Donglin </t>
  </si>
  <si>
    <t xml:space="preserve">Mr. Jiang Tao </t>
  </si>
  <si>
    <t>Kitso Lemo</t>
  </si>
  <si>
    <t>Yoosuf/Faiha</t>
  </si>
  <si>
    <t>Siok Ee</t>
  </si>
  <si>
    <t>Seow Liaw</t>
  </si>
  <si>
    <t>Yosei Konak</t>
  </si>
  <si>
    <t>Minyoung Kim</t>
  </si>
  <si>
    <t>Haebum Yeo</t>
  </si>
  <si>
    <t>Keisuke Ota</t>
  </si>
  <si>
    <t>Ryuta Ozone</t>
  </si>
  <si>
    <t>Junyoung Kim</t>
  </si>
  <si>
    <t>Lee Hochan</t>
  </si>
  <si>
    <t>Seongho Park</t>
  </si>
  <si>
    <t>SUNSET DOLPHIN EXCURSION  (MAX 42 PAX)  USD$65PP  17:00 TO 18:30</t>
  </si>
  <si>
    <t>Jing Zhang</t>
  </si>
  <si>
    <t>Dana Dyusheyeve</t>
  </si>
  <si>
    <t>Marc Serra Font</t>
  </si>
  <si>
    <t>680/876</t>
  </si>
  <si>
    <t>682/877</t>
  </si>
  <si>
    <t>Xiaoli Cao</t>
  </si>
  <si>
    <t>Dai Haga</t>
  </si>
  <si>
    <t>Diana Daniele</t>
  </si>
  <si>
    <t>Kiarah Whitton-Mceachern</t>
  </si>
  <si>
    <t>Napoo/Rahil</t>
  </si>
  <si>
    <t>Aiden Forrester</t>
  </si>
  <si>
    <t>Karolina Zuravske</t>
  </si>
  <si>
    <t xml:space="preserve">Mellyn Carroll Family (2 Adult 1Kid) </t>
  </si>
  <si>
    <t>Reservation</t>
  </si>
  <si>
    <t>Astrid/Faiha</t>
  </si>
  <si>
    <t>Yawei Lu</t>
  </si>
  <si>
    <t>Meiling Li</t>
  </si>
  <si>
    <t>Yuping Shi</t>
  </si>
  <si>
    <t>Xin Wang</t>
  </si>
  <si>
    <t>Xuemei Zhang</t>
  </si>
  <si>
    <t>Yui Goto</t>
  </si>
  <si>
    <t>Markus Schulte</t>
  </si>
  <si>
    <t>Moeka Morita</t>
  </si>
  <si>
    <t>Hongyu Lyu</t>
  </si>
  <si>
    <t>Yurou Zheng</t>
  </si>
  <si>
    <t>Ye Zhou</t>
  </si>
  <si>
    <t>Haruka Takashi</t>
  </si>
  <si>
    <t>Katarzyna Rdaneczak</t>
  </si>
  <si>
    <t>Himesh Vyas</t>
  </si>
  <si>
    <t>Kaoru Matauo</t>
  </si>
  <si>
    <t>Geoffrey George Canninge</t>
  </si>
  <si>
    <t>May thu Toe</t>
  </si>
  <si>
    <t>Yan Bai</t>
  </si>
  <si>
    <t>Yajun Ma</t>
  </si>
  <si>
    <t>Li Yang</t>
  </si>
  <si>
    <t>Jie Li</t>
  </si>
  <si>
    <t>Xuesheng Chen</t>
  </si>
  <si>
    <t>Xiaoling Zhang</t>
  </si>
  <si>
    <t>669/881</t>
  </si>
  <si>
    <t>Oscar Grane Junquera</t>
  </si>
  <si>
    <t>Menghan Liu</t>
  </si>
  <si>
    <t>324/215</t>
  </si>
  <si>
    <t>Ulviyya/Rahil</t>
  </si>
  <si>
    <t>Pan Li</t>
  </si>
  <si>
    <t>Qian Hao</t>
  </si>
  <si>
    <t>Wen Mao</t>
  </si>
  <si>
    <t>Yihe Huang</t>
  </si>
  <si>
    <t>Shen/Rahil</t>
  </si>
  <si>
    <t>Hsu Yeh</t>
  </si>
  <si>
    <t>Faiha/Prem</t>
  </si>
  <si>
    <t>Aiperi/Xuan</t>
  </si>
  <si>
    <t>Belyaev, Ivan</t>
  </si>
  <si>
    <t>Fei Ye</t>
  </si>
  <si>
    <t>Yuhui Song</t>
  </si>
  <si>
    <t>Rika Okabe</t>
  </si>
  <si>
    <t>Samar Attia</t>
  </si>
  <si>
    <t>613/880</t>
  </si>
  <si>
    <t>Hong Zhang</t>
  </si>
  <si>
    <t>ALLOCATION 2 PERSON</t>
  </si>
  <si>
    <t>683/818</t>
  </si>
  <si>
    <t>216/339</t>
  </si>
  <si>
    <t>CV$500</t>
  </si>
  <si>
    <t>619/885</t>
  </si>
  <si>
    <t xml:space="preserve">Enric </t>
  </si>
  <si>
    <t>Nayoung Kim</t>
  </si>
  <si>
    <t>Yutaka Mataui</t>
  </si>
  <si>
    <t>Ilyess Aissaui</t>
  </si>
  <si>
    <t>Xing Zhou</t>
  </si>
  <si>
    <t>Bin Wang</t>
  </si>
  <si>
    <t>Shota Ishizawa</t>
  </si>
  <si>
    <t>Darye Lee</t>
  </si>
  <si>
    <t>Hyeongmin Sun</t>
  </si>
  <si>
    <t>Sato, Kohei</t>
  </si>
  <si>
    <t>2pp</t>
  </si>
  <si>
    <t>Tomoya Kitamoto</t>
  </si>
  <si>
    <t>Linqing Zhang</t>
  </si>
  <si>
    <t>666/875</t>
  </si>
  <si>
    <t>619/881</t>
  </si>
  <si>
    <t>RC $100</t>
  </si>
  <si>
    <t>Mengmeng Wang</t>
  </si>
  <si>
    <t>BAAZ</t>
  </si>
  <si>
    <t>Le Zu</t>
  </si>
  <si>
    <t>Lu Sun</t>
  </si>
  <si>
    <t>NA</t>
  </si>
  <si>
    <t>INFORMED</t>
  </si>
  <si>
    <t>868/886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</si>
</sst>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name val="Calibri"/>
      <family val="2"/>
    </font>
    <font>
      <sz val="11"/>
      <color rgb="FF4F3629"/>
      <name val="Arial"/>
      <family val="2"/>
    </font>
    <font>
      <b/>
      <sz val="11"/>
      <color rgb="FF4F3629"/>
      <name val="Arial"/>
      <family val="2"/>
    </font>
    <font>
      <sz val="11"/>
      <color rgb="FF321704"/>
      <name val="Arial"/>
      <family val="2"/>
    </font>
    <font>
      <sz val="14"/>
      <name val="Calibri"/>
      <family val="2"/>
      <scheme val="minor"/>
    </font>
    <font>
      <sz val="11.5"/>
      <color rgb="FF4F3629"/>
      <name val="Arial"/>
      <family val="2"/>
    </font>
    <font>
      <sz val="14"/>
      <color rgb="FF4F3629"/>
      <name val="Calibri"/>
      <family val="2"/>
      <scheme val="minor"/>
    </font>
    <font>
      <b/>
      <sz val="11"/>
      <color rgb="FF321704"/>
      <name val="Arial"/>
      <family val="2"/>
    </font>
    <font>
      <b/>
      <sz val="12"/>
      <name val="Calibri"/>
      <family val="2"/>
      <scheme val="minor"/>
    </font>
    <font>
      <sz val="14"/>
      <name val="Calibri"/>
      <family val="2"/>
    </font>
    <font>
      <i/>
      <sz val="14"/>
      <color theme="1"/>
      <name val="Calibri"/>
      <family val="2"/>
      <scheme val="minor"/>
    </font>
    <font>
      <i/>
      <sz val="14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0" tint="-4.9989318521683403E-2"/>
      <name val="Calibri"/>
      <family val="2"/>
      <scheme val="minor"/>
    </font>
    <font>
      <sz val="13"/>
      <color theme="0" tint="-4.9989318521683403E-2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4"/>
      <color rgb="FF321704"/>
      <name val="Calibri"/>
      <family val="2"/>
      <scheme val="minor"/>
    </font>
    <font>
      <b/>
      <sz val="1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21704"/>
      <name val="Calibri"/>
      <family val="2"/>
      <scheme val="minor"/>
    </font>
    <font>
      <sz val="14"/>
      <color rgb="FF4F3629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14" fontId="12" fillId="0" borderId="13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14" fontId="12" fillId="0" borderId="16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14" fontId="12" fillId="0" borderId="19" xfId="0" applyNumberFormat="1" applyFont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7" fillId="0" borderId="0" xfId="0" applyNumberFormat="1" applyFont="1" applyAlignment="1">
      <alignment horizontal="center"/>
    </xf>
    <xf numFmtId="14" fontId="8" fillId="2" borderId="0" xfId="0" applyNumberFormat="1" applyFont="1" applyFill="1" applyAlignment="1">
      <alignment horizontal="center"/>
    </xf>
    <xf numFmtId="14" fontId="9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4" fontId="3" fillId="3" borderId="6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14" fontId="11" fillId="3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14" fontId="3" fillId="3" borderId="15" xfId="0" applyNumberFormat="1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4" fontId="2" fillId="3" borderId="6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14" fontId="3" fillId="3" borderId="21" xfId="0" applyNumberFormat="1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14" fontId="11" fillId="3" borderId="23" xfId="0" applyNumberFormat="1" applyFont="1" applyFill="1" applyBorder="1" applyAlignment="1">
      <alignment horizontal="center"/>
    </xf>
    <xf numFmtId="0" fontId="11" fillId="3" borderId="23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0" fillId="0" borderId="24" xfId="0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7" fillId="0" borderId="24" xfId="0" applyFont="1" applyBorder="1" applyAlignment="1">
      <alignment horizontal="left"/>
    </xf>
    <xf numFmtId="0" fontId="7" fillId="0" borderId="24" xfId="0" applyFont="1" applyBorder="1" applyAlignment="1">
      <alignment horizontal="center"/>
    </xf>
    <xf numFmtId="14" fontId="7" fillId="0" borderId="2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14" fillId="0" borderId="0" xfId="0" applyFont="1"/>
    <xf numFmtId="0" fontId="16" fillId="0" borderId="0" xfId="0" applyFont="1"/>
    <xf numFmtId="0" fontId="15" fillId="0" borderId="0" xfId="0" applyFont="1" applyAlignment="1">
      <alignment horizontal="justify" vertical="center"/>
    </xf>
    <xf numFmtId="0" fontId="2" fillId="3" borderId="25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 vertical="center"/>
    </xf>
    <xf numFmtId="14" fontId="18" fillId="3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3" fillId="3" borderId="26" xfId="0" applyFont="1" applyFill="1" applyBorder="1" applyAlignment="1">
      <alignment horizontal="center"/>
    </xf>
    <xf numFmtId="14" fontId="3" fillId="3" borderId="26" xfId="0" applyNumberFormat="1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2" fillId="0" borderId="0" xfId="0" applyFont="1" applyAlignment="1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/>
    </xf>
    <xf numFmtId="14" fontId="24" fillId="0" borderId="1" xfId="0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center" vertical="top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3" fontId="18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/>
    </xf>
    <xf numFmtId="0" fontId="27" fillId="7" borderId="0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0" fontId="18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 vertical="center"/>
    </xf>
    <xf numFmtId="14" fontId="2" fillId="3" borderId="25" xfId="0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/>
    </xf>
    <xf numFmtId="0" fontId="3" fillId="11" borderId="26" xfId="0" applyFont="1" applyFill="1" applyBorder="1" applyAlignment="1">
      <alignment horizontal="center"/>
    </xf>
    <xf numFmtId="14" fontId="3" fillId="11" borderId="26" xfId="0" applyNumberFormat="1" applyFont="1" applyFill="1" applyBorder="1" applyAlignment="1">
      <alignment horizontal="center"/>
    </xf>
    <xf numFmtId="0" fontId="2" fillId="11" borderId="26" xfId="0" applyFont="1" applyFill="1" applyBorder="1" applyAlignment="1">
      <alignment horizontal="center"/>
    </xf>
    <xf numFmtId="0" fontId="2" fillId="11" borderId="32" xfId="0" applyFont="1" applyFill="1" applyBorder="1" applyAlignment="1">
      <alignment horizontal="center"/>
    </xf>
    <xf numFmtId="0" fontId="30" fillId="11" borderId="26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 vertical="center"/>
    </xf>
    <xf numFmtId="0" fontId="15" fillId="0" borderId="0" xfId="0" applyFont="1" applyAlignment="1"/>
    <xf numFmtId="0" fontId="2" fillId="3" borderId="1" xfId="0" applyFont="1" applyFill="1" applyBorder="1" applyAlignment="1"/>
    <xf numFmtId="0" fontId="24" fillId="0" borderId="1" xfId="0" applyFont="1" applyFill="1" applyBorder="1" applyAlignment="1"/>
    <xf numFmtId="0" fontId="2" fillId="2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6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14" fontId="24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32" fillId="14" borderId="34" xfId="0" applyFont="1" applyFill="1" applyBorder="1" applyAlignment="1">
      <alignment horizontal="center"/>
    </xf>
    <xf numFmtId="0" fontId="33" fillId="14" borderId="35" xfId="0" applyFont="1" applyFill="1" applyBorder="1" applyAlignment="1">
      <alignment horizontal="center"/>
    </xf>
    <xf numFmtId="0" fontId="34" fillId="14" borderId="35" xfId="0" applyFont="1" applyFill="1" applyBorder="1" applyAlignment="1">
      <alignment horizontal="center" vertical="center"/>
    </xf>
    <xf numFmtId="14" fontId="34" fillId="14" borderId="35" xfId="0" applyNumberFormat="1" applyFont="1" applyFill="1" applyBorder="1" applyAlignment="1">
      <alignment horizontal="center" vertical="center"/>
    </xf>
    <xf numFmtId="0" fontId="32" fillId="14" borderId="35" xfId="0" applyFont="1" applyFill="1" applyBorder="1" applyAlignment="1">
      <alignment horizontal="center"/>
    </xf>
    <xf numFmtId="0" fontId="32" fillId="14" borderId="36" xfId="0" applyFont="1" applyFill="1" applyBorder="1" applyAlignment="1">
      <alignment horizontal="center"/>
    </xf>
    <xf numFmtId="0" fontId="27" fillId="14" borderId="35" xfId="0" applyFont="1" applyFill="1" applyBorder="1" applyAlignment="1">
      <alignment horizontal="center" vertical="center"/>
    </xf>
    <xf numFmtId="14" fontId="27" fillId="14" borderId="35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25" xfId="0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4" fontId="2" fillId="3" borderId="0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14" fontId="2" fillId="3" borderId="0" xfId="0" applyNumberFormat="1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3" fontId="21" fillId="2" borderId="1" xfId="0" applyNumberFormat="1" applyFont="1" applyFill="1" applyBorder="1" applyAlignment="1">
      <alignment horizontal="center"/>
    </xf>
    <xf numFmtId="3" fontId="17" fillId="2" borderId="1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" fillId="15" borderId="28" xfId="0" applyFont="1" applyFill="1" applyBorder="1" applyAlignment="1">
      <alignment horizontal="center"/>
    </xf>
    <xf numFmtId="0" fontId="3" fillId="15" borderId="6" xfId="0" applyFont="1" applyFill="1" applyBorder="1" applyAlignment="1">
      <alignment horizontal="center"/>
    </xf>
    <xf numFmtId="14" fontId="3" fillId="15" borderId="6" xfId="0" applyNumberFormat="1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3" xfId="0" applyFont="1" applyFill="1" applyBorder="1" applyAlignment="1">
      <alignment horizontal="center"/>
    </xf>
    <xf numFmtId="0" fontId="33" fillId="15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14" fillId="4" borderId="0" xfId="0" applyFont="1" applyFill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2" fillId="17" borderId="28" xfId="0" applyFont="1" applyFill="1" applyBorder="1" applyAlignment="1">
      <alignment horizontal="center"/>
    </xf>
    <xf numFmtId="0" fontId="3" fillId="17" borderId="26" xfId="0" applyFont="1" applyFill="1" applyBorder="1" applyAlignment="1">
      <alignment horizontal="center"/>
    </xf>
    <xf numFmtId="14" fontId="3" fillId="17" borderId="26" xfId="0" applyNumberFormat="1" applyFont="1" applyFill="1" applyBorder="1" applyAlignment="1">
      <alignment horizontal="center"/>
    </xf>
    <xf numFmtId="0" fontId="2" fillId="17" borderId="0" xfId="0" applyFont="1" applyFill="1" applyBorder="1" applyAlignment="1">
      <alignment horizontal="center"/>
    </xf>
    <xf numFmtId="0" fontId="2" fillId="17" borderId="32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7" borderId="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17" borderId="31" xfId="0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2" fillId="18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/>
    </xf>
    <xf numFmtId="14" fontId="2" fillId="7" borderId="1" xfId="0" applyNumberFormat="1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2" fillId="3" borderId="36" xfId="0" applyFont="1" applyFill="1" applyBorder="1" applyAlignment="1">
      <alignment horizontal="center"/>
    </xf>
    <xf numFmtId="0" fontId="2" fillId="13" borderId="0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7" fillId="7" borderId="34" xfId="0" applyFont="1" applyFill="1" applyBorder="1" applyAlignment="1">
      <alignment horizontal="center"/>
    </xf>
    <xf numFmtId="0" fontId="27" fillId="7" borderId="35" xfId="0" applyFont="1" applyFill="1" applyBorder="1" applyAlignment="1">
      <alignment horizontal="center" vertical="center"/>
    </xf>
    <xf numFmtId="0" fontId="27" fillId="7" borderId="35" xfId="0" applyFont="1" applyFill="1" applyBorder="1" applyAlignment="1">
      <alignment horizontal="left" vertical="center"/>
    </xf>
    <xf numFmtId="0" fontId="27" fillId="7" borderId="36" xfId="0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14" fontId="11" fillId="3" borderId="35" xfId="0" applyNumberFormat="1" applyFont="1" applyFill="1" applyBorder="1" applyAlignment="1">
      <alignment horizontal="center"/>
    </xf>
    <xf numFmtId="0" fontId="11" fillId="3" borderId="35" xfId="0" applyFont="1" applyFill="1" applyBorder="1" applyAlignment="1">
      <alignment horizontal="center"/>
    </xf>
    <xf numFmtId="0" fontId="27" fillId="7" borderId="35" xfId="0" applyFont="1" applyFill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3" borderId="39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14" fontId="3" fillId="3" borderId="41" xfId="0" applyNumberFormat="1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16" fillId="0" borderId="1" xfId="0" applyFont="1" applyBorder="1"/>
    <xf numFmtId="0" fontId="28" fillId="14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14" fontId="18" fillId="3" borderId="6" xfId="0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14" fontId="18" fillId="0" borderId="6" xfId="0" applyNumberFormat="1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14" fontId="3" fillId="3" borderId="25" xfId="0" applyNumberFormat="1" applyFont="1" applyFill="1" applyBorder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32" fillId="20" borderId="34" xfId="0" applyFont="1" applyFill="1" applyBorder="1" applyAlignment="1">
      <alignment horizontal="center"/>
    </xf>
    <xf numFmtId="0" fontId="32" fillId="20" borderId="35" xfId="0" applyFont="1" applyFill="1" applyBorder="1" applyAlignment="1">
      <alignment horizontal="center"/>
    </xf>
    <xf numFmtId="0" fontId="33" fillId="20" borderId="35" xfId="0" applyFont="1" applyFill="1" applyBorder="1" applyAlignment="1">
      <alignment horizontal="center"/>
    </xf>
    <xf numFmtId="0" fontId="32" fillId="20" borderId="36" xfId="0" applyFont="1" applyFill="1" applyBorder="1" applyAlignment="1">
      <alignment horizontal="center"/>
    </xf>
    <xf numFmtId="0" fontId="32" fillId="20" borderId="35" xfId="0" applyFont="1" applyFill="1" applyBorder="1" applyAlignment="1">
      <alignment horizontal="center" vertical="center"/>
    </xf>
    <xf numFmtId="0" fontId="32" fillId="20" borderId="36" xfId="0" applyFont="1" applyFill="1" applyBorder="1" applyAlignment="1">
      <alignment horizontal="center" vertical="center"/>
    </xf>
    <xf numFmtId="0" fontId="34" fillId="20" borderId="35" xfId="0" applyFont="1" applyFill="1" applyBorder="1" applyAlignment="1">
      <alignment horizontal="center"/>
    </xf>
    <xf numFmtId="14" fontId="34" fillId="20" borderId="35" xfId="0" applyNumberFormat="1" applyFont="1" applyFill="1" applyBorder="1" applyAlignment="1">
      <alignment horizontal="center"/>
    </xf>
    <xf numFmtId="0" fontId="27" fillId="20" borderId="35" xfId="0" applyFont="1" applyFill="1" applyBorder="1" applyAlignment="1">
      <alignment horizontal="center" vertical="center"/>
    </xf>
    <xf numFmtId="14" fontId="27" fillId="20" borderId="35" xfId="0" applyNumberFormat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/>
    </xf>
    <xf numFmtId="0" fontId="2" fillId="20" borderId="25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1" borderId="34" xfId="0" applyFont="1" applyFill="1" applyBorder="1" applyAlignment="1">
      <alignment horizontal="center"/>
    </xf>
    <xf numFmtId="0" fontId="2" fillId="21" borderId="35" xfId="0" applyFont="1" applyFill="1" applyBorder="1" applyAlignment="1">
      <alignment horizontal="center" vertical="center"/>
    </xf>
    <xf numFmtId="0" fontId="2" fillId="21" borderId="36" xfId="0" applyFont="1" applyFill="1" applyBorder="1" applyAlignment="1">
      <alignment horizontal="center" vertical="center"/>
    </xf>
    <xf numFmtId="0" fontId="3" fillId="21" borderId="35" xfId="0" applyFont="1" applyFill="1" applyBorder="1" applyAlignment="1">
      <alignment horizontal="center"/>
    </xf>
    <xf numFmtId="0" fontId="2" fillId="21" borderId="35" xfId="0" applyFont="1" applyFill="1" applyBorder="1" applyAlignment="1">
      <alignment horizontal="center"/>
    </xf>
    <xf numFmtId="0" fontId="2" fillId="21" borderId="36" xfId="0" applyFont="1" applyFill="1" applyBorder="1" applyAlignment="1">
      <alignment horizontal="center"/>
    </xf>
    <xf numFmtId="0" fontId="34" fillId="21" borderId="35" xfId="0" applyFont="1" applyFill="1" applyBorder="1" applyAlignment="1">
      <alignment horizontal="center"/>
    </xf>
    <xf numFmtId="14" fontId="34" fillId="21" borderId="35" xfId="0" applyNumberFormat="1" applyFont="1" applyFill="1" applyBorder="1" applyAlignment="1">
      <alignment horizontal="center"/>
    </xf>
    <xf numFmtId="14" fontId="27" fillId="21" borderId="35" xfId="0" applyNumberFormat="1" applyFont="1" applyFill="1" applyBorder="1" applyAlignment="1">
      <alignment horizontal="center" vertical="center"/>
    </xf>
    <xf numFmtId="0" fontId="27" fillId="21" borderId="35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/>
    </xf>
    <xf numFmtId="0" fontId="2" fillId="0" borderId="25" xfId="0" applyFont="1" applyFill="1" applyBorder="1" applyAlignment="1">
      <alignment horizontal="center" vertical="center"/>
    </xf>
    <xf numFmtId="14" fontId="2" fillId="0" borderId="25" xfId="0" applyNumberFormat="1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/>
    </xf>
    <xf numFmtId="0" fontId="9" fillId="7" borderId="35" xfId="0" applyFont="1" applyFill="1" applyBorder="1" applyAlignment="1">
      <alignment horizontal="center"/>
    </xf>
    <xf numFmtId="0" fontId="9" fillId="7" borderId="35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left" vertical="center"/>
    </xf>
    <xf numFmtId="0" fontId="9" fillId="7" borderId="36" xfId="0" applyFont="1" applyFill="1" applyBorder="1" applyAlignment="1">
      <alignment horizontal="left" vertical="center"/>
    </xf>
    <xf numFmtId="14" fontId="27" fillId="7" borderId="35" xfId="0" applyNumberFormat="1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/>
    </xf>
    <xf numFmtId="0" fontId="2" fillId="3" borderId="46" xfId="0" applyFont="1" applyFill="1" applyBorder="1" applyAlignment="1">
      <alignment horizontal="center"/>
    </xf>
    <xf numFmtId="14" fontId="11" fillId="3" borderId="46" xfId="0" applyNumberFormat="1" applyFont="1" applyFill="1" applyBorder="1" applyAlignment="1">
      <alignment horizontal="center"/>
    </xf>
    <xf numFmtId="0" fontId="11" fillId="3" borderId="46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38" fillId="3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4" fontId="38" fillId="3" borderId="1" xfId="0" applyNumberFormat="1" applyFont="1" applyFill="1" applyBorder="1" applyAlignment="1">
      <alignment horizontal="center" vertical="center"/>
    </xf>
    <xf numFmtId="14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4" fontId="39" fillId="3" borderId="1" xfId="0" applyNumberFormat="1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2" fillId="22" borderId="0" xfId="0" applyFont="1" applyFill="1" applyAlignment="1">
      <alignment horizontal="center"/>
    </xf>
    <xf numFmtId="0" fontId="38" fillId="4" borderId="1" xfId="0" applyFont="1" applyFill="1" applyBorder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40" fillId="2" borderId="0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39" fillId="24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/>
    </xf>
    <xf numFmtId="0" fontId="27" fillId="14" borderId="34" xfId="0" applyFont="1" applyFill="1" applyBorder="1" applyAlignment="1">
      <alignment horizontal="center"/>
    </xf>
    <xf numFmtId="0" fontId="34" fillId="14" borderId="35" xfId="0" applyFont="1" applyFill="1" applyBorder="1" applyAlignment="1">
      <alignment horizontal="center"/>
    </xf>
    <xf numFmtId="14" fontId="34" fillId="14" borderId="35" xfId="0" applyNumberFormat="1" applyFont="1" applyFill="1" applyBorder="1" applyAlignment="1">
      <alignment horizontal="center"/>
    </xf>
    <xf numFmtId="0" fontId="27" fillId="14" borderId="35" xfId="0" applyFont="1" applyFill="1" applyBorder="1" applyAlignment="1">
      <alignment horizontal="center"/>
    </xf>
    <xf numFmtId="0" fontId="27" fillId="14" borderId="36" xfId="0" applyFont="1" applyFill="1" applyBorder="1" applyAlignment="1">
      <alignment horizontal="center"/>
    </xf>
    <xf numFmtId="0" fontId="35" fillId="4" borderId="6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14" borderId="34" xfId="0" applyFont="1" applyFill="1" applyBorder="1" applyAlignment="1">
      <alignment horizontal="center"/>
    </xf>
    <xf numFmtId="0" fontId="18" fillId="14" borderId="35" xfId="0" applyFont="1" applyFill="1" applyBorder="1" applyAlignment="1">
      <alignment horizontal="center"/>
    </xf>
    <xf numFmtId="0" fontId="18" fillId="14" borderId="35" xfId="0" applyFont="1" applyFill="1" applyBorder="1" applyAlignment="1">
      <alignment horizontal="center" vertical="center"/>
    </xf>
    <xf numFmtId="0" fontId="18" fillId="14" borderId="36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8" xfId="0" applyFont="1" applyBorder="1" applyAlignment="1">
      <alignment horizontal="center"/>
    </xf>
  </cellXfs>
  <cellStyles count="1">
    <cellStyle name="Normal" xfId="0" builtinId="0"/>
  </cellStyles>
  <dxfs count="3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usernames" Target="revisions/userNames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revisionHeaders" Target="revisions/revisionHeader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207127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207971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1233618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203051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1233618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808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F2B405-16BE-49B7-B61C-295BDEC62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009A74-2D70-4641-A04E-37B05F801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59EE6-D8B2-46AE-A5D4-68CA3F66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3547A8-D3EB-412D-838E-8923203DA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10044-91FC-4AB0-BA12-93F25D7E7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721D01-B117-4415-8096-6E967DDF0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45B8D-2325-4FE6-80EA-77B9D7683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1A6FFB-E42D-4C48-9AA8-C7EB3A06A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D7981F-8958-488B-A858-53719C6C6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907750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7B1237-DC46-457B-9FFB-2873D6F2E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5977E1-33D0-456C-99CD-A82BB992A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AB4C8A-927F-4091-9CA6-FD231BFDF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3A710-CD30-4BCD-892A-0305AB08C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950457-C379-4505-97CB-B23FE7B7F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03079-EDEC-4D73-A1A8-CD427721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11F6E-CC21-4978-B5B2-8E5C7C755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B55471-74A5-4C7F-82A9-D51921924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C890B5-3B36-462A-8549-7D99BC091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3BEEA-E91A-4F50-9B13-C290B37FB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0</xdr:row>
      <xdr:rowOff>137160</xdr:rowOff>
    </xdr:from>
    <xdr:to>
      <xdr:col>9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22F12F-4493-4385-A685-8525F7E40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BC3ED-3511-4C74-B310-B8F5D99B5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7</xdr:col>
      <xdr:colOff>619126</xdr:colOff>
      <xdr:row>0</xdr:row>
      <xdr:rowOff>137160</xdr:rowOff>
    </xdr:from>
    <xdr:to>
      <xdr:col>8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A10410-56CE-475A-B2B6-E35764F8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382B6-ED10-44CE-9265-81536C17C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8</xdr:col>
      <xdr:colOff>593537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B7A7E6-F041-4428-AD2A-B63CA2336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830581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698166-EA10-4BBD-B95B-6DF3DEDE9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619126</xdr:colOff>
      <xdr:row>0</xdr:row>
      <xdr:rowOff>137160</xdr:rowOff>
    </xdr:from>
    <xdr:to>
      <xdr:col>7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42CF6E-A798-48CB-99C5-4DDA20B96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205741</xdr:colOff>
      <xdr:row>3</xdr:row>
      <xdr:rowOff>20811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5904A-DD4F-4D76-A1A4-E4C47BFDC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580881"/>
        </a:xfrm>
        <a:prstGeom prst="rect">
          <a:avLst/>
        </a:prstGeom>
      </xdr:spPr>
    </xdr:pic>
    <xdr:clientData/>
  </xdr:twoCellAnchor>
  <xdr:twoCellAnchor editAs="oneCell">
    <xdr:from>
      <xdr:col>9</xdr:col>
      <xdr:colOff>619126</xdr:colOff>
      <xdr:row>0</xdr:row>
      <xdr:rowOff>137160</xdr:rowOff>
    </xdr:from>
    <xdr:to>
      <xdr:col>10</xdr:col>
      <xdr:colOff>1233617</xdr:colOff>
      <xdr:row>3</xdr:row>
      <xdr:rowOff>145177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9F8F2B-B7F6-4399-B01D-6023AF7E0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5706" y="137160"/>
          <a:ext cx="1330771" cy="693817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9" Type="http://schemas.openxmlformats.org/officeDocument/2006/relationships/revisionLog" Target="revisionLog39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9" Type="http://schemas.openxmlformats.org/officeDocument/2006/relationships/revisionLog" Target="revisionLog29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46" Type="http://schemas.openxmlformats.org/officeDocument/2006/relationships/revisionLog" Target="revisionLog46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DEEF25E-1258-4B21-83AA-4C6B87DC7402}" diskRevisions="1" revisionId="509" version="48">
  <header guid="{A0AC2577-F7DF-4CEE-BDD2-76A57FC2F776}" dateTime="2026-04-29T15:35:39" maxSheetId="31" userName="Assistant DiveCenter Manager" r:id="rId1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CFEAA3E7-4C98-4FD8-BDA5-888116433531}" dateTime="2026-04-29T15:55:19" maxSheetId="31" userName="Dive Centre Office" r:id="rId2" minRId="1" maxRId="5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0F3E18E8-2AA0-41AC-9136-1B30E8F5420C}" dateTime="2026-04-29T15:57:28" maxSheetId="31" userName="Dive Centre Office" r:id="rId3" minRId="6" maxRId="10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9465E16F-B5DB-4F44-BC40-E157F8E84138}" dateTime="2026-04-29T16:03:29" maxSheetId="31" userName="Dive Centre Office" r:id="rId4" minRId="11" maxRId="19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2FF7AE08-599B-4B8B-A40F-462661078CC5}" dateTime="2026-04-29T16:09:31" maxSheetId="31" userName="Dive Centre Office" r:id="rId5" minRId="20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BB29AA13-CFB9-4DCD-891E-7580851BBA61}" dateTime="2026-04-29T16:09:49" maxSheetId="31" userName="Dive Centre Office" r:id="rId6" minRId="21" maxRId="23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C53BE35C-505B-458D-9418-EFF976103366}" dateTime="2026-04-29T16:36:31" maxSheetId="31" userName="Dive Centre Office" r:id="rId7" minRId="24" maxRId="27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FF705B2D-F31A-4448-84F4-82DC03229E5F}" dateTime="2026-04-29T16:36:46" maxSheetId="31" userName="Dive Centre Office" r:id="rId8" minRId="28" maxRId="33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694A37F2-4588-4323-8EEC-DE86AAD676F8}" dateTime="2026-04-29T17:03:07" maxSheetId="31" userName="Dive Centre Office" r:id="rId9" minRId="34" maxRId="38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19073E98-CFCB-4F82-B2F3-7C776E8DCD2D}" dateTime="2026-04-30T08:29:13" maxSheetId="31" userName="Dive Centre Office" r:id="rId10" minRId="39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2C63B1A2-6350-42D9-A84E-F6551704E682}" dateTime="2026-04-30T08:45:21" maxSheetId="31" userName="Dive Centre Office" r:id="rId11" minRId="40" maxRId="43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565232FB-AEC0-4BCC-B8CC-5CF0D129A908}" dateTime="2026-04-30T08:45:34" maxSheetId="31" userName="Dive Centre Office" r:id="rId12" minRId="44" maxRId="45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A8430E72-27BF-41CB-904C-24E437F36632}" dateTime="2026-04-30T09:00:22" maxSheetId="31" userName="Dive Centre Office" r:id="rId13" minRId="46" maxRId="50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223DB524-9370-4E5B-A981-927B743241E7}" dateTime="2026-04-30T09:00:55" maxSheetId="31" userName="Dive Centre Office" r:id="rId14" minRId="51" maxRId="54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B560D637-F1EB-45F5-8FAB-B4BC2E0F542D}" dateTime="2026-04-30T09:02:18" maxSheetId="31" userName="Dive Centre Office" r:id="rId15" minRId="55" maxRId="58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0F9681A5-36EB-444C-B9EE-1E5BB828AEB4}" dateTime="2026-04-30T09:02:31" maxSheetId="31" userName="Dive Centre Office" r:id="rId16" minRId="59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A168FBA2-0727-40E2-BB85-E7E30E331FB6}" dateTime="2026-04-30T09:32:35" maxSheetId="31" userName="Dive Centre Office" r:id="rId17" minRId="60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D45493EA-ED9F-4BA0-B371-DBB162471866}" dateTime="2026-04-30T09:33:09" maxSheetId="31" userName="Dive Centre Office" r:id="rId18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86368E8A-CF25-4DFE-A84B-D68747CD482D}" dateTime="2026-04-30T10:39:25" maxSheetId="31" userName="Assistant DiveCenter Manager" r:id="rId19" minRId="61" maxRId="67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5613974B-8682-49EF-BD35-52705DFB1BBE}" dateTime="2026-04-30T13:35:22" maxSheetId="31" userName="Dive Centre Office" r:id="rId20" minRId="68" maxRId="73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AA505BC7-9624-4BB0-A0FE-81CA94E88A7A}" dateTime="2026-04-30T14:03:56" maxSheetId="31" userName="Assistant DiveCenter Manager" r:id="rId21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E936BD54-1B27-4A87-ADC6-628D06F1C8D0}" dateTime="2026-04-30T14:15:40" maxSheetId="31" userName="Dive Centre Office" r:id="rId22" minRId="106" maxRId="134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91B066FC-5D0A-493D-9D55-341F9B2E259C}" dateTime="2026-04-30T14:16:08" maxSheetId="31" userName="Dive Centre Office" r:id="rId23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C7AD2088-6489-4CC6-9B64-5727488CD4DC}" dateTime="2026-04-30T14:16:12" maxSheetId="31" userName="Dive Centre Office" r:id="rId24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246BC8B2-D2C0-454B-9106-C937F5B4EE19}" dateTime="2026-04-30T14:16:21" maxSheetId="31" userName="Dive Centre Office" r:id="rId25" minRId="199" maxRId="200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0F9C6701-B4AB-447D-85A8-67DF13AA03A8}" dateTime="2026-04-30T14:16:27" maxSheetId="31" userName="Dive Centre Office" r:id="rId26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52B5FEA8-E131-4C13-8D0D-AD7912914AC5}" dateTime="2026-04-30T14:23:30" maxSheetId="31" userName="Dive Centre Office" r:id="rId27" minRId="201" maxRId="205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DDB3F86F-A634-42DD-B2DA-1D3D34DBF5A0}" dateTime="2026-04-30T14:23:56" maxSheetId="31" userName="Dive Centre Office" r:id="rId28" minRId="238" maxRId="239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1CCF9DB1-546D-4308-B163-EAA72EFE201D}" dateTime="2026-04-30T14:24:11" maxSheetId="31" userName="Dive Centre Office" r:id="rId29" minRId="240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F330D166-D894-46C4-A503-4CBE719A1F2B}" dateTime="2026-04-30T14:26:01" maxSheetId="31" userName="Dive Centre Office" r:id="rId30" minRId="241" maxRId="245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B7AFD24A-10C9-43C7-AAC5-F0ABEB448AA4}" dateTime="2026-04-30T14:47:26" maxSheetId="31" userName="Dive Centre Office" r:id="rId31" minRId="246" maxRId="263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795389A9-099B-45A4-A9F4-00C071257625}" dateTime="2026-04-30T14:49:20" maxSheetId="31" userName="Dive Centre Office" r:id="rId32" minRId="264" maxRId="269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94A97B7B-A534-45B0-8F11-8AC63504F096}" dateTime="2026-04-30T14:50:27" maxSheetId="31" userName="Dive Centre Office" r:id="rId33" minRId="270" maxRId="339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55C6B72C-0207-4459-A370-560D334E024C}" dateTime="2026-04-30T14:52:34" maxSheetId="31" userName="Dive Centre Office" r:id="rId34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DF80CD58-AC00-4700-9093-6D2DD1BC5BB7}" dateTime="2026-04-30T14:55:59" maxSheetId="31" userName="Assistant DiveCenter Manager" r:id="rId35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9765AABD-AF05-4D91-8C19-331836D61D40}" dateTime="2026-04-30T15:30:23" maxSheetId="31" userName="Dive Centre Office" r:id="rId36" minRId="372" maxRId="376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F0C4F681-658A-4898-AD39-18040F674B41}" dateTime="2026-04-30T15:30:59" maxSheetId="31" userName="Dive Centre Office" r:id="rId37" minRId="409" maxRId="411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038A4B2B-F2B0-4404-B013-ABF6DF43C4A6}" dateTime="2026-04-30T15:31:48" maxSheetId="31" userName="Dive Centre Office" r:id="rId38" minRId="412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C79F7727-550E-4586-9194-C53DC05AEE66}" dateTime="2026-04-30T15:39:23" maxSheetId="31" userName="Dive Centre Office" r:id="rId39" minRId="413" maxRId="424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D0F7685F-88F3-41A6-902B-E367FD5E5E8A}" dateTime="2026-04-30T15:55:47" maxSheetId="31" userName="Dive Centre Office" r:id="rId40" minRId="457" maxRId="458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808D0BDC-D3E6-4F20-AB98-A1C393EB12A4}" dateTime="2026-04-30T15:59:41" maxSheetId="31" userName="Dive Centre Office" r:id="rId41" minRId="459" maxRId="461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E8B67A55-260C-4672-8CDB-DAACE333978C}" dateTime="2026-04-30T16:02:04" maxSheetId="31" userName="Dive Centre Office" r:id="rId42" minRId="462" maxRId="464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8B97CB17-F681-48C0-95F8-DAA472D9501A}" dateTime="2026-04-30T16:02:32" maxSheetId="31" userName="Dive Centre Office" r:id="rId43" minRId="465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FD6ECDCF-AFF7-4E59-B134-1C9A087DD955}" dateTime="2026-04-30T16:03:14" maxSheetId="31" userName="Dive Centre Office" r:id="rId44" minRId="466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94252027-9A6C-43E1-B425-165B80CA4B37}" dateTime="2026-04-30T16:11:17" maxSheetId="31" userName="Dive Centre Office" r:id="rId45" minRId="467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64F31EA3-E58A-490E-B919-B241C332A651}" dateTime="2026-04-30T16:29:49" maxSheetId="31" userName="Dive Centre Office" r:id="rId46" minRId="468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A541FA4D-989D-4DEA-90C8-D1AA4EA44BFC}" dateTime="2026-04-30T16:36:14" maxSheetId="31" userName="Dive Centre Office" r:id="rId47" minRId="469" maxRId="477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  <header guid="{FDEEF25E-1258-4B21-83AA-4C6B87DC7402}" dateTime="2026-05-01T08:42:40" maxSheetId="31" userName="Dive Centre Office" r:id="rId48">
    <sheetIdMap count="3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29">
    <oc r="E8">
      <v>2</v>
    </oc>
    <nc r="E8" t="inlineStr">
      <is>
        <t>2pp</t>
      </is>
    </nc>
  </rcc>
  <rfmt sheetId="29" sqref="B8">
    <dxf>
      <fill>
        <patternFill>
          <bgColor rgb="FFFF0000"/>
        </patternFill>
      </fill>
    </dxf>
  </rfmt>
  <rcc rId="2" sId="30">
    <nc r="B17">
      <v>894</v>
    </nc>
  </rcc>
  <rcc rId="3" sId="30">
    <nc r="C17" t="inlineStr">
      <is>
        <t>Rika Okabe</t>
      </is>
    </nc>
  </rcc>
  <rcc rId="4" sId="30" numFmtId="19">
    <nc r="D17">
      <v>46143</v>
    </nc>
  </rcc>
  <rcc rId="5" sId="30">
    <nc r="E17">
      <v>2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9" sqref="B16">
    <dxf>
      <fill>
        <patternFill>
          <bgColor rgb="FFFF0000"/>
        </patternFill>
      </fill>
    </dxf>
  </rfmt>
  <rcc rId="6" sId="30">
    <nc r="B18">
      <v>323</v>
    </nc>
  </rcc>
  <rcc rId="7" sId="30">
    <nc r="E18">
      <v>2</v>
    </nc>
  </rcc>
  <rcc rId="8" sId="30">
    <nc r="I18" t="inlineStr">
      <is>
        <t>UV/Rahil</t>
      </is>
    </nc>
  </rcc>
  <rcc rId="9" sId="29">
    <oc r="E18">
      <v>2</v>
    </oc>
    <nc r="E18" t="inlineStr">
      <is>
        <t>pp2</t>
      </is>
    </nc>
  </rcc>
  <rfmt sheetId="29" sqref="B18">
    <dxf>
      <fill>
        <patternFill>
          <bgColor rgb="FFFF0000"/>
        </patternFill>
      </fill>
    </dxf>
  </rfmt>
  <rcc rId="10" sId="29">
    <oc r="E16">
      <v>2</v>
    </oc>
    <nc r="E16" t="inlineStr">
      <is>
        <t>pp2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" sId="30" odxf="1" dxf="1">
    <nc r="B19">
      <v>892</v>
    </nc>
    <ndxf>
      <font>
        <sz val="14"/>
        <color auto="1"/>
      </font>
      <fill>
        <patternFill patternType="none">
          <bgColor indexed="65"/>
        </patternFill>
      </fill>
    </ndxf>
  </rcc>
  <rcc rId="12" sId="30" odxf="1" dxf="1">
    <nc r="C19" t="inlineStr">
      <is>
        <t xml:space="preserve">Mellyn Carroll Family (2 Adult 1Kid) </t>
      </is>
    </nc>
    <odxf>
      <fill>
        <patternFill patternType="solid">
          <bgColor theme="0"/>
        </patternFill>
      </fill>
      <alignment horizontal="left" readingOrder="0"/>
    </odxf>
    <ndxf>
      <fill>
        <patternFill patternType="none">
          <bgColor indexed="65"/>
        </patternFill>
      </fill>
      <alignment horizontal="center" readingOrder="0"/>
    </ndxf>
  </rcc>
  <rcc rId="13" sId="30" numFmtId="19">
    <nc r="D19">
      <v>46145</v>
    </nc>
  </rcc>
  <rcc rId="14" sId="30">
    <nc r="E19">
      <v>2</v>
    </nc>
  </rcc>
  <rcc rId="15" sId="30">
    <nc r="F19">
      <v>1</v>
    </nc>
  </rcc>
  <rcc rId="16" sId="30" odxf="1" dxf="1">
    <nc r="H19" t="inlineStr">
      <is>
        <t>SALES ENT</t>
      </is>
    </nc>
    <odxf>
      <fill>
        <patternFill>
          <bgColor theme="0"/>
        </patternFill>
      </fill>
      <alignment horizontal="left" readingOrder="0"/>
    </odxf>
    <ndxf>
      <fill>
        <patternFill>
          <bgColor rgb="FFFFC000"/>
        </patternFill>
      </fill>
      <alignment horizontal="center" readingOrder="0"/>
    </ndxf>
  </rcc>
  <rcc rId="17" sId="30" odxf="1" dxf="1">
    <nc r="I19" t="inlineStr">
      <is>
        <t>Ahalya/Maaji</t>
      </is>
    </nc>
    <odxf>
      <alignment horizontal="left" readingOrder="0"/>
    </odxf>
    <ndxf>
      <alignment horizontal="center" readingOrder="0"/>
    </ndxf>
  </rcc>
  <rcc rId="18" sId="30">
    <nc r="B20">
      <v>877</v>
    </nc>
  </rcc>
  <rcc rId="19" sId="30">
    <nc r="E20">
      <v>2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" sId="30">
    <nc r="I20" t="inlineStr">
      <is>
        <t>UV/Tarush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" sId="30">
    <nc r="B21">
      <v>874</v>
    </nc>
  </rcc>
  <rcc rId="22" sId="30">
    <nc r="E21">
      <v>2</v>
    </nc>
  </rcc>
  <rcc rId="23" sId="30">
    <nc r="I21" t="inlineStr">
      <is>
        <t>Shen/Rahil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" sId="30">
    <oc r="B18">
      <v>323</v>
    </oc>
    <nc r="B18"/>
  </rcc>
  <rcc rId="25" sId="30">
    <oc r="E18">
      <v>2</v>
    </oc>
    <nc r="E18"/>
  </rcc>
  <rcc rId="26" sId="30">
    <oc r="I18" t="inlineStr">
      <is>
        <t>UV/Rahil</t>
      </is>
    </oc>
    <nc r="I18"/>
  </rcc>
  <rcc rId="27" sId="29">
    <oc r="E7">
      <v>2</v>
    </oc>
    <nc r="E7" t="inlineStr">
      <is>
        <t>cxl2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" sId="30" odxf="1" dxf="1">
    <nc r="B18">
      <v>619</v>
    </nc>
    <odxf>
      <alignment vertical="center" readingOrder="0"/>
    </odxf>
    <ndxf>
      <alignment vertical="top" readingOrder="0"/>
    </ndxf>
  </rcc>
  <rcc rId="29" sId="30" odxf="1" dxf="1">
    <nc r="C18" t="inlineStr">
      <is>
        <t>MS.ZHAO/YAN</t>
      </is>
    </nc>
    <odxf>
      <alignment horizontal="left" vertical="center" readingOrder="0"/>
    </odxf>
    <ndxf>
      <alignment horizontal="center" vertical="top" readingOrder="0"/>
    </ndxf>
  </rcc>
  <rcc rId="30" sId="30" odxf="1" dxf="1" numFmtId="19">
    <nc r="D18">
      <v>46144</v>
    </nc>
    <odxf>
      <alignment vertical="center" readingOrder="0"/>
    </odxf>
    <ndxf>
      <alignment vertical="top" readingOrder="0"/>
    </ndxf>
  </rcc>
  <rfmt sheetId="30" sqref="E18" start="0" length="0">
    <dxf>
      <alignment vertical="top" readingOrder="0"/>
    </dxf>
  </rfmt>
  <rfmt sheetId="30" sqref="F18" start="0" length="0">
    <dxf>
      <alignment vertical="top" readingOrder="0"/>
    </dxf>
  </rfmt>
  <rfmt sheetId="30" sqref="G18" start="0" length="0">
    <dxf>
      <alignment vertical="top" readingOrder="0"/>
    </dxf>
  </rfmt>
  <rcc rId="31" sId="30" odxf="1" dxf="1">
    <nc r="H18" t="inlineStr">
      <is>
        <t>3283176, 3283177</t>
      </is>
    </nc>
    <odxf>
      <numFmt numFmtId="0" formatCode="General"/>
      <alignment horizontal="left" vertical="center" readingOrder="0"/>
    </odxf>
    <ndxf>
      <numFmt numFmtId="3" formatCode="#,##0"/>
      <alignment horizontal="center" vertical="top" readingOrder="0"/>
    </ndxf>
  </rcc>
  <rcc rId="32" sId="30" odxf="1" dxf="1">
    <nc r="I18" t="inlineStr">
      <is>
        <t>Monica/Faiha</t>
      </is>
    </nc>
    <odxf>
      <alignment horizontal="left" vertical="center" readingOrder="0"/>
    </odxf>
    <ndxf>
      <alignment horizontal="center" vertical="top" readingOrder="0"/>
    </ndxf>
  </rcc>
  <rcc rId="33" sId="30">
    <nc r="E18">
      <v>2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" sId="30" odxf="1" dxf="1">
    <nc r="B22">
      <v>840</v>
    </nc>
    <odxf>
      <alignment vertical="center" readingOrder="0"/>
    </odxf>
    <ndxf>
      <alignment vertical="top" readingOrder="0"/>
    </ndxf>
  </rcc>
  <rcc rId="35" sId="30" odxf="1" dxf="1">
    <nc r="C22" t="inlineStr">
      <is>
        <t>Samar Attia</t>
      </is>
    </nc>
    <odxf>
      <alignment horizontal="left" vertical="center" readingOrder="0"/>
    </odxf>
    <ndxf>
      <alignment horizontal="center" vertical="top" readingOrder="0"/>
    </ndxf>
  </rcc>
  <rcc rId="36" sId="30" odxf="1" dxf="1" numFmtId="19">
    <nc r="D22">
      <v>46144</v>
    </nc>
    <odxf>
      <alignment vertical="center" readingOrder="0"/>
    </odxf>
    <ndxf>
      <alignment vertical="top" readingOrder="0"/>
    </ndxf>
  </rcc>
  <rcc rId="37" sId="30" odxf="1" dxf="1">
    <nc r="E22">
      <v>2</v>
    </nc>
    <odxf>
      <alignment vertical="center" readingOrder="0"/>
    </odxf>
    <ndxf>
      <alignment vertical="top" readingOrder="0"/>
    </ndxf>
  </rcc>
  <rfmt sheetId="30" sqref="F22" start="0" length="0">
    <dxf>
      <alignment vertical="top" readingOrder="0"/>
    </dxf>
  </rfmt>
  <rfmt sheetId="30" sqref="G22" start="0" length="0">
    <dxf>
      <alignment vertical="top" readingOrder="0"/>
    </dxf>
  </rfmt>
  <rfmt sheetId="30" sqref="H22" start="0" length="0">
    <dxf>
      <alignment horizontal="center" vertical="top" readingOrder="0"/>
    </dxf>
  </rfmt>
  <rcc rId="38" sId="30" odxf="1" dxf="1">
    <nc r="I22" t="inlineStr">
      <is>
        <t>faIHA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" sId="29">
    <oc r="I14" t="inlineStr">
      <is>
        <t>faIHA</t>
      </is>
    </oc>
    <nc r="I14" t="inlineStr">
      <is>
        <t>Faiha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" sId="30">
    <nc r="B23">
      <v>866</v>
    </nc>
  </rcc>
  <rcc rId="41" sId="30">
    <nc r="E23">
      <v>2</v>
    </nc>
  </rcc>
  <rcc rId="42" sId="30">
    <nc r="I23" t="inlineStr">
      <is>
        <t>Aiperi/Faiha</t>
      </is>
    </nc>
  </rcc>
  <rfmt sheetId="30" sqref="I22" start="0" length="0">
    <dxf>
      <alignment horizontal="left" vertical="center" readingOrder="0"/>
    </dxf>
  </rfmt>
  <rcc rId="43" sId="30">
    <oc r="I22" t="inlineStr">
      <is>
        <t>faIHA</t>
      </is>
    </oc>
    <nc r="I22" t="inlineStr">
      <is>
        <t>Aiperi/Faiha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" sId="30" odxf="1" dxf="1">
    <nc r="C23" t="inlineStr">
      <is>
        <t>Belyaev, Ivan</t>
      </is>
    </nc>
    <odxf>
      <alignment vertical="center" readingOrder="0"/>
      <border outline="0">
        <top style="thin">
          <color indexed="64"/>
        </top>
      </border>
    </odxf>
    <ndxf>
      <alignment vertical="top" readingOrder="0"/>
      <border outline="0">
        <top/>
      </border>
    </ndxf>
  </rcc>
  <rcc rId="45" sId="30" odxf="1" dxf="1" numFmtId="19">
    <nc r="D23">
      <v>46150</v>
    </nc>
    <odxf>
      <alignment vertical="center" readingOrder="0"/>
      <border outline="0">
        <top style="thin">
          <color indexed="64"/>
        </top>
      </border>
    </odxf>
    <ndxf>
      <alignment vertical="top" readingOrder="0"/>
      <border outline="0">
        <top/>
      </border>
    </ndxf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" sId="30">
    <oc r="B8" t="inlineStr">
      <is>
        <t>Prebooking</t>
      </is>
    </oc>
    <nc r="B8">
      <v>301</v>
    </nc>
  </rcc>
  <rcc rId="47" sId="30">
    <nc r="G7" t="inlineStr">
      <is>
        <t>OLD</t>
      </is>
    </nc>
  </rcc>
  <rcc rId="48" sId="30">
    <nc r="G8" t="inlineStr">
      <is>
        <t>OLD</t>
      </is>
    </nc>
  </rcc>
  <rcc rId="49" sId="30">
    <oc r="J7" t="inlineStr">
      <is>
        <t>OLD</t>
      </is>
    </oc>
    <nc r="J7"/>
  </rcc>
  <rcc rId="50" sId="30">
    <oc r="J8" t="inlineStr">
      <is>
        <t>OLD</t>
      </is>
    </oc>
    <nc r="J8"/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" sId="30">
    <nc r="B24">
      <v>310</v>
    </nc>
  </rcc>
  <rcc rId="52" sId="30">
    <nc r="E24">
      <v>2</v>
    </nc>
  </rcc>
  <rcc rId="53" sId="30">
    <nc r="I24" t="inlineStr">
      <is>
        <t>UV/Tarush</t>
      </is>
    </nc>
  </rcc>
  <rcc rId="54" sId="30">
    <nc r="C24" t="inlineStr">
      <is>
        <t>Tomoya Kitamoto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" sId="30">
    <nc r="C21" t="inlineStr">
      <is>
        <t>Linqing Zhang</t>
      </is>
    </nc>
  </rcc>
  <rcc rId="56" sId="30" numFmtId="19">
    <nc r="D21">
      <v>46143</v>
    </nc>
  </rcc>
  <rcc rId="57" sId="30">
    <nc r="C20" t="inlineStr">
      <is>
        <t>Yihe Huang</t>
      </is>
    </nc>
  </rcc>
  <rcc rId="58" sId="30" numFmtId="19">
    <nc r="D20">
      <v>46143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" sId="30" numFmtId="19">
    <nc r="D24">
      <v>46145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0" sqref="B7:I24">
    <dxf>
      <alignment vertical="center" readingOrder="0"/>
    </dxf>
  </rfmt>
  <rfmt sheetId="30" sqref="B7:I24">
    <dxf>
      <alignment horizontal="general" readingOrder="0"/>
    </dxf>
  </rfmt>
  <rfmt sheetId="30" sqref="B7:I24">
    <dxf>
      <alignment horizontal="center" readingOrder="0"/>
    </dxf>
  </rfmt>
  <rfmt sheetId="30" sqref="B7:I24" start="0" length="2147483647">
    <dxf>
      <font>
        <b/>
      </font>
    </dxf>
  </rfmt>
  <rfmt sheetId="30" sqref="B7:I24" start="0" length="2147483647">
    <dxf>
      <font>
        <b val="0"/>
      </font>
    </dxf>
  </rfmt>
  <rcc rId="60" sId="30">
    <oc r="B15">
      <v>666</v>
    </oc>
    <nc r="B15" t="inlineStr">
      <is>
        <t>666/875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0" sqref="B7:I24" start="0" length="2147483647">
    <dxf>
      <font>
        <name val="Calibri"/>
        <scheme val="minor"/>
      </font>
    </dxf>
  </rfmt>
  <rfmt sheetId="30" sqref="B7:I24" start="0" length="2147483647">
    <dxf>
      <font>
        <sz val="14"/>
      </font>
    </dxf>
  </rfmt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0" sqref="J7" start="0" length="0">
    <dxf>
      <font>
        <b val="0"/>
        <sz val="14"/>
        <color auto="1"/>
      </font>
      <alignment horizontal="center" vertical="top" readingOrder="0"/>
    </dxf>
  </rfmt>
  <rfmt sheetId="30" sqref="J8" start="0" length="0">
    <dxf>
      <font>
        <b val="0"/>
        <sz val="14"/>
        <color auto="1"/>
      </font>
      <alignment horizontal="center" vertical="top" readingOrder="0"/>
    </dxf>
  </rfmt>
  <rcc rId="61" sId="30" odxf="1" dxf="1">
    <oc r="J9">
      <f>IF(OR(NOT(ISERROR(MATCH(RIGHT(B9,3)+0,#REF!,0))),NOT(ISERROR(MATCH(LEFT(B9,3)+0,#REF!,0)))),"No Post","")</f>
    </oc>
    <nc r="J9"/>
    <odxf>
      <font>
        <b/>
        <sz val="12"/>
        <color auto="1"/>
      </font>
      <alignment horizontal="general" vertical="bottom" readingOrder="0"/>
    </odxf>
    <ndxf>
      <font>
        <b val="0"/>
        <sz val="14"/>
        <color auto="1"/>
      </font>
      <alignment horizontal="center" vertical="top" readingOrder="0"/>
    </ndxf>
  </rcc>
  <rcc rId="62" sId="30" odxf="1" dxf="1">
    <oc r="J10">
      <f>IF(OR(NOT(ISERROR(MATCH(RIGHT(B10,3)+0,#REF!,0))),NOT(ISERROR(MATCH(LEFT(B10,3)+0,#REF!,0)))),"No Post","")</f>
    </oc>
    <nc r="J10"/>
    <odxf>
      <font>
        <b/>
        <sz val="12"/>
        <color auto="1"/>
      </font>
      <alignment horizontal="general" vertical="bottom" readingOrder="0"/>
    </odxf>
    <ndxf>
      <font>
        <b val="0"/>
        <sz val="14"/>
        <color auto="1"/>
      </font>
      <alignment horizontal="center" vertical="top" readingOrder="0"/>
    </ndxf>
  </rcc>
  <rcc rId="63" sId="30" odxf="1" dxf="1">
    <oc r="J11">
      <f>IF(OR(NOT(ISERROR(MATCH(RIGHT(B11,3)+0,#REF!,0))),NOT(ISERROR(MATCH(LEFT(B11,3)+0,#REF!,0)))),"No Post","")</f>
    </oc>
    <nc r="J11"/>
    <odxf>
      <font>
        <b/>
        <sz val="12"/>
        <color auto="1"/>
      </font>
      <alignment horizontal="general" vertical="bottom" readingOrder="0"/>
    </odxf>
    <ndxf>
      <font>
        <b val="0"/>
        <sz val="14"/>
        <color auto="1"/>
      </font>
      <alignment horizontal="center" vertical="top" readingOrder="0"/>
    </ndxf>
  </rcc>
  <rcc rId="64" sId="30" odxf="1" dxf="1">
    <oc r="J12">
      <f>IF(OR(NOT(ISERROR(MATCH(RIGHT(B12,3)+0,#REF!,0))),NOT(ISERROR(MATCH(LEFT(B12,3)+0,#REF!,0)))),"No Post","")</f>
    </oc>
    <nc r="J12"/>
    <odxf>
      <font>
        <b/>
        <sz val="12"/>
        <color auto="1"/>
      </font>
      <alignment horizontal="general" vertical="bottom" readingOrder="0"/>
    </odxf>
    <ndxf>
      <font>
        <b val="0"/>
        <sz val="14"/>
        <color auto="1"/>
      </font>
      <alignment horizontal="center" vertical="top" readingOrder="0"/>
    </ndxf>
  </rcc>
  <rcc rId="65" sId="30" odxf="1" dxf="1">
    <oc r="J13">
      <f>IF(OR(NOT(ISERROR(MATCH(RIGHT(B13,3)+0,#REF!,0))),NOT(ISERROR(MATCH(LEFT(B13,3)+0,#REF!,0)))),"No Post","")</f>
    </oc>
    <nc r="J13"/>
    <odxf>
      <font>
        <b/>
        <sz val="12"/>
        <color auto="1"/>
      </font>
      <alignment horizontal="general" vertical="bottom" readingOrder="0"/>
    </odxf>
    <ndxf>
      <font>
        <b val="0"/>
        <sz val="14"/>
        <color auto="1"/>
      </font>
      <alignment horizontal="center" vertical="top" readingOrder="0"/>
    </ndxf>
  </rcc>
  <rcc rId="66" sId="30" odxf="1" dxf="1">
    <oc r="J14">
      <f>IF(OR(NOT(ISERROR(MATCH(RIGHT(B14,3)+0,#REF!,0))),NOT(ISERROR(MATCH(LEFT(B14,3)+0,#REF!,0)))),"No Post","")</f>
    </oc>
    <nc r="J14"/>
    <odxf>
      <font>
        <b/>
        <sz val="12"/>
        <color auto="1"/>
      </font>
      <alignment horizontal="general" vertical="bottom" readingOrder="0"/>
    </odxf>
    <ndxf>
      <font>
        <b val="0"/>
        <sz val="14"/>
        <color auto="1"/>
      </font>
      <alignment horizontal="center" vertical="top" readingOrder="0"/>
    </ndxf>
  </rcc>
  <rcc rId="67" sId="30" odxf="1" dxf="1">
    <oc r="J15">
      <f>IF(OR(NOT(ISERROR(MATCH(RIGHT(B15,3)+0,#REF!,0))),NOT(ISERROR(MATCH(LEFT(B15,3)+0,#REF!,0)))),"No Post","")</f>
    </oc>
    <nc r="J15"/>
    <odxf>
      <font>
        <b/>
        <sz val="12"/>
        <color auto="1"/>
      </font>
      <alignment horizontal="general" vertical="bottom" readingOrder="0"/>
    </odxf>
    <ndxf>
      <font>
        <b val="0"/>
        <sz val="14"/>
        <color auto="1"/>
      </font>
      <alignment horizontal="center" vertical="top" readingOrder="0"/>
    </ndxf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8" sId="30" ref="A13:XFD13" action="insertRow"/>
  <rrc rId="69" sId="30" ref="A7:XFD7" action="insertRow"/>
  <rfmt sheetId="30" sqref="A7" start="0" length="0">
    <dxf>
      <border>
        <left/>
      </border>
    </dxf>
  </rfmt>
  <rfmt sheetId="30" sqref="A7:I7" start="0" length="0">
    <dxf>
      <border>
        <top/>
      </border>
    </dxf>
  </rfmt>
  <rfmt sheetId="30" sqref="I7" start="0" length="0">
    <dxf>
      <border>
        <right/>
      </border>
    </dxf>
  </rfmt>
  <rfmt sheetId="30" sqref="A7:I7" start="0" length="0">
    <dxf>
      <border>
        <bottom/>
      </border>
    </dxf>
  </rfmt>
  <rfmt sheetId="30" sqref="A14" start="0" length="0">
    <dxf>
      <border>
        <left/>
      </border>
    </dxf>
  </rfmt>
  <rfmt sheetId="30" sqref="A14:I14" start="0" length="0">
    <dxf>
      <border>
        <top/>
      </border>
    </dxf>
  </rfmt>
  <rfmt sheetId="30" sqref="I14" start="0" length="0">
    <dxf>
      <border>
        <right/>
      </border>
    </dxf>
  </rfmt>
  <rfmt sheetId="30" sqref="A14:I14" start="0" length="0">
    <dxf>
      <border>
        <bottom/>
      </border>
    </dxf>
  </rfmt>
  <rfmt sheetId="30" sqref="A7:I7 A14:I14">
    <dxf>
      <border>
        <left/>
        <right/>
        <vertical/>
      </border>
    </dxf>
  </rfmt>
  <rfmt sheetId="30" sqref="A7" start="0" length="0">
    <dxf>
      <border>
        <left style="thin">
          <color indexed="64"/>
        </left>
      </border>
    </dxf>
  </rfmt>
  <rfmt sheetId="30" sqref="A7:I7" start="0" length="0">
    <dxf>
      <border>
        <top style="thin">
          <color indexed="64"/>
        </top>
      </border>
    </dxf>
  </rfmt>
  <rfmt sheetId="30" sqref="I7" start="0" length="0">
    <dxf>
      <border>
        <right style="thin">
          <color indexed="64"/>
        </right>
      </border>
    </dxf>
  </rfmt>
  <rfmt sheetId="30" sqref="A7:I7" start="0" length="0">
    <dxf>
      <border>
        <bottom style="thin">
          <color indexed="64"/>
        </bottom>
      </border>
    </dxf>
  </rfmt>
  <rfmt sheetId="30" sqref="A14" start="0" length="0">
    <dxf>
      <border>
        <left style="thin">
          <color indexed="64"/>
        </left>
      </border>
    </dxf>
  </rfmt>
  <rfmt sheetId="30" sqref="A14:I14" start="0" length="0">
    <dxf>
      <border>
        <top style="thin">
          <color indexed="64"/>
        </top>
      </border>
    </dxf>
  </rfmt>
  <rfmt sheetId="30" sqref="I14" start="0" length="0">
    <dxf>
      <border>
        <right style="thin">
          <color indexed="64"/>
        </right>
      </border>
    </dxf>
  </rfmt>
  <rfmt sheetId="30" sqref="A14:I14" start="0" length="0">
    <dxf>
      <border>
        <bottom style="thin">
          <color indexed="64"/>
        </bottom>
      </border>
    </dxf>
  </rfmt>
  <rcc rId="70" sId="30">
    <nc r="C7" t="inlineStr">
      <is>
        <t>ASSEYRI</t>
      </is>
    </nc>
  </rcc>
  <rcc rId="71" sId="30">
    <nc r="D7" t="inlineStr">
      <is>
        <t>BOAT 1</t>
      </is>
    </nc>
  </rcc>
  <rcc rId="72" sId="30">
    <nc r="C14" t="inlineStr">
      <is>
        <t>SHADHA</t>
      </is>
    </nc>
  </rcc>
  <rcc rId="73" sId="30">
    <nc r="D14" t="inlineStr">
      <is>
        <t>BOAT 2</t>
      </is>
    </nc>
  </rcc>
  <rfmt sheetId="30" sqref="A7:I7 A14:I14">
    <dxf>
      <fill>
        <patternFill>
          <bgColor rgb="FFC00000"/>
        </patternFill>
      </fill>
    </dxf>
  </rfmt>
  <rfmt sheetId="30" sqref="A7:I7 A14:I14" start="0" length="2147483647">
    <dxf>
      <font>
        <color theme="0"/>
      </font>
    </dxf>
  </rfmt>
  <rfmt sheetId="30" sqref="A7:I7 A14:I14" start="0" length="2147483647">
    <dxf>
      <font>
        <b/>
      </font>
    </dxf>
  </rfmt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E59406A-696F-45F3-96CE-A9A2B9D4DCC4}" action="delete"/>
  <rdn rId="0" localSheetId="1" customView="1" name="Z_4E59406A_696F_45F3_96CE_A9A2B9D4DCC4_.wvu.PrintArea" hidden="1" oldHidden="1">
    <formula>'1'!$A$1:$L$39</formula>
    <oldFormula>'1'!$A$1:$L$39</oldFormula>
  </rdn>
  <rdn rId="0" localSheetId="2" customView="1" name="Z_4E59406A_696F_45F3_96CE_A9A2B9D4DCC4_.wvu.PrintArea" hidden="1" oldHidden="1">
    <formula>'2'!$A$1:$L$38</formula>
    <oldFormula>'2'!$A$1:$L$38</oldFormula>
  </rdn>
  <rdn rId="0" localSheetId="3" customView="1" name="Z_4E59406A_696F_45F3_96CE_A9A2B9D4DCC4_.wvu.PrintArea" hidden="1" oldHidden="1">
    <formula>'3'!$A$1:$L$32</formula>
    <oldFormula>'3'!$A$1:$L$32</oldFormula>
  </rdn>
  <rdn rId="0" localSheetId="4" customView="1" name="Z_4E59406A_696F_45F3_96CE_A9A2B9D4DCC4_.wvu.PrintArea" hidden="1" oldHidden="1">
    <formula>'4'!$A$1:$L$40</formula>
    <oldFormula>'4'!$A$1:$L$40</oldFormula>
  </rdn>
  <rdn rId="0" localSheetId="5" customView="1" name="Z_4E59406A_696F_45F3_96CE_A9A2B9D4DCC4_.wvu.PrintArea" hidden="1" oldHidden="1">
    <formula>'5'!$A$1:$L$37</formula>
    <oldFormula>'5'!$A$1:$L$37</oldFormula>
  </rdn>
  <rdn rId="0" localSheetId="6" customView="1" name="Z_4E59406A_696F_45F3_96CE_A9A2B9D4DCC4_.wvu.PrintArea" hidden="1" oldHidden="1">
    <formula>'6'!$A$1:$L$37</formula>
    <oldFormula>'6'!$A$1:$L$37</oldFormula>
  </rdn>
  <rdn rId="0" localSheetId="7" customView="1" name="Z_4E59406A_696F_45F3_96CE_A9A2B9D4DCC4_.wvu.PrintArea" hidden="1" oldHidden="1">
    <formula>'7'!$A$1:$L$39</formula>
    <oldFormula>'7'!$A$1:$L$39</oldFormula>
  </rdn>
  <rdn rId="0" localSheetId="8" customView="1" name="Z_4E59406A_696F_45F3_96CE_A9A2B9D4DCC4_.wvu.PrintArea" hidden="1" oldHidden="1">
    <formula>'8'!$A$1:$L$32</formula>
    <oldFormula>'8'!$A$1:$L$32</oldFormula>
  </rdn>
  <rdn rId="0" localSheetId="9" customView="1" name="Z_4E59406A_696F_45F3_96CE_A9A2B9D4DCC4_.wvu.PrintArea" hidden="1" oldHidden="1">
    <formula>'9'!$A$1:$L$46</formula>
    <oldFormula>'9'!$A$1:$L$46</oldFormula>
  </rdn>
  <rdn rId="0" localSheetId="9" customView="1" name="Z_4E59406A_696F_45F3_96CE_A9A2B9D4DCC4_.wvu.FilterData" hidden="1" oldHidden="1">
    <formula>'9'!$A$6:$K$34</formula>
    <oldFormula>'9'!$A$6:$K$34</oldFormula>
  </rdn>
  <rdn rId="0" localSheetId="10" customView="1" name="Z_4E59406A_696F_45F3_96CE_A9A2B9D4DCC4_.wvu.PrintArea" hidden="1" oldHidden="1">
    <formula>'10'!$A$1:$L$42</formula>
    <oldFormula>'10'!$A$1:$L$42</oldFormula>
  </rdn>
  <rdn rId="0" localSheetId="10" customView="1" name="Z_4E59406A_696F_45F3_96CE_A9A2B9D4DCC4_.wvu.FilterData" hidden="1" oldHidden="1">
    <formula>'10'!$A$6:$K$28</formula>
    <oldFormula>'10'!$A$6:$K$28</oldFormula>
  </rdn>
  <rdn rId="0" localSheetId="11" customView="1" name="Z_4E59406A_696F_45F3_96CE_A9A2B9D4DCC4_.wvu.PrintArea" hidden="1" oldHidden="1">
    <formula>'11'!$A$1:$J$40</formula>
    <oldFormula>'11'!$A$1:$J$40</oldFormula>
  </rdn>
  <rdn rId="0" localSheetId="12" customView="1" name="Z_4E59406A_696F_45F3_96CE_A9A2B9D4DCC4_.wvu.PrintArea" hidden="1" oldHidden="1">
    <formula>'12'!$A$1:$L$36</formula>
    <oldFormula>'12'!$A$1:$L$36</oldFormula>
  </rdn>
  <rdn rId="0" localSheetId="13" customView="1" name="Z_4E59406A_696F_45F3_96CE_A9A2B9D4DCC4_.wvu.PrintArea" hidden="1" oldHidden="1">
    <formula>'13'!$A$1:$L$38</formula>
    <oldFormula>'13'!$A$1:$L$38</oldFormula>
  </rdn>
  <rdn rId="0" localSheetId="14" customView="1" name="Z_4E59406A_696F_45F3_96CE_A9A2B9D4DCC4_.wvu.PrintArea" hidden="1" oldHidden="1">
    <formula>'14'!$A$1:$J$38</formula>
    <oldFormula>'14'!$A$1:$J$38</oldFormula>
  </rdn>
  <rdn rId="0" localSheetId="15" customView="1" name="Z_4E59406A_696F_45F3_96CE_A9A2B9D4DCC4_.wvu.PrintArea" hidden="1" oldHidden="1">
    <formula>'15'!$A$1:$L$38</formula>
    <oldFormula>'15'!$A$1:$L$38</oldFormula>
  </rdn>
  <rdn rId="0" localSheetId="16" customView="1" name="Z_4E59406A_696F_45F3_96CE_A9A2B9D4DCC4_.wvu.PrintArea" hidden="1" oldHidden="1">
    <formula>'16'!$A$1:$L$33</formula>
    <oldFormula>'16'!$A$1:$L$33</oldFormula>
  </rdn>
  <rdn rId="0" localSheetId="17" customView="1" name="Z_4E59406A_696F_45F3_96CE_A9A2B9D4DCC4_.wvu.PrintArea" hidden="1" oldHidden="1">
    <formula>'17'!$A$1:$L$35</formula>
    <oldFormula>'17'!$A$1:$L$35</oldFormula>
  </rdn>
  <rdn rId="0" localSheetId="18" customView="1" name="Z_4E59406A_696F_45F3_96CE_A9A2B9D4DCC4_.wvu.PrintArea" hidden="1" oldHidden="1">
    <formula>'18'!$A$1:$L$38</formula>
    <oldFormula>'18'!$A$1:$L$38</oldFormula>
  </rdn>
  <rdn rId="0" localSheetId="19" customView="1" name="Z_4E59406A_696F_45F3_96CE_A9A2B9D4DCC4_.wvu.PrintArea" hidden="1" oldHidden="1">
    <formula>'19'!$A$1:$L$38</formula>
    <oldFormula>'19'!$A$1:$L$38</oldFormula>
  </rdn>
  <rdn rId="0" localSheetId="20" customView="1" name="Z_4E59406A_696F_45F3_96CE_A9A2B9D4DCC4_.wvu.PrintArea" hidden="1" oldHidden="1">
    <formula>'20'!$A$1:$J$31</formula>
    <oldFormula>'20'!$A$1:$J$31</oldFormula>
  </rdn>
  <rdn rId="0" localSheetId="21" customView="1" name="Z_4E59406A_696F_45F3_96CE_A9A2B9D4DCC4_.wvu.PrintArea" hidden="1" oldHidden="1">
    <formula>'21'!$A$1:$L$33</formula>
    <oldFormula>'21'!$A$1:$L$33</oldFormula>
  </rdn>
  <rdn rId="0" localSheetId="22" customView="1" name="Z_4E59406A_696F_45F3_96CE_A9A2B9D4DCC4_.wvu.PrintArea" hidden="1" oldHidden="1">
    <formula>'22'!$A$1:$L$40</formula>
    <oldFormula>'22'!$A$1:$L$40</oldFormula>
  </rdn>
  <rdn rId="0" localSheetId="23" customView="1" name="Z_4E59406A_696F_45F3_96CE_A9A2B9D4DCC4_.wvu.PrintArea" hidden="1" oldHidden="1">
    <formula>'23'!$A$1:$J$41</formula>
    <oldFormula>'23'!$A$1:$J$41</oldFormula>
  </rdn>
  <rdn rId="0" localSheetId="24" customView="1" name="Z_4E59406A_696F_45F3_96CE_A9A2B9D4DCC4_.wvu.PrintArea" hidden="1" oldHidden="1">
    <formula>'24'!$A$1:$J$38</formula>
    <oldFormula>'24'!$A$1:$J$38</oldFormula>
  </rdn>
  <rdn rId="0" localSheetId="25" customView="1" name="Z_4E59406A_696F_45F3_96CE_A9A2B9D4DCC4_.wvu.PrintArea" hidden="1" oldHidden="1">
    <formula>'25'!$A$1:$L$34</formula>
    <oldFormula>'25'!$A$1:$L$34</oldFormula>
  </rdn>
  <rdn rId="0" localSheetId="26" customView="1" name="Z_4E59406A_696F_45F3_96CE_A9A2B9D4DCC4_.wvu.PrintArea" hidden="1" oldHidden="1">
    <formula>'26'!$A$1:$L$33</formula>
    <oldFormula>'26'!$A$1:$L$33</oldFormula>
  </rdn>
  <rdn rId="0" localSheetId="27" customView="1" name="Z_4E59406A_696F_45F3_96CE_A9A2B9D4DCC4_.wvu.PrintArea" hidden="1" oldHidden="1">
    <formula>'27'!$A$1:$K$31</formula>
    <oldFormula>'27'!$A$1:$K$31</oldFormula>
  </rdn>
  <rdn rId="0" localSheetId="28" customView="1" name="Z_4E59406A_696F_45F3_96CE_A9A2B9D4DCC4_.wvu.PrintArea" hidden="1" oldHidden="1">
    <formula>'28'!$A$1:$K$32</formula>
    <oldFormula>'28'!$A$1:$K$32</oldFormula>
  </rdn>
  <rdn rId="0" localSheetId="29" customView="1" name="Z_4E59406A_696F_45F3_96CE_A9A2B9D4DCC4_.wvu.PrintArea" hidden="1" oldHidden="1">
    <formula>'29'!$A$1:$J$38</formula>
    <oldFormula>'29'!$A$1:$J$38</oldFormula>
  </rdn>
  <rdn rId="0" localSheetId="30" customView="1" name="Z_4E59406A_696F_45F3_96CE_A9A2B9D4DCC4_.wvu.PrintArea" hidden="1" oldHidden="1">
    <formula>'30'!$A$1:$J$40</formula>
    <oldFormula>'30'!$A$1:$J$40</oldFormula>
  </rdn>
  <rcv guid="{4E59406A-696F-45F3-96CE-A9A2B9D4DCC4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" sId="30">
    <oc r="H9">
      <v>26121654</v>
    </oc>
    <nc r="H9" t="inlineStr">
      <is>
        <t>ALLOCATION</t>
      </is>
    </nc>
  </rcc>
  <rcc rId="107" sId="30">
    <nc r="H26" t="inlineStr">
      <is>
        <t>ALLOCATION</t>
      </is>
    </nc>
  </rcc>
  <rcc rId="108" sId="30">
    <nc r="H16" t="inlineStr">
      <is>
        <t>ITA(NP)</t>
      </is>
    </nc>
  </rcc>
  <rcc rId="109" sId="30">
    <oc r="C11" t="inlineStr">
      <is>
        <t>Xing Zhou</t>
      </is>
    </oc>
    <nc r="C11" t="inlineStr">
      <is>
        <t>Bin Wang</t>
      </is>
    </nc>
  </rcc>
  <rcc rId="110" sId="30">
    <nc r="H11" t="inlineStr">
      <is>
        <t>ALLOCATION</t>
      </is>
    </nc>
  </rcc>
  <rcc rId="111" sId="30">
    <nc r="H12" t="inlineStr">
      <is>
        <t>ALLOCATION</t>
      </is>
    </nc>
  </rcc>
  <rcc rId="112" sId="30">
    <oc r="C12" t="inlineStr">
      <is>
        <t>Bin Wang</t>
      </is>
    </oc>
    <nc r="C12" t="inlineStr">
      <is>
        <t>Xing Zhou</t>
      </is>
    </nc>
  </rcc>
  <rcc rId="113" sId="30">
    <oc r="B20">
      <v>619</v>
    </oc>
    <nc r="B20" t="inlineStr">
      <is>
        <t>619/881</t>
      </is>
    </nc>
  </rcc>
  <rcc rId="114" sId="30">
    <oc r="H20" t="inlineStr">
      <is>
        <t>3283176, 3283177</t>
      </is>
    </oc>
    <nc r="H20" t="inlineStr">
      <is>
        <t>ALLOCATION</t>
      </is>
    </nc>
  </rcc>
  <rfmt sheetId="30" sqref="B11:B13 B8:B9 H9 H26 H11 H12 H20">
    <dxf>
      <fill>
        <patternFill>
          <bgColor rgb="FF92D050"/>
        </patternFill>
      </fill>
    </dxf>
  </rfmt>
  <rfmt sheetId="30" sqref="H10 B16">
    <dxf>
      <fill>
        <patternFill>
          <bgColor rgb="FFFF66CC"/>
        </patternFill>
      </fill>
    </dxf>
  </rfmt>
  <rcc rId="115" sId="30">
    <nc r="G24" t="inlineStr">
      <is>
        <t>RC $100</t>
      </is>
    </nc>
  </rcc>
  <rcc rId="116" sId="30">
    <nc r="H24" t="inlineStr">
      <is>
        <t>SAI</t>
      </is>
    </nc>
  </rcc>
  <rcc rId="117" sId="30">
    <nc r="H18" t="inlineStr">
      <is>
        <t>SAI</t>
      </is>
    </nc>
  </rcc>
  <rcc rId="118" sId="30">
    <nc r="H15" t="inlineStr">
      <is>
        <t>ALLOCATION</t>
      </is>
    </nc>
  </rcc>
  <rcc rId="119" sId="30">
    <oc r="H8" t="inlineStr">
      <is>
        <t>2890676TRMD</t>
      </is>
    </oc>
    <nc r="H8" t="inlineStr">
      <is>
        <t>SAI</t>
      </is>
    </nc>
  </rcc>
  <rfmt sheetId="30" sqref="B17 H15">
    <dxf>
      <fill>
        <patternFill>
          <bgColor rgb="FF92D050"/>
        </patternFill>
      </fill>
    </dxf>
  </rfmt>
  <rfmt sheetId="30" sqref="B15:B16 B18 H24 H18 H8">
    <dxf>
      <fill>
        <patternFill>
          <bgColor rgb="FFFFFF00"/>
        </patternFill>
      </fill>
    </dxf>
  </rfmt>
  <rcc rId="120" sId="30">
    <nc r="H25" t="inlineStr">
      <is>
        <t>FB</t>
      </is>
    </nc>
  </rcc>
  <rfmt sheetId="30" sqref="B19 H25">
    <dxf>
      <fill>
        <patternFill>
          <bgColor rgb="FFFFFF00"/>
        </patternFill>
      </fill>
    </dxf>
  </rfmt>
  <rcc rId="121" sId="30">
    <oc r="J24">
      <f>IF(OR(NOT(ISERROR(MATCH(RIGHT(B15,3)+0,#REF!,0))),NOT(ISERROR(MATCH(LEFT(B15,3)+0,#REF!,0)))),"No Post","")</f>
    </oc>
    <nc r="J24" t="inlineStr">
      <is>
        <t>NO POST</t>
      </is>
    </nc>
  </rcc>
  <rcc rId="122" sId="30">
    <oc r="J18">
      <f>IF(OR(NOT(ISERROR(MATCH(RIGHT(B16,3)+0,#REF!,0))),NOT(ISERROR(MATCH(LEFT(B16,3)+0,#REF!,0)))),"No Post","")</f>
    </oc>
    <nc r="J18" t="inlineStr">
      <is>
        <t>NO POST</t>
      </is>
    </nc>
  </rcc>
  <rcc rId="123" sId="30" odxf="1" dxf="1">
    <oc r="J8">
      <f>IF(OR(NOT(ISERROR(MATCH(RIGHT(B18,3)+0,#REF!,0))),NOT(ISERROR(MATCH(LEFT(B18,3)+0,#REF!,0)))),"No Post","")</f>
    </oc>
    <nc r="J8" t="inlineStr">
      <is>
        <t>NO POST</t>
      </is>
    </nc>
    <ndxf>
      <font>
        <b/>
        <sz val="12"/>
        <color auto="1"/>
      </font>
      <alignment horizontal="general" vertical="bottom" readingOrder="0"/>
    </ndxf>
  </rcc>
  <rcc rId="124" sId="30" odxf="1" dxf="1">
    <nc r="J16" t="inlineStr">
      <is>
        <t>NO POST</t>
      </is>
    </nc>
    <ndxf>
      <font>
        <b/>
        <sz val="12"/>
        <color auto="1"/>
      </font>
      <alignment horizontal="general" vertical="bottom" readingOrder="0"/>
    </ndxf>
  </rcc>
  <rcc rId="125" sId="30">
    <nc r="H23" t="inlineStr">
      <is>
        <t>ALLOCATION</t>
      </is>
    </nc>
  </rcc>
  <rcc rId="126" sId="30">
    <nc r="H22" t="inlineStr">
      <is>
        <t>ALLOCATION</t>
      </is>
    </nc>
  </rcc>
  <rcc rId="127" sId="30">
    <nc r="G10" t="inlineStr">
      <is>
        <t>RC $100</t>
      </is>
    </nc>
  </rcc>
  <rcc rId="128" sId="30">
    <nc r="H10" t="inlineStr">
      <is>
        <t>SAI</t>
      </is>
    </nc>
  </rcc>
  <rcc rId="129" sId="30" odxf="1" dxf="1">
    <nc r="J10" t="inlineStr">
      <is>
        <t>NO POST</t>
      </is>
    </nc>
    <ndxf>
      <font>
        <b/>
        <sz val="12"/>
        <color auto="1"/>
      </font>
      <alignment horizontal="general" vertical="bottom" readingOrder="0"/>
    </ndxf>
  </rcc>
  <rcc rId="130" sId="30">
    <nc r="H13" t="inlineStr">
      <is>
        <t>SAI</t>
      </is>
    </nc>
  </rcc>
  <rcc rId="131" sId="30" odxf="1" dxf="1">
    <nc r="J13" t="inlineStr">
      <is>
        <t>NO POST</t>
      </is>
    </nc>
    <odxf>
      <font>
        <b val="0"/>
        <sz val="14"/>
        <color auto="1"/>
      </font>
      <alignment horizontal="center" vertical="top" readingOrder="0"/>
    </odxf>
    <ndxf>
      <font>
        <b/>
        <sz val="12"/>
        <color auto="1"/>
      </font>
      <alignment horizontal="general" vertical="bottom" readingOrder="0"/>
    </ndxf>
  </rcc>
  <rcc rId="132" sId="30">
    <nc r="H19" t="inlineStr">
      <is>
        <t>ALLOCATION</t>
      </is>
    </nc>
  </rcc>
  <rcc rId="133" sId="30" odxf="1" dxf="1">
    <nc r="H17" t="inlineStr">
      <is>
        <t>ITA(NP)</t>
      </is>
    </nc>
    <odxf>
      <fill>
        <patternFill>
          <bgColor theme="0"/>
        </patternFill>
      </fill>
    </odxf>
    <ndxf>
      <fill>
        <patternFill>
          <bgColor rgb="FFFF66CC"/>
        </patternFill>
      </fill>
    </ndxf>
  </rcc>
  <rcc rId="134" sId="30" odxf="1" dxf="1">
    <nc r="J17" t="inlineStr">
      <is>
        <t>NO POST</t>
      </is>
    </nc>
    <odxf>
      <font>
        <b val="0"/>
        <sz val="14"/>
        <color auto="1"/>
      </font>
      <alignment horizontal="center" vertical="top" readingOrder="0"/>
    </odxf>
    <ndxf>
      <font>
        <b/>
        <sz val="12"/>
        <color auto="1"/>
      </font>
      <alignment horizontal="general" vertical="bottom" readingOrder="0"/>
    </ndxf>
  </rcc>
  <rcv guid="{744BB052-D863-41D2-951C-2AB325855A97}" action="delete"/>
  <rdn rId="0" localSheetId="1" customView="1" name="Z_744BB052_D863_41D2_951C_2AB325855A97_.wvu.PrintArea" hidden="1" oldHidden="1">
    <formula>'1'!$A$1:$L$39</formula>
    <oldFormula>'1'!$A$1:$L$39</oldFormula>
  </rdn>
  <rdn rId="0" localSheetId="2" customView="1" name="Z_744BB052_D863_41D2_951C_2AB325855A97_.wvu.PrintArea" hidden="1" oldHidden="1">
    <formula>'2'!$A$1:$L$38</formula>
    <oldFormula>'2'!$A$1:$L$38</oldFormula>
  </rdn>
  <rdn rId="0" localSheetId="3" customView="1" name="Z_744BB052_D863_41D2_951C_2AB325855A97_.wvu.PrintArea" hidden="1" oldHidden="1">
    <formula>'3'!$A$1:$L$32</formula>
    <oldFormula>'3'!$A$1:$L$32</oldFormula>
  </rdn>
  <rdn rId="0" localSheetId="4" customView="1" name="Z_744BB052_D863_41D2_951C_2AB325855A97_.wvu.PrintArea" hidden="1" oldHidden="1">
    <formula>'4'!$A$1:$L$40</formula>
    <oldFormula>'4'!$A$1:$L$40</oldFormula>
  </rdn>
  <rdn rId="0" localSheetId="5" customView="1" name="Z_744BB052_D863_41D2_951C_2AB325855A97_.wvu.PrintArea" hidden="1" oldHidden="1">
    <formula>'5'!$A$1:$L$37</formula>
    <oldFormula>'5'!$A$1:$L$37</oldFormula>
  </rdn>
  <rdn rId="0" localSheetId="6" customView="1" name="Z_744BB052_D863_41D2_951C_2AB325855A97_.wvu.PrintArea" hidden="1" oldHidden="1">
    <formula>'6'!$A$1:$L$37</formula>
    <oldFormula>'6'!$A$1:$L$37</oldFormula>
  </rdn>
  <rdn rId="0" localSheetId="7" customView="1" name="Z_744BB052_D863_41D2_951C_2AB325855A97_.wvu.PrintArea" hidden="1" oldHidden="1">
    <formula>'7'!$A$1:$L$39</formula>
    <oldFormula>'7'!$A$1:$L$39</oldFormula>
  </rdn>
  <rdn rId="0" localSheetId="8" customView="1" name="Z_744BB052_D863_41D2_951C_2AB325855A97_.wvu.PrintArea" hidden="1" oldHidden="1">
    <formula>'8'!$A$1:$L$32</formula>
    <oldFormula>'8'!$A$1:$L$32</oldFormula>
  </rdn>
  <rdn rId="0" localSheetId="9" customView="1" name="Z_744BB052_D863_41D2_951C_2AB325855A97_.wvu.PrintArea" hidden="1" oldHidden="1">
    <formula>'9'!$A$1:$L$46</formula>
    <oldFormula>'9'!$A$1:$L$46</oldFormula>
  </rdn>
  <rdn rId="0" localSheetId="9" customView="1" name="Z_744BB052_D863_41D2_951C_2AB325855A97_.wvu.FilterData" hidden="1" oldHidden="1">
    <formula>'9'!$A$6:$K$34</formula>
    <oldFormula>'9'!$A$6:$K$34</oldFormula>
  </rdn>
  <rdn rId="0" localSheetId="10" customView="1" name="Z_744BB052_D863_41D2_951C_2AB325855A97_.wvu.PrintArea" hidden="1" oldHidden="1">
    <formula>'10'!$A$1:$L$42</formula>
    <oldFormula>'10'!$A$1:$L$42</oldFormula>
  </rdn>
  <rdn rId="0" localSheetId="10" customView="1" name="Z_744BB052_D863_41D2_951C_2AB325855A97_.wvu.FilterData" hidden="1" oldHidden="1">
    <formula>'10'!$A$6:$K$28</formula>
    <oldFormula>'10'!$A$6:$K$28</oldFormula>
  </rdn>
  <rdn rId="0" localSheetId="11" customView="1" name="Z_744BB052_D863_41D2_951C_2AB325855A97_.wvu.PrintArea" hidden="1" oldHidden="1">
    <formula>'11'!$A$1:$J$40</formula>
    <oldFormula>'11'!$A$1:$J$40</oldFormula>
  </rdn>
  <rdn rId="0" localSheetId="12" customView="1" name="Z_744BB052_D863_41D2_951C_2AB325855A97_.wvu.PrintArea" hidden="1" oldHidden="1">
    <formula>'12'!$A$1:$L$36</formula>
    <oldFormula>'12'!$A$1:$L$36</oldFormula>
  </rdn>
  <rdn rId="0" localSheetId="13" customView="1" name="Z_744BB052_D863_41D2_951C_2AB325855A97_.wvu.PrintArea" hidden="1" oldHidden="1">
    <formula>'13'!$A$1:$L$38</formula>
    <oldFormula>'13'!$A$1:$L$38</oldFormula>
  </rdn>
  <rdn rId="0" localSheetId="14" customView="1" name="Z_744BB052_D863_41D2_951C_2AB325855A97_.wvu.PrintArea" hidden="1" oldHidden="1">
    <formula>'14'!$A$1:$J$38</formula>
    <oldFormula>'14'!$A$1:$J$38</oldFormula>
  </rdn>
  <rdn rId="0" localSheetId="15" customView="1" name="Z_744BB052_D863_41D2_951C_2AB325855A97_.wvu.PrintArea" hidden="1" oldHidden="1">
    <formula>'15'!$A$1:$L$38</formula>
    <oldFormula>'15'!$A$1:$L$38</oldFormula>
  </rdn>
  <rdn rId="0" localSheetId="16" customView="1" name="Z_744BB052_D863_41D2_951C_2AB325855A97_.wvu.PrintArea" hidden="1" oldHidden="1">
    <formula>'16'!$A$1:$L$33</formula>
    <oldFormula>'16'!$A$1:$L$33</oldFormula>
  </rdn>
  <rdn rId="0" localSheetId="17" customView="1" name="Z_744BB052_D863_41D2_951C_2AB325855A97_.wvu.PrintArea" hidden="1" oldHidden="1">
    <formula>'17'!$A$1:$L$35</formula>
    <oldFormula>'17'!$A$1:$L$35</oldFormula>
  </rdn>
  <rdn rId="0" localSheetId="18" customView="1" name="Z_744BB052_D863_41D2_951C_2AB325855A97_.wvu.PrintArea" hidden="1" oldHidden="1">
    <formula>'18'!$A$1:$L$38</formula>
    <oldFormula>'18'!$A$1:$L$38</oldFormula>
  </rdn>
  <rdn rId="0" localSheetId="19" customView="1" name="Z_744BB052_D863_41D2_951C_2AB325855A97_.wvu.PrintArea" hidden="1" oldHidden="1">
    <formula>'19'!$A$1:$L$38</formula>
    <oldFormula>'19'!$A$1:$L$38</oldFormula>
  </rdn>
  <rdn rId="0" localSheetId="20" customView="1" name="Z_744BB052_D863_41D2_951C_2AB325855A97_.wvu.PrintArea" hidden="1" oldHidden="1">
    <formula>'20'!$A$1:$J$31</formula>
    <oldFormula>'20'!$A$1:$J$31</oldFormula>
  </rdn>
  <rdn rId="0" localSheetId="21" customView="1" name="Z_744BB052_D863_41D2_951C_2AB325855A97_.wvu.PrintArea" hidden="1" oldHidden="1">
    <formula>'21'!$A$1:$L$33</formula>
    <oldFormula>'21'!$A$1:$L$33</oldFormula>
  </rdn>
  <rdn rId="0" localSheetId="22" customView="1" name="Z_744BB052_D863_41D2_951C_2AB325855A97_.wvu.PrintArea" hidden="1" oldHidden="1">
    <formula>'22'!$A$1:$L$40</formula>
    <oldFormula>'22'!$A$1:$L$40</oldFormula>
  </rdn>
  <rdn rId="0" localSheetId="23" customView="1" name="Z_744BB052_D863_41D2_951C_2AB325855A97_.wvu.PrintArea" hidden="1" oldHidden="1">
    <formula>'23'!$A$1:$J$41</formula>
    <oldFormula>'23'!$A$1:$J$41</oldFormula>
  </rdn>
  <rdn rId="0" localSheetId="24" customView="1" name="Z_744BB052_D863_41D2_951C_2AB325855A97_.wvu.PrintArea" hidden="1" oldHidden="1">
    <formula>'24'!$A$1:$J$38</formula>
    <oldFormula>'24'!$A$1:$J$38</oldFormula>
  </rdn>
  <rdn rId="0" localSheetId="25" customView="1" name="Z_744BB052_D863_41D2_951C_2AB325855A97_.wvu.PrintArea" hidden="1" oldHidden="1">
    <formula>'25'!$A$1:$L$34</formula>
    <oldFormula>'25'!$A$1:$L$34</oldFormula>
  </rdn>
  <rdn rId="0" localSheetId="26" customView="1" name="Z_744BB052_D863_41D2_951C_2AB325855A97_.wvu.PrintArea" hidden="1" oldHidden="1">
    <formula>'26'!$A$1:$L$33</formula>
    <oldFormula>'26'!$A$1:$L$33</oldFormula>
  </rdn>
  <rdn rId="0" localSheetId="27" customView="1" name="Z_744BB052_D863_41D2_951C_2AB325855A97_.wvu.PrintArea" hidden="1" oldHidden="1">
    <formula>'27'!$A$1:$K$31</formula>
    <oldFormula>'27'!$A$1:$K$31</oldFormula>
  </rdn>
  <rdn rId="0" localSheetId="28" customView="1" name="Z_744BB052_D863_41D2_951C_2AB325855A97_.wvu.PrintArea" hidden="1" oldHidden="1">
    <formula>'28'!$A$1:$K$32</formula>
    <oldFormula>'28'!$A$1:$K$32</oldFormula>
  </rdn>
  <rdn rId="0" localSheetId="29" customView="1" name="Z_744BB052_D863_41D2_951C_2AB325855A97_.wvu.PrintArea" hidden="1" oldHidden="1">
    <formula>'29'!$A$1:$J$38</formula>
    <oldFormula>'29'!$A$1:$J$38</oldFormula>
  </rdn>
  <rdn rId="0" localSheetId="30" customView="1" name="Z_744BB052_D863_41D2_951C_2AB325855A97_.wvu.PrintArea" hidden="1" oldHidden="1">
    <formula>'30'!$A$1:$J$40</formula>
    <oldFormula>'30'!$A$1:$J$40</oldFormula>
  </rdn>
  <rcv guid="{744BB052-D863-41D2-951C-2AB325855A97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0" sqref="B20:B21 B25 H23 H22 H19">
    <dxf>
      <fill>
        <patternFill>
          <bgColor rgb="FF92D050"/>
        </patternFill>
      </fill>
    </dxf>
  </rfmt>
  <rfmt sheetId="30" sqref="B22:B23 H10 H13">
    <dxf>
      <fill>
        <patternFill>
          <bgColor rgb="FFFFFF00"/>
        </patternFill>
      </fill>
    </dxf>
  </rfmt>
  <rfmt sheetId="30" sqref="B21">
    <dxf>
      <fill>
        <patternFill patternType="solid">
          <bgColor rgb="FFFFC000"/>
        </patternFill>
      </fill>
    </dxf>
  </rfmt>
  <rfmt sheetId="30" sqref="B17">
    <dxf>
      <fill>
        <patternFill>
          <bgColor rgb="FFFF66CC"/>
        </patternFill>
      </fill>
    </dxf>
  </rfmt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44BB052-D863-41D2-951C-2AB325855A97}" action="delete"/>
  <rdn rId="0" localSheetId="1" customView="1" name="Z_744BB052_D863_41D2_951C_2AB325855A97_.wvu.PrintArea" hidden="1" oldHidden="1">
    <formula>'1'!$A$1:$L$39</formula>
    <oldFormula>'1'!$A$1:$L$39</oldFormula>
  </rdn>
  <rdn rId="0" localSheetId="2" customView="1" name="Z_744BB052_D863_41D2_951C_2AB325855A97_.wvu.PrintArea" hidden="1" oldHidden="1">
    <formula>'2'!$A$1:$L$38</formula>
    <oldFormula>'2'!$A$1:$L$38</oldFormula>
  </rdn>
  <rdn rId="0" localSheetId="3" customView="1" name="Z_744BB052_D863_41D2_951C_2AB325855A97_.wvu.PrintArea" hidden="1" oldHidden="1">
    <formula>'3'!$A$1:$L$32</formula>
    <oldFormula>'3'!$A$1:$L$32</oldFormula>
  </rdn>
  <rdn rId="0" localSheetId="4" customView="1" name="Z_744BB052_D863_41D2_951C_2AB325855A97_.wvu.PrintArea" hidden="1" oldHidden="1">
    <formula>'4'!$A$1:$L$40</formula>
    <oldFormula>'4'!$A$1:$L$40</oldFormula>
  </rdn>
  <rdn rId="0" localSheetId="5" customView="1" name="Z_744BB052_D863_41D2_951C_2AB325855A97_.wvu.PrintArea" hidden="1" oldHidden="1">
    <formula>'5'!$A$1:$L$37</formula>
    <oldFormula>'5'!$A$1:$L$37</oldFormula>
  </rdn>
  <rdn rId="0" localSheetId="6" customView="1" name="Z_744BB052_D863_41D2_951C_2AB325855A97_.wvu.PrintArea" hidden="1" oldHidden="1">
    <formula>'6'!$A$1:$L$37</formula>
    <oldFormula>'6'!$A$1:$L$37</oldFormula>
  </rdn>
  <rdn rId="0" localSheetId="7" customView="1" name="Z_744BB052_D863_41D2_951C_2AB325855A97_.wvu.PrintArea" hidden="1" oldHidden="1">
    <formula>'7'!$A$1:$L$39</formula>
    <oldFormula>'7'!$A$1:$L$39</oldFormula>
  </rdn>
  <rdn rId="0" localSheetId="8" customView="1" name="Z_744BB052_D863_41D2_951C_2AB325855A97_.wvu.PrintArea" hidden="1" oldHidden="1">
    <formula>'8'!$A$1:$L$32</formula>
    <oldFormula>'8'!$A$1:$L$32</oldFormula>
  </rdn>
  <rdn rId="0" localSheetId="9" customView="1" name="Z_744BB052_D863_41D2_951C_2AB325855A97_.wvu.PrintArea" hidden="1" oldHidden="1">
    <formula>'9'!$A$1:$L$46</formula>
    <oldFormula>'9'!$A$1:$L$46</oldFormula>
  </rdn>
  <rdn rId="0" localSheetId="9" customView="1" name="Z_744BB052_D863_41D2_951C_2AB325855A97_.wvu.FilterData" hidden="1" oldHidden="1">
    <formula>'9'!$A$6:$K$34</formula>
    <oldFormula>'9'!$A$6:$K$34</oldFormula>
  </rdn>
  <rdn rId="0" localSheetId="10" customView="1" name="Z_744BB052_D863_41D2_951C_2AB325855A97_.wvu.PrintArea" hidden="1" oldHidden="1">
    <formula>'10'!$A$1:$L$42</formula>
    <oldFormula>'10'!$A$1:$L$42</oldFormula>
  </rdn>
  <rdn rId="0" localSheetId="10" customView="1" name="Z_744BB052_D863_41D2_951C_2AB325855A97_.wvu.FilterData" hidden="1" oldHidden="1">
    <formula>'10'!$A$6:$K$28</formula>
    <oldFormula>'10'!$A$6:$K$28</oldFormula>
  </rdn>
  <rdn rId="0" localSheetId="11" customView="1" name="Z_744BB052_D863_41D2_951C_2AB325855A97_.wvu.PrintArea" hidden="1" oldHidden="1">
    <formula>'11'!$A$1:$J$40</formula>
    <oldFormula>'11'!$A$1:$J$40</oldFormula>
  </rdn>
  <rdn rId="0" localSheetId="12" customView="1" name="Z_744BB052_D863_41D2_951C_2AB325855A97_.wvu.PrintArea" hidden="1" oldHidden="1">
    <formula>'12'!$A$1:$L$36</formula>
    <oldFormula>'12'!$A$1:$L$36</oldFormula>
  </rdn>
  <rdn rId="0" localSheetId="13" customView="1" name="Z_744BB052_D863_41D2_951C_2AB325855A97_.wvu.PrintArea" hidden="1" oldHidden="1">
    <formula>'13'!$A$1:$L$38</formula>
    <oldFormula>'13'!$A$1:$L$38</oldFormula>
  </rdn>
  <rdn rId="0" localSheetId="14" customView="1" name="Z_744BB052_D863_41D2_951C_2AB325855A97_.wvu.PrintArea" hidden="1" oldHidden="1">
    <formula>'14'!$A$1:$J$38</formula>
    <oldFormula>'14'!$A$1:$J$38</oldFormula>
  </rdn>
  <rdn rId="0" localSheetId="15" customView="1" name="Z_744BB052_D863_41D2_951C_2AB325855A97_.wvu.PrintArea" hidden="1" oldHidden="1">
    <formula>'15'!$A$1:$L$38</formula>
    <oldFormula>'15'!$A$1:$L$38</oldFormula>
  </rdn>
  <rdn rId="0" localSheetId="16" customView="1" name="Z_744BB052_D863_41D2_951C_2AB325855A97_.wvu.PrintArea" hidden="1" oldHidden="1">
    <formula>'16'!$A$1:$L$33</formula>
    <oldFormula>'16'!$A$1:$L$33</oldFormula>
  </rdn>
  <rdn rId="0" localSheetId="17" customView="1" name="Z_744BB052_D863_41D2_951C_2AB325855A97_.wvu.PrintArea" hidden="1" oldHidden="1">
    <formula>'17'!$A$1:$L$35</formula>
    <oldFormula>'17'!$A$1:$L$35</oldFormula>
  </rdn>
  <rdn rId="0" localSheetId="18" customView="1" name="Z_744BB052_D863_41D2_951C_2AB325855A97_.wvu.PrintArea" hidden="1" oldHidden="1">
    <formula>'18'!$A$1:$L$38</formula>
    <oldFormula>'18'!$A$1:$L$38</oldFormula>
  </rdn>
  <rdn rId="0" localSheetId="19" customView="1" name="Z_744BB052_D863_41D2_951C_2AB325855A97_.wvu.PrintArea" hidden="1" oldHidden="1">
    <formula>'19'!$A$1:$L$38</formula>
    <oldFormula>'19'!$A$1:$L$38</oldFormula>
  </rdn>
  <rdn rId="0" localSheetId="20" customView="1" name="Z_744BB052_D863_41D2_951C_2AB325855A97_.wvu.PrintArea" hidden="1" oldHidden="1">
    <formula>'20'!$A$1:$J$31</formula>
    <oldFormula>'20'!$A$1:$J$31</oldFormula>
  </rdn>
  <rdn rId="0" localSheetId="21" customView="1" name="Z_744BB052_D863_41D2_951C_2AB325855A97_.wvu.PrintArea" hidden="1" oldHidden="1">
    <formula>'21'!$A$1:$L$33</formula>
    <oldFormula>'21'!$A$1:$L$33</oldFormula>
  </rdn>
  <rdn rId="0" localSheetId="22" customView="1" name="Z_744BB052_D863_41D2_951C_2AB325855A97_.wvu.PrintArea" hidden="1" oldHidden="1">
    <formula>'22'!$A$1:$L$40</formula>
    <oldFormula>'22'!$A$1:$L$40</oldFormula>
  </rdn>
  <rdn rId="0" localSheetId="23" customView="1" name="Z_744BB052_D863_41D2_951C_2AB325855A97_.wvu.PrintArea" hidden="1" oldHidden="1">
    <formula>'23'!$A$1:$J$41</formula>
    <oldFormula>'23'!$A$1:$J$41</oldFormula>
  </rdn>
  <rdn rId="0" localSheetId="24" customView="1" name="Z_744BB052_D863_41D2_951C_2AB325855A97_.wvu.PrintArea" hidden="1" oldHidden="1">
    <formula>'24'!$A$1:$J$38</formula>
    <oldFormula>'24'!$A$1:$J$38</oldFormula>
  </rdn>
  <rdn rId="0" localSheetId="25" customView="1" name="Z_744BB052_D863_41D2_951C_2AB325855A97_.wvu.PrintArea" hidden="1" oldHidden="1">
    <formula>'25'!$A$1:$L$34</formula>
    <oldFormula>'25'!$A$1:$L$34</oldFormula>
  </rdn>
  <rdn rId="0" localSheetId="26" customView="1" name="Z_744BB052_D863_41D2_951C_2AB325855A97_.wvu.PrintArea" hidden="1" oldHidden="1">
    <formula>'26'!$A$1:$L$33</formula>
    <oldFormula>'26'!$A$1:$L$33</oldFormula>
  </rdn>
  <rdn rId="0" localSheetId="27" customView="1" name="Z_744BB052_D863_41D2_951C_2AB325855A97_.wvu.PrintArea" hidden="1" oldHidden="1">
    <formula>'27'!$A$1:$K$31</formula>
    <oldFormula>'27'!$A$1:$K$31</oldFormula>
  </rdn>
  <rdn rId="0" localSheetId="28" customView="1" name="Z_744BB052_D863_41D2_951C_2AB325855A97_.wvu.PrintArea" hidden="1" oldHidden="1">
    <formula>'28'!$A$1:$K$32</formula>
    <oldFormula>'28'!$A$1:$K$32</oldFormula>
  </rdn>
  <rdn rId="0" localSheetId="29" customView="1" name="Z_744BB052_D863_41D2_951C_2AB325855A97_.wvu.PrintArea" hidden="1" oldHidden="1">
    <formula>'29'!$A$1:$J$38</formula>
    <oldFormula>'29'!$A$1:$J$38</oldFormula>
  </rdn>
  <rdn rId="0" localSheetId="30" customView="1" name="Z_744BB052_D863_41D2_951C_2AB325855A97_.wvu.PrintArea" hidden="1" oldHidden="1">
    <formula>'30'!$A$1:$J$40</formula>
    <oldFormula>'30'!$A$1:$J$40</oldFormula>
  </rdn>
  <rcv guid="{744BB052-D863-41D2-951C-2AB325855A97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99" sId="30" ref="B1:B1048576" action="insertCol"/>
  <rrc rId="200" sId="30" ref="B1:B1048576" action="insertCol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0" sqref="A29" start="0" length="0">
    <dxf>
      <border>
        <left style="thin">
          <color indexed="64"/>
        </left>
      </border>
    </dxf>
  </rfmt>
  <rfmt sheetId="30" sqref="K29" start="0" length="0">
    <dxf>
      <border>
        <right style="thin">
          <color indexed="64"/>
        </right>
      </border>
    </dxf>
  </rfmt>
  <rfmt sheetId="30" sqref="A29:K29" start="0" length="0">
    <dxf>
      <border>
        <bottom style="thin">
          <color indexed="64"/>
        </bottom>
      </border>
    </dxf>
  </rfmt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" sId="30">
    <nc r="D27">
      <v>868</v>
    </nc>
  </rcc>
  <rcc rId="202" sId="30">
    <nc r="G27">
      <v>2</v>
    </nc>
  </rcc>
  <rcc rId="203" sId="30">
    <nc r="H27">
      <v>2</v>
    </nc>
  </rcc>
  <rcc rId="204" sId="30">
    <nc r="K27" t="inlineStr">
      <is>
        <t>Faiha/Win</t>
      </is>
    </nc>
  </rcc>
  <rcc rId="205" sId="30">
    <nc r="J27" t="inlineStr">
      <is>
        <t>ALLOCATION 2 PERSON</t>
      </is>
    </nc>
  </rcc>
  <rfmt sheetId="30" sqref="J27 D27">
    <dxf>
      <fill>
        <patternFill>
          <bgColor theme="1" tint="0.499984740745262"/>
        </patternFill>
      </fill>
    </dxf>
  </rfmt>
  <rcv guid="{744BB052-D863-41D2-951C-2AB325855A97}" action="delete"/>
  <rdn rId="0" localSheetId="1" customView="1" name="Z_744BB052_D863_41D2_951C_2AB325855A97_.wvu.PrintArea" hidden="1" oldHidden="1">
    <formula>'1'!$A$1:$L$39</formula>
    <oldFormula>'1'!$A$1:$L$39</oldFormula>
  </rdn>
  <rdn rId="0" localSheetId="2" customView="1" name="Z_744BB052_D863_41D2_951C_2AB325855A97_.wvu.PrintArea" hidden="1" oldHidden="1">
    <formula>'2'!$A$1:$L$38</formula>
    <oldFormula>'2'!$A$1:$L$38</oldFormula>
  </rdn>
  <rdn rId="0" localSheetId="3" customView="1" name="Z_744BB052_D863_41D2_951C_2AB325855A97_.wvu.PrintArea" hidden="1" oldHidden="1">
    <formula>'3'!$A$1:$L$32</formula>
    <oldFormula>'3'!$A$1:$L$32</oldFormula>
  </rdn>
  <rdn rId="0" localSheetId="4" customView="1" name="Z_744BB052_D863_41D2_951C_2AB325855A97_.wvu.PrintArea" hidden="1" oldHidden="1">
    <formula>'4'!$A$1:$L$40</formula>
    <oldFormula>'4'!$A$1:$L$40</oldFormula>
  </rdn>
  <rdn rId="0" localSheetId="5" customView="1" name="Z_744BB052_D863_41D2_951C_2AB325855A97_.wvu.PrintArea" hidden="1" oldHidden="1">
    <formula>'5'!$A$1:$L$37</formula>
    <oldFormula>'5'!$A$1:$L$37</oldFormula>
  </rdn>
  <rdn rId="0" localSheetId="6" customView="1" name="Z_744BB052_D863_41D2_951C_2AB325855A97_.wvu.PrintArea" hidden="1" oldHidden="1">
    <formula>'6'!$A$1:$L$37</formula>
    <oldFormula>'6'!$A$1:$L$37</oldFormula>
  </rdn>
  <rdn rId="0" localSheetId="7" customView="1" name="Z_744BB052_D863_41D2_951C_2AB325855A97_.wvu.PrintArea" hidden="1" oldHidden="1">
    <formula>'7'!$A$1:$L$39</formula>
    <oldFormula>'7'!$A$1:$L$39</oldFormula>
  </rdn>
  <rdn rId="0" localSheetId="8" customView="1" name="Z_744BB052_D863_41D2_951C_2AB325855A97_.wvu.PrintArea" hidden="1" oldHidden="1">
    <formula>'8'!$A$1:$L$32</formula>
    <oldFormula>'8'!$A$1:$L$32</oldFormula>
  </rdn>
  <rdn rId="0" localSheetId="9" customView="1" name="Z_744BB052_D863_41D2_951C_2AB325855A97_.wvu.PrintArea" hidden="1" oldHidden="1">
    <formula>'9'!$A$1:$L$46</formula>
    <oldFormula>'9'!$A$1:$L$46</oldFormula>
  </rdn>
  <rdn rId="0" localSheetId="9" customView="1" name="Z_744BB052_D863_41D2_951C_2AB325855A97_.wvu.FilterData" hidden="1" oldHidden="1">
    <formula>'9'!$A$6:$K$34</formula>
    <oldFormula>'9'!$A$6:$K$34</oldFormula>
  </rdn>
  <rdn rId="0" localSheetId="10" customView="1" name="Z_744BB052_D863_41D2_951C_2AB325855A97_.wvu.PrintArea" hidden="1" oldHidden="1">
    <formula>'10'!$A$1:$L$42</formula>
    <oldFormula>'10'!$A$1:$L$42</oldFormula>
  </rdn>
  <rdn rId="0" localSheetId="10" customView="1" name="Z_744BB052_D863_41D2_951C_2AB325855A97_.wvu.FilterData" hidden="1" oldHidden="1">
    <formula>'10'!$A$6:$K$28</formula>
    <oldFormula>'10'!$A$6:$K$28</oldFormula>
  </rdn>
  <rdn rId="0" localSheetId="11" customView="1" name="Z_744BB052_D863_41D2_951C_2AB325855A97_.wvu.PrintArea" hidden="1" oldHidden="1">
    <formula>'11'!$A$1:$J$40</formula>
    <oldFormula>'11'!$A$1:$J$40</oldFormula>
  </rdn>
  <rdn rId="0" localSheetId="12" customView="1" name="Z_744BB052_D863_41D2_951C_2AB325855A97_.wvu.PrintArea" hidden="1" oldHidden="1">
    <formula>'12'!$A$1:$L$36</formula>
    <oldFormula>'12'!$A$1:$L$36</oldFormula>
  </rdn>
  <rdn rId="0" localSheetId="13" customView="1" name="Z_744BB052_D863_41D2_951C_2AB325855A97_.wvu.PrintArea" hidden="1" oldHidden="1">
    <formula>'13'!$A$1:$L$38</formula>
    <oldFormula>'13'!$A$1:$L$38</oldFormula>
  </rdn>
  <rdn rId="0" localSheetId="14" customView="1" name="Z_744BB052_D863_41D2_951C_2AB325855A97_.wvu.PrintArea" hidden="1" oldHidden="1">
    <formula>'14'!$A$1:$J$38</formula>
    <oldFormula>'14'!$A$1:$J$38</oldFormula>
  </rdn>
  <rdn rId="0" localSheetId="15" customView="1" name="Z_744BB052_D863_41D2_951C_2AB325855A97_.wvu.PrintArea" hidden="1" oldHidden="1">
    <formula>'15'!$A$1:$L$38</formula>
    <oldFormula>'15'!$A$1:$L$38</oldFormula>
  </rdn>
  <rdn rId="0" localSheetId="16" customView="1" name="Z_744BB052_D863_41D2_951C_2AB325855A97_.wvu.PrintArea" hidden="1" oldHidden="1">
    <formula>'16'!$A$1:$L$33</formula>
    <oldFormula>'16'!$A$1:$L$33</oldFormula>
  </rdn>
  <rdn rId="0" localSheetId="17" customView="1" name="Z_744BB052_D863_41D2_951C_2AB325855A97_.wvu.PrintArea" hidden="1" oldHidden="1">
    <formula>'17'!$A$1:$L$35</formula>
    <oldFormula>'17'!$A$1:$L$35</oldFormula>
  </rdn>
  <rdn rId="0" localSheetId="18" customView="1" name="Z_744BB052_D863_41D2_951C_2AB325855A97_.wvu.PrintArea" hidden="1" oldHidden="1">
    <formula>'18'!$A$1:$L$38</formula>
    <oldFormula>'18'!$A$1:$L$38</oldFormula>
  </rdn>
  <rdn rId="0" localSheetId="19" customView="1" name="Z_744BB052_D863_41D2_951C_2AB325855A97_.wvu.PrintArea" hidden="1" oldHidden="1">
    <formula>'19'!$A$1:$L$38</formula>
    <oldFormula>'19'!$A$1:$L$38</oldFormula>
  </rdn>
  <rdn rId="0" localSheetId="20" customView="1" name="Z_744BB052_D863_41D2_951C_2AB325855A97_.wvu.PrintArea" hidden="1" oldHidden="1">
    <formula>'20'!$A$1:$J$31</formula>
    <oldFormula>'20'!$A$1:$J$31</oldFormula>
  </rdn>
  <rdn rId="0" localSheetId="21" customView="1" name="Z_744BB052_D863_41D2_951C_2AB325855A97_.wvu.PrintArea" hidden="1" oldHidden="1">
    <formula>'21'!$A$1:$L$33</formula>
    <oldFormula>'21'!$A$1:$L$33</oldFormula>
  </rdn>
  <rdn rId="0" localSheetId="22" customView="1" name="Z_744BB052_D863_41D2_951C_2AB325855A97_.wvu.PrintArea" hidden="1" oldHidden="1">
    <formula>'22'!$A$1:$L$40</formula>
    <oldFormula>'22'!$A$1:$L$40</oldFormula>
  </rdn>
  <rdn rId="0" localSheetId="23" customView="1" name="Z_744BB052_D863_41D2_951C_2AB325855A97_.wvu.PrintArea" hidden="1" oldHidden="1">
    <formula>'23'!$A$1:$J$41</formula>
    <oldFormula>'23'!$A$1:$J$41</oldFormula>
  </rdn>
  <rdn rId="0" localSheetId="24" customView="1" name="Z_744BB052_D863_41D2_951C_2AB325855A97_.wvu.PrintArea" hidden="1" oldHidden="1">
    <formula>'24'!$A$1:$J$38</formula>
    <oldFormula>'24'!$A$1:$J$38</oldFormula>
  </rdn>
  <rdn rId="0" localSheetId="25" customView="1" name="Z_744BB052_D863_41D2_951C_2AB325855A97_.wvu.PrintArea" hidden="1" oldHidden="1">
    <formula>'25'!$A$1:$L$34</formula>
    <oldFormula>'25'!$A$1:$L$34</oldFormula>
  </rdn>
  <rdn rId="0" localSheetId="26" customView="1" name="Z_744BB052_D863_41D2_951C_2AB325855A97_.wvu.PrintArea" hidden="1" oldHidden="1">
    <formula>'26'!$A$1:$L$33</formula>
    <oldFormula>'26'!$A$1:$L$33</oldFormula>
  </rdn>
  <rdn rId="0" localSheetId="27" customView="1" name="Z_744BB052_D863_41D2_951C_2AB325855A97_.wvu.PrintArea" hidden="1" oldHidden="1">
    <formula>'27'!$A$1:$K$31</formula>
    <oldFormula>'27'!$A$1:$K$31</oldFormula>
  </rdn>
  <rdn rId="0" localSheetId="28" customView="1" name="Z_744BB052_D863_41D2_951C_2AB325855A97_.wvu.PrintArea" hidden="1" oldHidden="1">
    <formula>'28'!$A$1:$K$32</formula>
    <oldFormula>'28'!$A$1:$K$32</oldFormula>
  </rdn>
  <rdn rId="0" localSheetId="29" customView="1" name="Z_744BB052_D863_41D2_951C_2AB325855A97_.wvu.PrintArea" hidden="1" oldHidden="1">
    <formula>'29'!$A$1:$J$38</formula>
    <oldFormula>'29'!$A$1:$J$38</oldFormula>
  </rdn>
  <rdn rId="0" localSheetId="30" customView="1" name="Z_744BB052_D863_41D2_951C_2AB325855A97_.wvu.PrintArea" hidden="1" oldHidden="1">
    <formula>'30'!$A$1:$L$40</formula>
    <oldFormula>'30'!$A$1:$L$40</oldFormula>
  </rdn>
  <rcv guid="{744BB052-D863-41D2-951C-2AB325855A97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" sId="30">
    <nc r="E27" t="inlineStr">
      <is>
        <t>Mengmeng Wang</t>
      </is>
    </nc>
  </rcc>
  <rcc rId="239" sId="30" numFmtId="19">
    <nc r="F27">
      <v>46114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0" sqref="J27">
    <dxf>
      <alignment horizontal="center" readingOrder="0"/>
    </dxf>
  </rfmt>
  <rcc rId="240" sId="30">
    <oc r="L27">
      <f>IF(OR(NOT(ISERROR(MATCH(RIGHT(D27,3)+0,#REF!,0))),NOT(ISERROR(MATCH(LEFT(D27,3)+0,#REF!,0)))),"No Post","")</f>
    </oc>
    <nc r="L27" t="inlineStr">
      <is>
        <t>NO POST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0" sqref="E27">
    <dxf>
      <alignment horizontal="center" readingOrder="0"/>
    </dxf>
  </rfmt>
  <rrc rId="241" sId="30" ref="A14:XFD14" action="deleteRow">
    <rfmt sheetId="30" xfDxf="1" sqref="A14:XFD14" start="0" length="0">
      <dxf>
        <font>
          <sz val="14"/>
        </font>
        <alignment horizontal="center" readingOrder="0"/>
      </dxf>
    </rfmt>
    <rfmt sheetId="30" sqref="A14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30" sqref="B14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30" sqref="C14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30" sqref="D14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alignment vertical="center" readingOrder="0"/>
        <border outline="0">
          <top style="thin">
            <color indexed="64"/>
          </top>
          <bottom style="thin">
            <color indexed="64"/>
          </bottom>
        </border>
      </dxf>
    </rfmt>
    <rcc rId="0" sId="30" dxf="1">
      <nc r="E14" t="inlineStr">
        <is>
          <t>SHADHA</t>
        </is>
      </nc>
      <ndxf>
        <font>
          <b/>
          <sz val="14"/>
          <color theme="0"/>
        </font>
        <fill>
          <patternFill patternType="solid">
            <bgColor rgb="FFC00000"/>
          </patternFill>
        </fill>
        <alignment vertical="center" readingOrder="0"/>
        <border outline="0">
          <top style="thin">
            <color indexed="64"/>
          </top>
          <bottom style="thin">
            <color indexed="64"/>
          </bottom>
        </border>
      </ndxf>
    </rcc>
    <rcc rId="0" sId="30" dxf="1">
      <nc r="F14" t="inlineStr">
        <is>
          <t>BOAT 2</t>
        </is>
      </nc>
      <ndxf>
        <font>
          <b/>
          <sz val="14"/>
          <color theme="0"/>
        </font>
        <numFmt numFmtId="19" formatCode="dd/mm/yyyy"/>
        <fill>
          <patternFill patternType="solid">
            <bgColor rgb="FFC00000"/>
          </patternFill>
        </fill>
        <alignment vertical="center" readingOrder="0"/>
        <border outline="0">
          <top style="thin">
            <color indexed="64"/>
          </top>
          <bottom style="thin">
            <color indexed="64"/>
          </bottom>
        </border>
      </ndxf>
    </rcc>
    <rfmt sheetId="30" sqref="G14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alignment vertical="center" readingOrder="0"/>
        <border outline="0">
          <top style="thin">
            <color indexed="64"/>
          </top>
          <bottom style="thin">
            <color indexed="64"/>
          </bottom>
        </border>
      </dxf>
    </rfmt>
    <rfmt sheetId="30" sqref="H14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alignment vertical="center" readingOrder="0"/>
        <border outline="0">
          <top style="thin">
            <color indexed="64"/>
          </top>
          <bottom style="thin">
            <color indexed="64"/>
          </bottom>
        </border>
      </dxf>
    </rfmt>
    <rfmt sheetId="30" sqref="I14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alignment vertical="center" readingOrder="0"/>
        <border outline="0">
          <top style="thin">
            <color indexed="64"/>
          </top>
          <bottom style="thin">
            <color indexed="64"/>
          </bottom>
        </border>
      </dxf>
    </rfmt>
    <rfmt sheetId="30" sqref="J14" start="0" length="0">
      <dxf>
        <font>
          <b/>
          <sz val="14"/>
          <color theme="0"/>
        </font>
        <numFmt numFmtId="3" formatCode="#,##0"/>
        <fill>
          <patternFill patternType="solid">
            <bgColor rgb="FFC00000"/>
          </patternFill>
        </fill>
        <alignment vertical="center" readingOrder="0"/>
        <border outline="0">
          <top style="thin">
            <color indexed="64"/>
          </top>
          <bottom style="thin">
            <color indexed="64"/>
          </bottom>
        </border>
      </dxf>
    </rfmt>
    <rfmt sheetId="30" sqref="K14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alignment vertical="center" readingOrder="0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L14" start="0" length="0">
      <dxf>
        <font>
          <b/>
          <sz val="12"/>
          <color auto="1"/>
        </font>
        <alignment horizontal="general" vertical="bottom" readingOrder="0"/>
      </dxf>
    </rfmt>
  </rrc>
  <rrc rId="242" sId="30" ref="A18:XFD18" action="insertRow"/>
  <rfmt sheetId="30" sqref="A18:K18" start="0" length="2147483647">
    <dxf>
      <font>
        <color rgb="FFC00000"/>
      </font>
    </dxf>
  </rfmt>
  <rfmt sheetId="30" sqref="A18:K18" start="0" length="2147483647">
    <dxf>
      <font>
        <color auto="1"/>
      </font>
    </dxf>
  </rfmt>
  <rfmt sheetId="30" sqref="A18:K18">
    <dxf>
      <fill>
        <patternFill>
          <bgColor rgb="FFC00000"/>
        </patternFill>
      </fill>
    </dxf>
  </rfmt>
  <rfmt sheetId="30" sqref="A18" start="0" length="0">
    <dxf>
      <border>
        <left/>
      </border>
    </dxf>
  </rfmt>
  <rfmt sheetId="30" sqref="A18:K18" start="0" length="0">
    <dxf>
      <border>
        <top/>
      </border>
    </dxf>
  </rfmt>
  <rfmt sheetId="30" sqref="K18" start="0" length="0">
    <dxf>
      <border>
        <right/>
      </border>
    </dxf>
  </rfmt>
  <rfmt sheetId="30" sqref="A18:K18" start="0" length="0">
    <dxf>
      <border>
        <bottom/>
      </border>
    </dxf>
  </rfmt>
  <rfmt sheetId="30" sqref="A18:K18">
    <dxf>
      <border>
        <left/>
        <right/>
        <vertical/>
      </border>
    </dxf>
  </rfmt>
  <rfmt sheetId="30" sqref="A18" start="0" length="0">
    <dxf>
      <border>
        <left style="thin">
          <color indexed="64"/>
        </left>
      </border>
    </dxf>
  </rfmt>
  <rfmt sheetId="30" sqref="A18:K18" start="0" length="0">
    <dxf>
      <border>
        <top style="thin">
          <color indexed="64"/>
        </top>
      </border>
    </dxf>
  </rfmt>
  <rfmt sheetId="30" sqref="K18" start="0" length="0">
    <dxf>
      <border>
        <right style="thin">
          <color indexed="64"/>
        </right>
      </border>
    </dxf>
  </rfmt>
  <rfmt sheetId="30" sqref="A18:K18" start="0" length="0">
    <dxf>
      <border>
        <bottom style="thin">
          <color indexed="64"/>
        </bottom>
      </border>
    </dxf>
  </rfmt>
  <rcc rId="243" sId="30">
    <oc r="E7" t="inlineStr">
      <is>
        <t>ASSEYRI</t>
      </is>
    </oc>
    <nc r="E7" t="inlineStr">
      <is>
        <t>BAAZ</t>
      </is>
    </nc>
  </rcc>
  <rcc rId="244" sId="30">
    <nc r="E18" t="inlineStr">
      <is>
        <t>SHADHA</t>
      </is>
    </nc>
  </rcc>
  <rcc rId="245" sId="30">
    <nc r="F18" t="inlineStr">
      <is>
        <t>BOAT 2</t>
      </is>
    </nc>
  </rcc>
  <rfmt sheetId="30" sqref="F18 E18" start="0" length="2147483647">
    <dxf>
      <font>
        <color theme="0"/>
      </font>
    </dxf>
  </rfmt>
  <rfmt sheetId="30" sqref="F18 E18" start="0" length="2147483647">
    <dxf>
      <font>
        <b/>
      </font>
    </dxf>
  </rfmt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6" sId="30" ref="A18:XFD18" action="insertRow"/>
  <rcc rId="247" sId="30">
    <nc r="D18">
      <v>629</v>
    </nc>
  </rcc>
  <rcc rId="248" sId="30">
    <nc r="D29">
      <v>630</v>
    </nc>
  </rcc>
  <rcc rId="249" sId="30">
    <nc r="G18">
      <v>2</v>
    </nc>
  </rcc>
  <rcc rId="250" sId="30">
    <nc r="G29">
      <v>2</v>
    </nc>
  </rcc>
  <rcc rId="251" sId="30">
    <nc r="K29" t="inlineStr">
      <is>
        <t>Faiha/Win</t>
      </is>
    </nc>
  </rcc>
  <rcc rId="252" sId="30" odxf="1" dxf="1">
    <nc r="K18" t="inlineStr">
      <is>
        <t>Faiha/Win</t>
      </is>
    </nc>
    <odxf>
      <alignment horizontal="center" readingOrder="0"/>
      <border outline="0">
        <left/>
        <bottom/>
      </border>
    </odxf>
    <ndxf>
      <alignment horizontal="left" readingOrder="0"/>
      <border outline="0">
        <left style="thin">
          <color indexed="64"/>
        </left>
        <bottom style="thin">
          <color indexed="64"/>
        </bottom>
      </border>
    </ndxf>
  </rcc>
  <rcc rId="253" sId="30" odxf="1" dxf="1">
    <nc r="A18">
      <v>11</v>
    </nc>
    <odxf>
      <border outline="0">
        <right/>
        <top style="thin">
          <color indexed="64"/>
        </top>
        <bottom/>
      </border>
    </odxf>
    <ndxf>
      <border outline="0">
        <right style="thin">
          <color indexed="64"/>
        </right>
        <top/>
        <bottom style="thin">
          <color indexed="64"/>
        </bottom>
      </border>
    </ndxf>
  </rcc>
  <rcc rId="254" sId="30" odxf="1" dxf="1">
    <oc r="A26">
      <v>11</v>
    </oc>
    <nc r="A26">
      <v>12</v>
    </nc>
    <odxf>
      <border outline="0">
        <top/>
      </border>
    </odxf>
    <ndxf>
      <border outline="0">
        <top style="thin">
          <color indexed="64"/>
        </top>
      </border>
    </ndxf>
  </rcc>
  <rcc rId="255" sId="30">
    <oc r="A24">
      <v>12</v>
    </oc>
    <nc r="A24">
      <v>13</v>
    </nc>
  </rcc>
  <rcc rId="256" sId="30">
    <oc r="A23">
      <v>13</v>
    </oc>
    <nc r="A23">
      <v>14</v>
    </nc>
  </rcc>
  <rcc rId="257" sId="30">
    <oc r="A10">
      <v>14</v>
    </oc>
    <nc r="A10">
      <v>15</v>
    </nc>
  </rcc>
  <rcc rId="258" sId="30">
    <oc r="A13">
      <v>15</v>
    </oc>
    <nc r="A13">
      <v>16</v>
    </nc>
  </rcc>
  <rcc rId="259" sId="30">
    <oc r="A22">
      <v>16</v>
    </oc>
    <nc r="A22">
      <v>17</v>
    </nc>
  </rcc>
  <rcc rId="260" sId="30">
    <oc r="A20">
      <v>17</v>
    </oc>
    <nc r="A20">
      <v>18</v>
    </nc>
  </rcc>
  <rcc rId="261" sId="30">
    <oc r="A16">
      <v>18</v>
    </oc>
    <nc r="A16">
      <v>19</v>
    </nc>
  </rcc>
  <rcc rId="262" sId="30">
    <oc r="A28">
      <v>19</v>
    </oc>
    <nc r="A28">
      <v>20</v>
    </nc>
  </rcc>
  <rcc rId="263" sId="30">
    <oc r="A29">
      <v>20</v>
    </oc>
    <nc r="A29">
      <v>21</v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0" sqref="A18:K18" start="0" length="0">
    <dxf>
      <border>
        <top style="thin">
          <color indexed="64"/>
        </top>
      </border>
    </dxf>
  </rfmt>
  <rfmt sheetId="30" sqref="A18:K18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  <rcc rId="264" sId="30">
    <nc r="E18" t="inlineStr">
      <is>
        <t>Le Zu</t>
      </is>
    </nc>
  </rcc>
  <rcc rId="265" sId="30" odxf="1" dxf="1">
    <nc r="J18" t="inlineStr">
      <is>
        <t>ALLOCATION</t>
      </is>
    </nc>
    <odxf>
      <font>
        <sz val="14"/>
        <color rgb="FF4F3629"/>
      </font>
      <fill>
        <patternFill>
          <bgColor rgb="FFFFFF00"/>
        </patternFill>
      </fill>
    </odxf>
    <ndxf>
      <font>
        <sz val="14"/>
        <color rgb="FF4F3629"/>
      </font>
      <fill>
        <patternFill>
          <bgColor rgb="FF92D050"/>
        </patternFill>
      </fill>
    </ndxf>
  </rcc>
  <rfmt sheetId="30" sqref="D18">
    <dxf>
      <fill>
        <patternFill>
          <bgColor rgb="FF92D050"/>
        </patternFill>
      </fill>
    </dxf>
  </rfmt>
  <rcc rId="266" sId="30">
    <nc r="E29" t="inlineStr">
      <is>
        <t>Lu Sun</t>
      </is>
    </nc>
  </rcc>
  <rcc rId="267" sId="30" numFmtId="19">
    <nc r="F29">
      <v>46143</v>
    </nc>
  </rcc>
  <rcc rId="268" sId="30" odxf="1" dxf="1">
    <nc r="J29" t="inlineStr">
      <is>
        <t>ALLOCATION</t>
      </is>
    </nc>
    <odxf>
      <fill>
        <patternFill>
          <bgColor theme="0"/>
        </patternFill>
      </fill>
      <alignment horizontal="left" readingOrder="0"/>
    </odxf>
    <ndxf>
      <fill>
        <patternFill>
          <bgColor rgb="FF92D050"/>
        </patternFill>
      </fill>
      <alignment horizontal="center" readingOrder="0"/>
    </ndxf>
  </rcc>
  <rfmt sheetId="30" sqref="D29">
    <dxf>
      <fill>
        <patternFill>
          <bgColor rgb="FF92D050"/>
        </patternFill>
      </fill>
    </dxf>
  </rfmt>
  <rcc rId="269" sId="30" numFmtId="19">
    <nc r="F18">
      <v>46143</v>
    </nc>
  </rcc>
  <rfmt sheetId="30" sqref="D18:J18 D29:J29">
    <dxf>
      <alignment vertical="bottom" readingOrder="0"/>
    </dxf>
  </rfmt>
  <rfmt sheetId="30" sqref="D18:J18 D29:J29">
    <dxf>
      <alignment horizontal="general" readingOrder="0"/>
    </dxf>
  </rfmt>
  <rfmt sheetId="30" sqref="D18:J18 D29:J29">
    <dxf>
      <alignment vertical="center" readingOrder="0"/>
    </dxf>
  </rfmt>
  <rfmt sheetId="30" sqref="D18:J18 D29:J29">
    <dxf>
      <alignment horizontal="center" readingOrder="0"/>
    </dxf>
  </rfmt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0" sId="30" ref="A30:XFD30" action="insertRow"/>
  <rfmt sheetId="30" sqref="B30" start="0" length="0">
    <dxf>
      <border outline="0">
        <left style="thin">
          <color indexed="64"/>
        </left>
        <right style="thin">
          <color indexed="64"/>
        </right>
      </border>
    </dxf>
  </rfmt>
  <rfmt sheetId="30" sqref="C30" start="0" length="0">
    <dxf>
      <border outline="0">
        <left style="thin">
          <color indexed="64"/>
        </left>
        <right style="thin">
          <color indexed="64"/>
        </right>
      </border>
    </dxf>
  </rfmt>
  <rcc rId="271" sId="30" odxf="1" dxf="1">
    <nc r="D30">
      <v>629</v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272" sId="30" odxf="1" dxf="1">
    <nc r="E30" t="inlineStr">
      <is>
        <t>Le Zu</t>
      </is>
    </nc>
    <odxf>
      <fill>
        <patternFill patternType="solid">
          <bgColor theme="0"/>
        </patternFill>
      </fill>
      <border outline="0">
        <left/>
        <right/>
      </border>
    </odxf>
    <ndxf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</border>
    </ndxf>
  </rcc>
  <rcc rId="273" sId="30" odxf="1" dxf="1" numFmtId="19">
    <nc r="F30">
      <v>46143</v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274" sId="30" odxf="1" dxf="1">
    <nc r="G30">
      <v>2</v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fmt sheetId="30" sqref="H30" start="0" length="0">
    <dxf>
      <border outline="0">
        <left style="thin">
          <color indexed="64"/>
        </left>
        <right style="thin">
          <color indexed="64"/>
        </right>
      </border>
    </dxf>
  </rfmt>
  <rfmt sheetId="30" sqref="I30" start="0" length="0">
    <dxf>
      <border outline="0">
        <left style="thin">
          <color indexed="64"/>
        </left>
        <right style="thin">
          <color indexed="64"/>
        </right>
      </border>
    </dxf>
  </rfmt>
  <rcc rId="275" sId="30" odxf="1" dxf="1">
    <nc r="J30" t="inlineStr">
      <is>
        <t>ALLOCATION</t>
      </is>
    </nc>
    <odxf>
      <border outline="0">
        <left/>
        <right/>
      </border>
    </odxf>
    <ndxf>
      <border outline="0">
        <left style="thin">
          <color indexed="64"/>
        </left>
        <right style="thin">
          <color indexed="64"/>
        </right>
      </border>
    </ndxf>
  </rcc>
  <rcc rId="276" sId="30" odxf="1" dxf="1">
    <nc r="K30" t="inlineStr">
      <is>
        <t>Faiha/Win</t>
      </is>
    </nc>
    <odxf>
      <border outline="0">
        <left/>
      </border>
    </odxf>
    <ndxf>
      <border outline="0">
        <left style="thin">
          <color indexed="64"/>
        </left>
      </border>
    </ndxf>
  </rcc>
  <rcc rId="277" sId="30" odxf="1" dxf="1">
    <oc r="D18">
      <v>629</v>
    </oc>
    <nc r="D18">
      <v>866</v>
    </nc>
    <odxf>
      <fill>
        <patternFill>
          <bgColor rgb="FF92D050"/>
        </patternFill>
      </fill>
      <border outline="0">
        <top style="thin">
          <color indexed="64"/>
        </top>
      </border>
    </odxf>
    <ndxf>
      <fill>
        <patternFill>
          <bgColor rgb="FFFFFF00"/>
        </patternFill>
      </fill>
      <border outline="0">
        <top/>
      </border>
    </ndxf>
  </rcc>
  <rcc rId="278" sId="30" odxf="1" dxf="1">
    <oc r="E18" t="inlineStr">
      <is>
        <t>Le Zu</t>
      </is>
    </oc>
    <nc r="E18" t="inlineStr">
      <is>
        <t>Belyaev, Ivan</t>
      </is>
    </nc>
    <odxf>
      <fill>
        <patternFill patternType="none">
          <bgColor indexed="65"/>
        </patternFill>
      </fill>
      <border outline="0">
        <top style="thin">
          <color indexed="64"/>
        </top>
      </border>
    </odxf>
    <ndxf>
      <fill>
        <patternFill patternType="solid">
          <bgColor theme="0"/>
        </patternFill>
      </fill>
      <border outline="0">
        <top/>
      </border>
    </ndxf>
  </rcc>
  <rcc rId="279" sId="30" odxf="1" dxf="1" numFmtId="19">
    <oc r="F18">
      <v>46143</v>
    </oc>
    <nc r="F18">
      <v>46150</v>
    </nc>
    <odxf>
      <border outline="0">
        <top style="thin">
          <color indexed="64"/>
        </top>
      </border>
    </odxf>
    <ndxf>
      <border outline="0">
        <top/>
      </border>
    </ndxf>
  </rcc>
  <rfmt sheetId="30" sqref="G18" start="0" length="0">
    <dxf>
      <border outline="0">
        <top/>
      </border>
    </dxf>
  </rfmt>
  <rfmt sheetId="30" sqref="H18" start="0" length="0">
    <dxf>
      <border outline="0">
        <top/>
      </border>
    </dxf>
  </rfmt>
  <rfmt sheetId="30" sqref="I18" start="0" length="0">
    <dxf>
      <border outline="0">
        <top/>
      </border>
    </dxf>
  </rfmt>
  <rcc rId="280" sId="30" odxf="1" dxf="1">
    <oc r="J18" t="inlineStr">
      <is>
        <t>ALLOCATION</t>
      </is>
    </oc>
    <nc r="J18" t="inlineStr">
      <is>
        <t>FB</t>
      </is>
    </nc>
    <odxf>
      <fill>
        <patternFill>
          <bgColor rgb="FF92D050"/>
        </patternFill>
      </fill>
      <border outline="0">
        <top style="thin">
          <color indexed="64"/>
        </top>
      </border>
    </odxf>
    <ndxf>
      <fill>
        <patternFill>
          <bgColor rgb="FFFFFF00"/>
        </patternFill>
      </fill>
      <border outline="0">
        <top/>
      </border>
    </ndxf>
  </rcc>
  <rcc rId="281" sId="30" odxf="1" dxf="1">
    <oc r="K18" t="inlineStr">
      <is>
        <t>Faiha/Win</t>
      </is>
    </oc>
    <nc r="K18" t="inlineStr">
      <is>
        <t>Aiperi/Faiha</t>
      </is>
    </nc>
    <odxf>
      <alignment horizontal="left" readingOrder="0"/>
      <border outline="0">
        <top style="thin">
          <color indexed="64"/>
        </top>
      </border>
    </odxf>
    <ndxf>
      <alignment horizontal="center" readingOrder="0"/>
      <border outline="0">
        <top/>
      </border>
    </ndxf>
  </rcc>
  <rcc rId="282" sId="30" odxf="1" dxf="1">
    <oc r="D26">
      <v>866</v>
    </oc>
    <nc r="D26">
      <v>874</v>
    </nc>
    <odxf>
      <fill>
        <patternFill>
          <bgColor rgb="FFFFFF00"/>
        </patternFill>
      </fill>
      <border outline="0">
        <top/>
      </border>
    </odxf>
    <ndxf>
      <fill>
        <patternFill>
          <bgColor rgb="FF92D050"/>
        </patternFill>
      </fill>
      <border outline="0">
        <top style="thin">
          <color indexed="64"/>
        </top>
      </border>
    </ndxf>
  </rcc>
  <rcc rId="283" sId="30" odxf="1" dxf="1">
    <oc r="E26" t="inlineStr">
      <is>
        <t>Belyaev, Ivan</t>
      </is>
    </oc>
    <nc r="E26" t="inlineStr">
      <is>
        <t>Linqing Zhang</t>
      </is>
    </nc>
    <odxf>
      <border outline="0">
        <top/>
      </border>
    </odxf>
    <ndxf>
      <border outline="0">
        <top style="thin">
          <color indexed="64"/>
        </top>
      </border>
    </ndxf>
  </rcc>
  <rcc rId="284" sId="30" odxf="1" dxf="1" numFmtId="19">
    <oc r="F26">
      <v>46150</v>
    </oc>
    <nc r="F26">
      <v>46143</v>
    </nc>
    <odxf>
      <border outline="0">
        <top/>
      </border>
    </odxf>
    <ndxf>
      <border outline="0">
        <top style="thin">
          <color indexed="64"/>
        </top>
      </border>
    </ndxf>
  </rcc>
  <rfmt sheetId="30" sqref="G26" start="0" length="0">
    <dxf>
      <border outline="0">
        <top style="thin">
          <color indexed="64"/>
        </top>
      </border>
    </dxf>
  </rfmt>
  <rfmt sheetId="30" sqref="H26" start="0" length="0">
    <dxf>
      <border outline="0">
        <top style="thin">
          <color indexed="64"/>
        </top>
      </border>
    </dxf>
  </rfmt>
  <rfmt sheetId="30" sqref="I26" start="0" length="0">
    <dxf>
      <border outline="0">
        <top style="thin">
          <color indexed="64"/>
        </top>
      </border>
    </dxf>
  </rfmt>
  <rcc rId="285" sId="30" odxf="1" dxf="1">
    <oc r="J26" t="inlineStr">
      <is>
        <t>FB</t>
      </is>
    </oc>
    <nc r="J26" t="inlineStr">
      <is>
        <t>ALLOCATION</t>
      </is>
    </nc>
    <odxf>
      <fill>
        <patternFill>
          <bgColor rgb="FFFFFF00"/>
        </patternFill>
      </fill>
      <border outline="0">
        <top/>
      </border>
    </odxf>
    <ndxf>
      <fill>
        <patternFill>
          <bgColor rgb="FF92D050"/>
        </patternFill>
      </fill>
      <border outline="0">
        <top style="thin">
          <color indexed="64"/>
        </top>
      </border>
    </ndxf>
  </rcc>
  <rcc rId="286" sId="30" odxf="1" dxf="1">
    <oc r="K26" t="inlineStr">
      <is>
        <t>Aiperi/Faiha</t>
      </is>
    </oc>
    <nc r="K26" t="inlineStr">
      <is>
        <t>Shen/Rahil</t>
      </is>
    </nc>
    <odxf>
      <border outline="0">
        <top/>
      </border>
    </odxf>
    <ndxf>
      <border outline="0">
        <top style="thin">
          <color indexed="64"/>
        </top>
      </border>
    </ndxf>
  </rcc>
  <rcc rId="287" sId="30">
    <oc r="L26">
      <f>IF(OR(NOT(ISERROR(MATCH(RIGHT(D26,3)+0,#REF!,0))),NOT(ISERROR(MATCH(LEFT(D26,3)+0,#REF!,0)))),"No Post","")</f>
    </oc>
    <nc r="L26">
      <f>IF(OR(NOT(ISERROR(MATCH(RIGHT(D26,3)+0,#REF!,0))),NOT(ISERROR(MATCH(LEFT(D26,3)+0,#REF!,0)))),"No Post","")</f>
    </nc>
  </rcc>
  <rcc rId="288" sId="30">
    <oc r="D24">
      <v>874</v>
    </oc>
    <nc r="D24">
      <v>877</v>
    </nc>
  </rcc>
  <rcc rId="289" sId="30">
    <oc r="E24" t="inlineStr">
      <is>
        <t>Linqing Zhang</t>
      </is>
    </oc>
    <nc r="E24" t="inlineStr">
      <is>
        <t>Yihe Huang</t>
      </is>
    </nc>
  </rcc>
  <rcc rId="290" sId="30">
    <oc r="K24" t="inlineStr">
      <is>
        <t>Shen/Rahil</t>
      </is>
    </oc>
    <nc r="K24" t="inlineStr">
      <is>
        <t>UV/Tarush</t>
      </is>
    </nc>
  </rcc>
  <rcc rId="291" sId="30">
    <oc r="L24">
      <f>IF(OR(NOT(ISERROR(MATCH(RIGHT(D24,3)+0,#REF!,0))),NOT(ISERROR(MATCH(LEFT(D24,3)+0,#REF!,0)))),"No Post","")</f>
    </oc>
    <nc r="L24">
      <f>IF(OR(NOT(ISERROR(MATCH(RIGHT(D24,3)+0,#REF!,0))),NOT(ISERROR(MATCH(LEFT(D24,3)+0,#REF!,0)))),"No Post","")</f>
    </nc>
  </rcc>
  <rcc rId="292" sId="30" odxf="1" dxf="1">
    <oc r="D23">
      <v>877</v>
    </oc>
    <nc r="D23">
      <v>882</v>
    </nc>
    <odxf>
      <fill>
        <patternFill>
          <bgColor rgb="FF92D050"/>
        </patternFill>
      </fill>
    </odxf>
    <ndxf>
      <fill>
        <patternFill>
          <bgColor rgb="FFFFFF00"/>
        </patternFill>
      </fill>
    </ndxf>
  </rcc>
  <rcc rId="293" sId="30">
    <oc r="E23" t="inlineStr">
      <is>
        <t>Yihe Huang</t>
      </is>
    </oc>
    <nc r="E23" t="inlineStr">
      <is>
        <t>Ilyess Aissaui</t>
      </is>
    </nc>
  </rcc>
  <rcc rId="294" sId="30" numFmtId="19">
    <oc r="F23">
      <v>46143</v>
    </oc>
    <nc r="F23">
      <v>46146</v>
    </nc>
  </rcc>
  <rcc rId="295" sId="30">
    <nc r="I23" t="inlineStr">
      <is>
        <t>RC $100</t>
      </is>
    </nc>
  </rcc>
  <rcc rId="296" sId="30" odxf="1" dxf="1">
    <oc r="J23" t="inlineStr">
      <is>
        <t>ALLOCATION</t>
      </is>
    </oc>
    <nc r="J23" t="inlineStr">
      <is>
        <t>SAI</t>
      </is>
    </nc>
    <odxf>
      <fill>
        <patternFill>
          <bgColor rgb="FF92D050"/>
        </patternFill>
      </fill>
    </odxf>
    <ndxf>
      <fill>
        <patternFill>
          <bgColor rgb="FFFFFF00"/>
        </patternFill>
      </fill>
    </ndxf>
  </rcc>
  <rcc rId="297" sId="30">
    <oc r="K23" t="inlineStr">
      <is>
        <t>UV/Tarush</t>
      </is>
    </oc>
    <nc r="K23" t="inlineStr">
      <is>
        <t>Win/Faiha</t>
      </is>
    </nc>
  </rcc>
  <rcc rId="298" sId="30">
    <oc r="L23">
      <f>IF(OR(NOT(ISERROR(MATCH(RIGHT(D22,3)+0,#REF!,0))),NOT(ISERROR(MATCH(LEFT(D22,3)+0,#REF!,0)))),"No Post","")</f>
    </oc>
    <nc r="L23" t="inlineStr">
      <is>
        <t>NO POST</t>
      </is>
    </nc>
  </rcc>
  <rcc rId="299" sId="30">
    <oc r="D10">
      <v>882</v>
    </oc>
    <nc r="D10">
      <v>891</v>
    </nc>
  </rcc>
  <rcc rId="300" sId="30">
    <oc r="E10" t="inlineStr">
      <is>
        <t>Ilyess Aissaui</t>
      </is>
    </oc>
    <nc r="E10" t="inlineStr">
      <is>
        <t>Yutaka Mataui</t>
      </is>
    </nc>
  </rcc>
  <rcc rId="301" sId="30" numFmtId="19">
    <oc r="F10">
      <v>46146</v>
    </oc>
    <nc r="F10">
      <v>46143</v>
    </nc>
  </rcc>
  <rcc rId="302" sId="30">
    <oc r="I10" t="inlineStr">
      <is>
        <t>RC $100</t>
      </is>
    </oc>
    <nc r="I10"/>
  </rcc>
  <rcc rId="303" sId="30">
    <oc r="K10" t="inlineStr">
      <is>
        <t>Win/Faiha</t>
      </is>
    </oc>
    <nc r="K10" t="inlineStr">
      <is>
        <t>Faiha</t>
      </is>
    </nc>
  </rcc>
  <rcc rId="304" sId="30" odxf="1" dxf="1">
    <oc r="D13">
      <v>891</v>
    </oc>
    <nc r="D13">
      <v>892</v>
    </nc>
    <odxf>
      <font>
        <sz val="14"/>
      </font>
      <fill>
        <patternFill>
          <bgColor rgb="FFFFFF00"/>
        </patternFill>
      </fill>
    </odxf>
    <ndxf>
      <font>
        <sz val="14"/>
        <color auto="1"/>
      </font>
      <fill>
        <patternFill>
          <bgColor rgb="FFFFC000"/>
        </patternFill>
      </fill>
    </ndxf>
  </rcc>
  <rcc rId="305" sId="30" odxf="1" dxf="1">
    <oc r="E13" t="inlineStr">
      <is>
        <t>Yutaka Mataui</t>
      </is>
    </oc>
    <nc r="E13" t="inlineStr">
      <is>
        <t xml:space="preserve">Mellyn Carroll Family (2 Adult 1Kid) 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06" sId="30" numFmtId="19">
    <oc r="F13">
      <v>46143</v>
    </oc>
    <nc r="F13">
      <v>46145</v>
    </nc>
  </rcc>
  <rcc rId="307" sId="30">
    <nc r="H13">
      <v>1</v>
    </nc>
  </rcc>
  <rcc rId="308" sId="30" odxf="1" dxf="1">
    <oc r="J13" t="inlineStr">
      <is>
        <t>SAI</t>
      </is>
    </oc>
    <nc r="J13" t="inlineStr">
      <is>
        <t>SALES ENT</t>
      </is>
    </nc>
    <odxf>
      <fill>
        <patternFill>
          <bgColor rgb="FFFFFF00"/>
        </patternFill>
      </fill>
    </odxf>
    <ndxf>
      <fill>
        <patternFill>
          <bgColor rgb="FFFFC000"/>
        </patternFill>
      </fill>
    </ndxf>
  </rcc>
  <rcc rId="309" sId="30">
    <oc r="K13" t="inlineStr">
      <is>
        <t>Faiha</t>
      </is>
    </oc>
    <nc r="K13" t="inlineStr">
      <is>
        <t>Ahalya/Maaji</t>
      </is>
    </nc>
  </rcc>
  <rcc rId="310" sId="30">
    <oc r="L13" t="inlineStr">
      <is>
        <t>NO POST</t>
      </is>
    </oc>
    <nc r="L13">
      <f>IF(OR(NOT(ISERROR(MATCH(RIGHT(D13,3)+0,#REF!,0))),NOT(ISERROR(MATCH(LEFT(D13,3)+0,#REF!,0)))),"No Post","")</f>
    </nc>
  </rcc>
  <rcc rId="311" sId="30" odxf="1" dxf="1">
    <oc r="D22">
      <v>892</v>
    </oc>
    <nc r="D22">
      <v>894</v>
    </nc>
    <odxf>
      <font>
        <sz val="14"/>
        <color auto="1"/>
      </font>
      <fill>
        <patternFill>
          <bgColor rgb="FFFFC000"/>
        </patternFill>
      </fill>
    </odxf>
    <ndxf>
      <font>
        <sz val="14"/>
        <color auto="1"/>
      </font>
      <fill>
        <patternFill>
          <bgColor rgb="FF92D050"/>
        </patternFill>
      </fill>
    </ndxf>
  </rcc>
  <rcc rId="312" sId="30" odxf="1" dxf="1">
    <oc r="E22" t="inlineStr">
      <is>
        <t xml:space="preserve">Mellyn Carroll Family (2 Adult 1Kid) </t>
      </is>
    </oc>
    <nc r="E22" t="inlineStr">
      <is>
        <t>Rika Okabe</t>
      </is>
    </nc>
    <odxf>
      <fill>
        <patternFill patternType="none">
          <bgColor indexed="65"/>
        </patternFill>
      </fill>
    </odxf>
    <ndxf>
      <fill>
        <patternFill patternType="solid">
          <bgColor theme="0"/>
        </patternFill>
      </fill>
    </ndxf>
  </rcc>
  <rcc rId="313" sId="30" numFmtId="19">
    <oc r="F22">
      <v>46145</v>
    </oc>
    <nc r="F22">
      <v>46143</v>
    </nc>
  </rcc>
  <rcc rId="314" sId="30">
    <oc r="H22">
      <v>1</v>
    </oc>
    <nc r="H22"/>
  </rcc>
  <rcc rId="315" sId="30" odxf="1" dxf="1">
    <oc r="J22" t="inlineStr">
      <is>
        <t>SALES ENT</t>
      </is>
    </oc>
    <nc r="J22" t="inlineStr">
      <is>
        <t>ALLOCATION</t>
      </is>
    </nc>
    <odxf>
      <fill>
        <patternFill>
          <bgColor rgb="FFFFC000"/>
        </patternFill>
      </fill>
    </odxf>
    <ndxf>
      <fill>
        <patternFill>
          <bgColor rgb="FF92D050"/>
        </patternFill>
      </fill>
    </ndxf>
  </rcc>
  <rcc rId="316" sId="30">
    <oc r="K22" t="inlineStr">
      <is>
        <t>Ahalya/Maaji</t>
      </is>
    </oc>
    <nc r="K22"/>
  </rcc>
  <rcc rId="317" sId="30">
    <oc r="L22">
      <f>IF(OR(NOT(ISERROR(MATCH(RIGHT(D22,3)+0,#REF!,0))),NOT(ISERROR(MATCH(LEFT(D22,3)+0,#REF!,0)))),"No Post","")</f>
    </oc>
    <nc r="L22">
      <f>IF(OR(NOT(ISERROR(MATCH(RIGHT(D22,3)+0,#REF!,0))),NOT(ISERROR(MATCH(LEFT(D22,3)+0,#REF!,0)))),"No Post","")</f>
    </nc>
  </rcc>
  <rcc rId="318" sId="30" odxf="1" dxf="1">
    <oc r="D20">
      <v>894</v>
    </oc>
    <nc r="D20" t="inlineStr">
      <is>
        <t>666/875</t>
      </is>
    </nc>
    <odxf>
      <fill>
        <patternFill>
          <bgColor rgb="FF92D050"/>
        </patternFill>
      </fill>
    </odxf>
    <ndxf>
      <fill>
        <patternFill>
          <bgColor rgb="FFFF66CC"/>
        </patternFill>
      </fill>
    </ndxf>
  </rcc>
  <rcc rId="319" sId="30">
    <oc r="E20" t="inlineStr">
      <is>
        <t>Rika Okabe</t>
      </is>
    </oc>
    <nc r="E20" t="inlineStr">
      <is>
        <t>Hyeongmin Sun</t>
      </is>
    </nc>
  </rcc>
  <rcc rId="320" sId="30" numFmtId="19">
    <oc r="F20">
      <v>46143</v>
    </oc>
    <nc r="F20">
      <v>46142</v>
    </nc>
  </rcc>
  <rcc rId="321" sId="30" odxf="1" dxf="1">
    <oc r="J20" t="inlineStr">
      <is>
        <t>ALLOCATION</t>
      </is>
    </oc>
    <nc r="J20" t="inlineStr">
      <is>
        <t>ITA(NP)</t>
      </is>
    </nc>
    <odxf>
      <fill>
        <patternFill>
          <bgColor rgb="FF92D050"/>
        </patternFill>
      </fill>
    </odxf>
    <ndxf>
      <fill>
        <patternFill>
          <bgColor rgb="FFFF66CC"/>
        </patternFill>
      </fill>
    </ndxf>
  </rcc>
  <rcc rId="322" sId="30">
    <nc r="K20" t="inlineStr">
      <is>
        <t>Ulviya/Maaji</t>
      </is>
    </nc>
  </rcc>
  <rcc rId="323" sId="30">
    <oc r="L20">
      <f>IF(OR(NOT(ISERROR(MATCH(RIGHT(D26,3)+0,#REF!,0))),NOT(ISERROR(MATCH(LEFT(D26,3)+0,#REF!,0)))),"No Post","")</f>
    </oc>
    <nc r="L20" t="inlineStr">
      <is>
        <t>NO POST</t>
      </is>
    </nc>
  </rcc>
  <rcc rId="324" sId="30" odxf="1" dxf="1">
    <oc r="D16" t="inlineStr">
      <is>
        <t>666/875</t>
      </is>
    </oc>
    <nc r="D16">
      <v>868</v>
    </nc>
    <odxf>
      <fill>
        <patternFill>
          <bgColor rgb="FFFF66CC"/>
        </patternFill>
      </fill>
    </odxf>
    <ndxf>
      <fill>
        <patternFill>
          <bgColor theme="1" tint="0.499984740745262"/>
        </patternFill>
      </fill>
    </ndxf>
  </rcc>
  <rcc rId="325" sId="30">
    <oc r="E16" t="inlineStr">
      <is>
        <t>Hyeongmin Sun</t>
      </is>
    </oc>
    <nc r="E16" t="inlineStr">
      <is>
        <t>Mengmeng Wang</t>
      </is>
    </nc>
  </rcc>
  <rcc rId="326" sId="30" numFmtId="19">
    <oc r="F16">
      <v>46142</v>
    </oc>
    <nc r="F16">
      <v>46114</v>
    </nc>
  </rcc>
  <rcc rId="327" sId="30">
    <nc r="H16">
      <v>2</v>
    </nc>
  </rcc>
  <rcc rId="328" sId="30" odxf="1" dxf="1">
    <oc r="J16" t="inlineStr">
      <is>
        <t>ITA(NP)</t>
      </is>
    </oc>
    <nc r="J16" t="inlineStr">
      <is>
        <t>ALLOCATION 2 PERSON</t>
      </is>
    </nc>
    <odxf>
      <fill>
        <patternFill>
          <bgColor rgb="FFFF66CC"/>
        </patternFill>
      </fill>
    </odxf>
    <ndxf>
      <fill>
        <patternFill>
          <bgColor theme="1" tint="0.499984740745262"/>
        </patternFill>
      </fill>
    </ndxf>
  </rcc>
  <rcc rId="329" sId="30" odxf="1" dxf="1">
    <oc r="K16" t="inlineStr">
      <is>
        <t>Ulviya/Maaji</t>
      </is>
    </oc>
    <nc r="K16" t="inlineStr">
      <is>
        <t>Faiha/Win</t>
      </is>
    </nc>
    <odxf>
      <alignment horizontal="center" readingOrder="0"/>
    </odxf>
    <ndxf>
      <alignment horizontal="left" readingOrder="0"/>
    </ndxf>
  </rcc>
  <rcc rId="330" sId="30" odxf="1" dxf="1">
    <oc r="D28">
      <v>868</v>
    </oc>
    <nc r="D28">
      <v>630</v>
    </nc>
    <odxf>
      <fill>
        <patternFill>
          <bgColor theme="1" tint="0.499984740745262"/>
        </patternFill>
      </fill>
    </odxf>
    <ndxf>
      <fill>
        <patternFill>
          <bgColor rgb="FF92D050"/>
        </patternFill>
      </fill>
    </ndxf>
  </rcc>
  <rcc rId="331" sId="30">
    <oc r="E28" t="inlineStr">
      <is>
        <t>Mengmeng Wang</t>
      </is>
    </oc>
    <nc r="E28" t="inlineStr">
      <is>
        <t>Lu Sun</t>
      </is>
    </nc>
  </rcc>
  <rcc rId="332" sId="30" numFmtId="19">
    <oc r="F28">
      <v>46114</v>
    </oc>
    <nc r="F28">
      <v>46143</v>
    </nc>
  </rcc>
  <rcc rId="333" sId="30">
    <oc r="H28">
      <v>2</v>
    </oc>
    <nc r="H28"/>
  </rcc>
  <rcc rId="334" sId="30" odxf="1" dxf="1">
    <oc r="J28" t="inlineStr">
      <is>
        <t>ALLOCATION 2 PERSON</t>
      </is>
    </oc>
    <nc r="J28" t="inlineStr">
      <is>
        <t>ALLOCATION</t>
      </is>
    </nc>
    <odxf>
      <fill>
        <patternFill>
          <bgColor theme="1" tint="0.499984740745262"/>
        </patternFill>
      </fill>
    </odxf>
    <ndxf>
      <fill>
        <patternFill>
          <bgColor rgb="FF92D050"/>
        </patternFill>
      </fill>
    </ndxf>
  </rcc>
  <rcc rId="335" sId="30">
    <oc r="L28" t="inlineStr">
      <is>
        <t>NO POST</t>
      </is>
    </oc>
    <nc r="L28">
      <f>IF(OR(NOT(ISERROR(MATCH(RIGHT(D28,3)+0,#REF!,0))),NOT(ISERROR(MATCH(LEFT(D28,3)+0,#REF!,0)))),"No Post","")</f>
    </nc>
  </rcc>
  <rcc rId="336" sId="30">
    <oc r="D29">
      <v>630</v>
    </oc>
    <nc r="D29">
      <v>629</v>
    </nc>
  </rcc>
  <rcc rId="337" sId="30" odxf="1" dxf="1">
    <oc r="E29" t="inlineStr">
      <is>
        <t>Lu Sun</t>
      </is>
    </oc>
    <nc r="E29" t="inlineStr">
      <is>
        <t>Le Zu</t>
      </is>
    </nc>
    <odxf>
      <fill>
        <patternFill patternType="solid">
          <bgColor theme="0"/>
        </patternFill>
      </fill>
    </odxf>
    <ndxf>
      <fill>
        <patternFill patternType="none">
          <bgColor indexed="65"/>
        </patternFill>
      </fill>
    </ndxf>
  </rcc>
  <rcc rId="338" sId="30">
    <oc r="L29">
      <f>IF(OR(NOT(ISERROR(MATCH(RIGHT(D29,3)+0,#REF!,0))),NOT(ISERROR(MATCH(LEFT(D29,3)+0,#REF!,0)))),"No Post","")</f>
    </oc>
    <nc r="L29"/>
  </rcc>
  <rrc rId="339" sId="30" ref="A30:XFD30" action="deleteRow">
    <rfmt sheetId="30" xfDxf="1" sqref="A30:XFD30" start="0" length="0">
      <dxf>
        <font>
          <b/>
          <sz val="15"/>
        </font>
        <alignment horizontal="center" readingOrder="0"/>
      </dxf>
    </rfmt>
    <rfmt sheetId="30" sqref="A30" start="0" length="0">
      <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dxf>
    </rfmt>
    <rfmt sheetId="30" sqref="B30" start="0" length="0">
      <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30" start="0" length="0">
      <dxf>
        <font>
          <b val="0"/>
          <sz val="14"/>
        </font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0" dxf="1">
      <nc r="D30">
        <v>629</v>
      </nc>
      <ndxf>
        <font>
          <b val="0"/>
          <sz val="14"/>
        </font>
        <fill>
          <patternFill patternType="solid">
            <bgColor rgb="FF92D05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30" dxf="1">
      <nc r="E30" t="inlineStr">
        <is>
          <t>Le Zu</t>
        </is>
      </nc>
      <ndxf>
        <font>
          <b val="0"/>
          <sz val="14"/>
        </font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30" dxf="1" numFmtId="19">
      <nc r="F30">
        <v>46143</v>
      </nc>
      <ndxf>
        <font>
          <b val="0"/>
          <sz val="14"/>
        </font>
        <numFmt numFmtId="19" formatCode="dd/mm/yyyy"/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30" dxf="1">
      <nc r="G30">
        <v>2</v>
      </nc>
      <n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0" sqref="H30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I30" start="0" length="0">
      <dxf>
        <font>
          <b val="0"/>
          <sz val="14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30" dxf="1">
      <nc r="J30" t="inlineStr">
        <is>
          <t>ALLOCATION</t>
        </is>
      </nc>
      <ndxf>
        <font>
          <b val="0"/>
          <sz val="14"/>
        </font>
        <fill>
          <patternFill patternType="solid">
            <bgColor rgb="FF92D05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30" dxf="1">
      <nc r="K30" t="inlineStr">
        <is>
          <t>Faiha/Win</t>
        </is>
      </nc>
      <ndxf>
        <font>
          <b val="0"/>
          <sz val="14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30" sqref="L30" start="0" length="0">
      <dxf>
        <font>
          <sz val="12"/>
          <color auto="1"/>
        </font>
        <alignment horizontal="general" vertical="bottom" readingOrder="0"/>
      </dxf>
    </rfmt>
  </rrc>
  <rfmt sheetId="30" sqref="A8:K8 A18:K18">
    <dxf>
      <border>
        <top style="thin">
          <color indexed="64"/>
        </top>
        <bottom style="thin">
          <color indexed="64"/>
        </bottom>
        <horizontal style="thin">
          <color indexed="64"/>
        </horizontal>
      </border>
    </dxf>
  </rfmt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0" sqref="K28:K29 K26 K24 K23 K10 K13 K22 K20 K16">
    <dxf>
      <alignment horizontal="general" readingOrder="0"/>
    </dxf>
  </rfmt>
  <rfmt sheetId="30" sqref="K28:K29 K26 K24 K23 K10 K13 K22 K20 K16">
    <dxf>
      <alignment horizontal="center" readingOrder="0"/>
    </dxf>
  </rfmt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E59406A-696F-45F3-96CE-A9A2B9D4DCC4}" action="delete"/>
  <rdn rId="0" localSheetId="1" customView="1" name="Z_4E59406A_696F_45F3_96CE_A9A2B9D4DCC4_.wvu.PrintArea" hidden="1" oldHidden="1">
    <formula>'1'!$A$1:$L$39</formula>
    <oldFormula>'1'!$A$1:$L$39</oldFormula>
  </rdn>
  <rdn rId="0" localSheetId="2" customView="1" name="Z_4E59406A_696F_45F3_96CE_A9A2B9D4DCC4_.wvu.PrintArea" hidden="1" oldHidden="1">
    <formula>'2'!$A$1:$L$38</formula>
    <oldFormula>'2'!$A$1:$L$38</oldFormula>
  </rdn>
  <rdn rId="0" localSheetId="3" customView="1" name="Z_4E59406A_696F_45F3_96CE_A9A2B9D4DCC4_.wvu.PrintArea" hidden="1" oldHidden="1">
    <formula>'3'!$A$1:$L$32</formula>
    <oldFormula>'3'!$A$1:$L$32</oldFormula>
  </rdn>
  <rdn rId="0" localSheetId="4" customView="1" name="Z_4E59406A_696F_45F3_96CE_A9A2B9D4DCC4_.wvu.PrintArea" hidden="1" oldHidden="1">
    <formula>'4'!$A$1:$L$40</formula>
    <oldFormula>'4'!$A$1:$L$40</oldFormula>
  </rdn>
  <rdn rId="0" localSheetId="5" customView="1" name="Z_4E59406A_696F_45F3_96CE_A9A2B9D4DCC4_.wvu.PrintArea" hidden="1" oldHidden="1">
    <formula>'5'!$A$1:$L$37</formula>
    <oldFormula>'5'!$A$1:$L$37</oldFormula>
  </rdn>
  <rdn rId="0" localSheetId="6" customView="1" name="Z_4E59406A_696F_45F3_96CE_A9A2B9D4DCC4_.wvu.PrintArea" hidden="1" oldHidden="1">
    <formula>'6'!$A$1:$L$37</formula>
    <oldFormula>'6'!$A$1:$L$37</oldFormula>
  </rdn>
  <rdn rId="0" localSheetId="7" customView="1" name="Z_4E59406A_696F_45F3_96CE_A9A2B9D4DCC4_.wvu.PrintArea" hidden="1" oldHidden="1">
    <formula>'7'!$A$1:$L$39</formula>
    <oldFormula>'7'!$A$1:$L$39</oldFormula>
  </rdn>
  <rdn rId="0" localSheetId="8" customView="1" name="Z_4E59406A_696F_45F3_96CE_A9A2B9D4DCC4_.wvu.PrintArea" hidden="1" oldHidden="1">
    <formula>'8'!$A$1:$L$32</formula>
    <oldFormula>'8'!$A$1:$L$32</oldFormula>
  </rdn>
  <rdn rId="0" localSheetId="9" customView="1" name="Z_4E59406A_696F_45F3_96CE_A9A2B9D4DCC4_.wvu.PrintArea" hidden="1" oldHidden="1">
    <formula>'9'!$A$1:$L$46</formula>
    <oldFormula>'9'!$A$1:$L$46</oldFormula>
  </rdn>
  <rdn rId="0" localSheetId="9" customView="1" name="Z_4E59406A_696F_45F3_96CE_A9A2B9D4DCC4_.wvu.FilterData" hidden="1" oldHidden="1">
    <formula>'9'!$A$6:$K$34</formula>
    <oldFormula>'9'!$A$6:$K$34</oldFormula>
  </rdn>
  <rdn rId="0" localSheetId="10" customView="1" name="Z_4E59406A_696F_45F3_96CE_A9A2B9D4DCC4_.wvu.PrintArea" hidden="1" oldHidden="1">
    <formula>'10'!$A$1:$L$42</formula>
    <oldFormula>'10'!$A$1:$L$42</oldFormula>
  </rdn>
  <rdn rId="0" localSheetId="10" customView="1" name="Z_4E59406A_696F_45F3_96CE_A9A2B9D4DCC4_.wvu.FilterData" hidden="1" oldHidden="1">
    <formula>'10'!$A$6:$K$28</formula>
    <oldFormula>'10'!$A$6:$K$28</oldFormula>
  </rdn>
  <rdn rId="0" localSheetId="11" customView="1" name="Z_4E59406A_696F_45F3_96CE_A9A2B9D4DCC4_.wvu.PrintArea" hidden="1" oldHidden="1">
    <formula>'11'!$A$1:$J$40</formula>
    <oldFormula>'11'!$A$1:$J$40</oldFormula>
  </rdn>
  <rdn rId="0" localSheetId="12" customView="1" name="Z_4E59406A_696F_45F3_96CE_A9A2B9D4DCC4_.wvu.PrintArea" hidden="1" oldHidden="1">
    <formula>'12'!$A$1:$L$36</formula>
    <oldFormula>'12'!$A$1:$L$36</oldFormula>
  </rdn>
  <rdn rId="0" localSheetId="13" customView="1" name="Z_4E59406A_696F_45F3_96CE_A9A2B9D4DCC4_.wvu.PrintArea" hidden="1" oldHidden="1">
    <formula>'13'!$A$1:$L$38</formula>
    <oldFormula>'13'!$A$1:$L$38</oldFormula>
  </rdn>
  <rdn rId="0" localSheetId="14" customView="1" name="Z_4E59406A_696F_45F3_96CE_A9A2B9D4DCC4_.wvu.PrintArea" hidden="1" oldHidden="1">
    <formula>'14'!$A$1:$J$38</formula>
    <oldFormula>'14'!$A$1:$J$38</oldFormula>
  </rdn>
  <rdn rId="0" localSheetId="15" customView="1" name="Z_4E59406A_696F_45F3_96CE_A9A2B9D4DCC4_.wvu.PrintArea" hidden="1" oldHidden="1">
    <formula>'15'!$A$1:$L$38</formula>
    <oldFormula>'15'!$A$1:$L$38</oldFormula>
  </rdn>
  <rdn rId="0" localSheetId="16" customView="1" name="Z_4E59406A_696F_45F3_96CE_A9A2B9D4DCC4_.wvu.PrintArea" hidden="1" oldHidden="1">
    <formula>'16'!$A$1:$L$33</formula>
    <oldFormula>'16'!$A$1:$L$33</oldFormula>
  </rdn>
  <rdn rId="0" localSheetId="17" customView="1" name="Z_4E59406A_696F_45F3_96CE_A9A2B9D4DCC4_.wvu.PrintArea" hidden="1" oldHidden="1">
    <formula>'17'!$A$1:$L$35</formula>
    <oldFormula>'17'!$A$1:$L$35</oldFormula>
  </rdn>
  <rdn rId="0" localSheetId="18" customView="1" name="Z_4E59406A_696F_45F3_96CE_A9A2B9D4DCC4_.wvu.PrintArea" hidden="1" oldHidden="1">
    <formula>'18'!$A$1:$L$38</formula>
    <oldFormula>'18'!$A$1:$L$38</oldFormula>
  </rdn>
  <rdn rId="0" localSheetId="19" customView="1" name="Z_4E59406A_696F_45F3_96CE_A9A2B9D4DCC4_.wvu.PrintArea" hidden="1" oldHidden="1">
    <formula>'19'!$A$1:$L$38</formula>
    <oldFormula>'19'!$A$1:$L$38</oldFormula>
  </rdn>
  <rdn rId="0" localSheetId="20" customView="1" name="Z_4E59406A_696F_45F3_96CE_A9A2B9D4DCC4_.wvu.PrintArea" hidden="1" oldHidden="1">
    <formula>'20'!$A$1:$J$31</formula>
    <oldFormula>'20'!$A$1:$J$31</oldFormula>
  </rdn>
  <rdn rId="0" localSheetId="21" customView="1" name="Z_4E59406A_696F_45F3_96CE_A9A2B9D4DCC4_.wvu.PrintArea" hidden="1" oldHidden="1">
    <formula>'21'!$A$1:$L$33</formula>
    <oldFormula>'21'!$A$1:$L$33</oldFormula>
  </rdn>
  <rdn rId="0" localSheetId="22" customView="1" name="Z_4E59406A_696F_45F3_96CE_A9A2B9D4DCC4_.wvu.PrintArea" hidden="1" oldHidden="1">
    <formula>'22'!$A$1:$L$40</formula>
    <oldFormula>'22'!$A$1:$L$40</oldFormula>
  </rdn>
  <rdn rId="0" localSheetId="23" customView="1" name="Z_4E59406A_696F_45F3_96CE_A9A2B9D4DCC4_.wvu.PrintArea" hidden="1" oldHidden="1">
    <formula>'23'!$A$1:$J$41</formula>
    <oldFormula>'23'!$A$1:$J$41</oldFormula>
  </rdn>
  <rdn rId="0" localSheetId="24" customView="1" name="Z_4E59406A_696F_45F3_96CE_A9A2B9D4DCC4_.wvu.PrintArea" hidden="1" oldHidden="1">
    <formula>'24'!$A$1:$J$38</formula>
    <oldFormula>'24'!$A$1:$J$38</oldFormula>
  </rdn>
  <rdn rId="0" localSheetId="25" customView="1" name="Z_4E59406A_696F_45F3_96CE_A9A2B9D4DCC4_.wvu.PrintArea" hidden="1" oldHidden="1">
    <formula>'25'!$A$1:$L$34</formula>
    <oldFormula>'25'!$A$1:$L$34</oldFormula>
  </rdn>
  <rdn rId="0" localSheetId="26" customView="1" name="Z_4E59406A_696F_45F3_96CE_A9A2B9D4DCC4_.wvu.PrintArea" hidden="1" oldHidden="1">
    <formula>'26'!$A$1:$L$33</formula>
    <oldFormula>'26'!$A$1:$L$33</oldFormula>
  </rdn>
  <rdn rId="0" localSheetId="27" customView="1" name="Z_4E59406A_696F_45F3_96CE_A9A2B9D4DCC4_.wvu.PrintArea" hidden="1" oldHidden="1">
    <formula>'27'!$A$1:$K$31</formula>
    <oldFormula>'27'!$A$1:$K$31</oldFormula>
  </rdn>
  <rdn rId="0" localSheetId="28" customView="1" name="Z_4E59406A_696F_45F3_96CE_A9A2B9D4DCC4_.wvu.PrintArea" hidden="1" oldHidden="1">
    <formula>'28'!$A$1:$K$32</formula>
    <oldFormula>'28'!$A$1:$K$32</oldFormula>
  </rdn>
  <rdn rId="0" localSheetId="29" customView="1" name="Z_4E59406A_696F_45F3_96CE_A9A2B9D4DCC4_.wvu.PrintArea" hidden="1" oldHidden="1">
    <formula>'29'!$A$1:$J$38</formula>
    <oldFormula>'29'!$A$1:$J$38</oldFormula>
  </rdn>
  <rdn rId="0" localSheetId="30" customView="1" name="Z_4E59406A_696F_45F3_96CE_A9A2B9D4DCC4_.wvu.PrintArea" hidden="1" oldHidden="1">
    <formula>'30'!$A$1:$L$41</formula>
    <oldFormula>'30'!$A$1:$L$41</oldFormula>
  </rdn>
  <rcv guid="{4E59406A-696F-45F3-96CE-A9A2B9D4DCC4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2" sId="30" ref="C1:C1048576" action="deleteCol">
    <rfmt sheetId="30" xfDxf="1" sqref="C1:C1048576" start="0" length="0">
      <dxf>
        <font>
          <sz val="14"/>
        </font>
        <alignment horizontal="center" readingOrder="0"/>
      </dxf>
    </rfmt>
    <rfmt sheetId="30" sqref="C4" start="0" length="0">
      <dxf>
        <font>
          <sz val="13"/>
        </font>
      </dxf>
    </rfmt>
    <rfmt sheetId="30" sqref="C5" start="0" length="0">
      <dxf>
        <font>
          <b/>
          <sz val="18"/>
        </font>
        <alignment readingOrder="0"/>
        <border outline="0"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dxf>
    </rfmt>
    <rfmt sheetId="30" sqref="C6" start="0" length="0">
      <dxf>
        <fill>
          <patternFill patternType="solid">
            <bgColor theme="0"/>
          </patternFill>
        </fill>
        <border outline="0">
          <right style="thin">
            <color indexed="64"/>
          </right>
          <top style="thin">
            <color indexed="64"/>
          </top>
        </border>
      </dxf>
    </rfmt>
    <rfmt sheetId="30" sqref="C7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30" sqref="C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30" sqref="C27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1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11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12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21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2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17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1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19" start="0" length="0">
      <dxf>
        <font>
          <sz val="14"/>
          <color auto="1"/>
        </font>
        <fill>
          <patternFill patternType="solid">
            <bgColor rgb="FFC0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30" sqref="C2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30" sqref="C2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2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1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1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22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2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2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2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C30" start="0" length="0">
      <dxf>
        <fill>
          <patternFill patternType="solid">
            <bgColor theme="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</rrc>
  <rfmt sheetId="30" sqref="B9">
    <dxf>
      <fill>
        <patternFill>
          <bgColor rgb="FFFF0000"/>
        </patternFill>
      </fill>
    </dxf>
  </rfmt>
  <rcc rId="373" sId="30">
    <nc r="B9" t="inlineStr">
      <is>
        <t>NA</t>
      </is>
    </nc>
  </rcc>
  <rcc rId="374" sId="30" odxf="1" dxf="1">
    <nc r="B27" t="inlineStr">
      <is>
        <t>NA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  <rcc rId="375" sId="30" odxf="1" dxf="1">
    <nc r="B15" t="inlineStr">
      <is>
        <t>NA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  <rfmt sheetId="30" sqref="B11">
    <dxf>
      <fill>
        <patternFill>
          <bgColor theme="9" tint="-0.249977111117893"/>
        </patternFill>
      </fill>
    </dxf>
  </rfmt>
  <rcc rId="376" sId="30">
    <nc r="B11" t="inlineStr">
      <is>
        <t>INFORMED</t>
      </is>
    </nc>
  </rcc>
  <rcv guid="{744BB052-D863-41D2-951C-2AB325855A97}" action="delete"/>
  <rdn rId="0" localSheetId="1" customView="1" name="Z_744BB052_D863_41D2_951C_2AB325855A97_.wvu.PrintArea" hidden="1" oldHidden="1">
    <formula>'1'!$A$1:$L$39</formula>
    <oldFormula>'1'!$A$1:$L$39</oldFormula>
  </rdn>
  <rdn rId="0" localSheetId="2" customView="1" name="Z_744BB052_D863_41D2_951C_2AB325855A97_.wvu.PrintArea" hidden="1" oldHidden="1">
    <formula>'2'!$A$1:$L$38</formula>
    <oldFormula>'2'!$A$1:$L$38</oldFormula>
  </rdn>
  <rdn rId="0" localSheetId="3" customView="1" name="Z_744BB052_D863_41D2_951C_2AB325855A97_.wvu.PrintArea" hidden="1" oldHidden="1">
    <formula>'3'!$A$1:$L$32</formula>
    <oldFormula>'3'!$A$1:$L$32</oldFormula>
  </rdn>
  <rdn rId="0" localSheetId="4" customView="1" name="Z_744BB052_D863_41D2_951C_2AB325855A97_.wvu.PrintArea" hidden="1" oldHidden="1">
    <formula>'4'!$A$1:$L$40</formula>
    <oldFormula>'4'!$A$1:$L$40</oldFormula>
  </rdn>
  <rdn rId="0" localSheetId="5" customView="1" name="Z_744BB052_D863_41D2_951C_2AB325855A97_.wvu.PrintArea" hidden="1" oldHidden="1">
    <formula>'5'!$A$1:$L$37</formula>
    <oldFormula>'5'!$A$1:$L$37</oldFormula>
  </rdn>
  <rdn rId="0" localSheetId="6" customView="1" name="Z_744BB052_D863_41D2_951C_2AB325855A97_.wvu.PrintArea" hidden="1" oldHidden="1">
    <formula>'6'!$A$1:$L$37</formula>
    <oldFormula>'6'!$A$1:$L$37</oldFormula>
  </rdn>
  <rdn rId="0" localSheetId="7" customView="1" name="Z_744BB052_D863_41D2_951C_2AB325855A97_.wvu.PrintArea" hidden="1" oldHidden="1">
    <formula>'7'!$A$1:$L$39</formula>
    <oldFormula>'7'!$A$1:$L$39</oldFormula>
  </rdn>
  <rdn rId="0" localSheetId="8" customView="1" name="Z_744BB052_D863_41D2_951C_2AB325855A97_.wvu.PrintArea" hidden="1" oldHidden="1">
    <formula>'8'!$A$1:$L$32</formula>
    <oldFormula>'8'!$A$1:$L$32</oldFormula>
  </rdn>
  <rdn rId="0" localSheetId="9" customView="1" name="Z_744BB052_D863_41D2_951C_2AB325855A97_.wvu.PrintArea" hidden="1" oldHidden="1">
    <formula>'9'!$A$1:$L$46</formula>
    <oldFormula>'9'!$A$1:$L$46</oldFormula>
  </rdn>
  <rdn rId="0" localSheetId="9" customView="1" name="Z_744BB052_D863_41D2_951C_2AB325855A97_.wvu.FilterData" hidden="1" oldHidden="1">
    <formula>'9'!$A$6:$K$34</formula>
    <oldFormula>'9'!$A$6:$K$34</oldFormula>
  </rdn>
  <rdn rId="0" localSheetId="10" customView="1" name="Z_744BB052_D863_41D2_951C_2AB325855A97_.wvu.PrintArea" hidden="1" oldHidden="1">
    <formula>'10'!$A$1:$L$42</formula>
    <oldFormula>'10'!$A$1:$L$42</oldFormula>
  </rdn>
  <rdn rId="0" localSheetId="10" customView="1" name="Z_744BB052_D863_41D2_951C_2AB325855A97_.wvu.FilterData" hidden="1" oldHidden="1">
    <formula>'10'!$A$6:$K$28</formula>
    <oldFormula>'10'!$A$6:$K$28</oldFormula>
  </rdn>
  <rdn rId="0" localSheetId="11" customView="1" name="Z_744BB052_D863_41D2_951C_2AB325855A97_.wvu.PrintArea" hidden="1" oldHidden="1">
    <formula>'11'!$A$1:$J$40</formula>
    <oldFormula>'11'!$A$1:$J$40</oldFormula>
  </rdn>
  <rdn rId="0" localSheetId="12" customView="1" name="Z_744BB052_D863_41D2_951C_2AB325855A97_.wvu.PrintArea" hidden="1" oldHidden="1">
    <formula>'12'!$A$1:$L$36</formula>
    <oldFormula>'12'!$A$1:$L$36</oldFormula>
  </rdn>
  <rdn rId="0" localSheetId="13" customView="1" name="Z_744BB052_D863_41D2_951C_2AB325855A97_.wvu.PrintArea" hidden="1" oldHidden="1">
    <formula>'13'!$A$1:$L$38</formula>
    <oldFormula>'13'!$A$1:$L$38</oldFormula>
  </rdn>
  <rdn rId="0" localSheetId="14" customView="1" name="Z_744BB052_D863_41D2_951C_2AB325855A97_.wvu.PrintArea" hidden="1" oldHidden="1">
    <formula>'14'!$A$1:$J$38</formula>
    <oldFormula>'14'!$A$1:$J$38</oldFormula>
  </rdn>
  <rdn rId="0" localSheetId="15" customView="1" name="Z_744BB052_D863_41D2_951C_2AB325855A97_.wvu.PrintArea" hidden="1" oldHidden="1">
    <formula>'15'!$A$1:$L$38</formula>
    <oldFormula>'15'!$A$1:$L$38</oldFormula>
  </rdn>
  <rdn rId="0" localSheetId="16" customView="1" name="Z_744BB052_D863_41D2_951C_2AB325855A97_.wvu.PrintArea" hidden="1" oldHidden="1">
    <formula>'16'!$A$1:$L$33</formula>
    <oldFormula>'16'!$A$1:$L$33</oldFormula>
  </rdn>
  <rdn rId="0" localSheetId="17" customView="1" name="Z_744BB052_D863_41D2_951C_2AB325855A97_.wvu.PrintArea" hidden="1" oldHidden="1">
    <formula>'17'!$A$1:$L$35</formula>
    <oldFormula>'17'!$A$1:$L$35</oldFormula>
  </rdn>
  <rdn rId="0" localSheetId="18" customView="1" name="Z_744BB052_D863_41D2_951C_2AB325855A97_.wvu.PrintArea" hidden="1" oldHidden="1">
    <formula>'18'!$A$1:$L$38</formula>
    <oldFormula>'18'!$A$1:$L$38</oldFormula>
  </rdn>
  <rdn rId="0" localSheetId="19" customView="1" name="Z_744BB052_D863_41D2_951C_2AB325855A97_.wvu.PrintArea" hidden="1" oldHidden="1">
    <formula>'19'!$A$1:$L$38</formula>
    <oldFormula>'19'!$A$1:$L$38</oldFormula>
  </rdn>
  <rdn rId="0" localSheetId="20" customView="1" name="Z_744BB052_D863_41D2_951C_2AB325855A97_.wvu.PrintArea" hidden="1" oldHidden="1">
    <formula>'20'!$A$1:$J$31</formula>
    <oldFormula>'20'!$A$1:$J$31</oldFormula>
  </rdn>
  <rdn rId="0" localSheetId="21" customView="1" name="Z_744BB052_D863_41D2_951C_2AB325855A97_.wvu.PrintArea" hidden="1" oldHidden="1">
    <formula>'21'!$A$1:$L$33</formula>
    <oldFormula>'21'!$A$1:$L$33</oldFormula>
  </rdn>
  <rdn rId="0" localSheetId="22" customView="1" name="Z_744BB052_D863_41D2_951C_2AB325855A97_.wvu.PrintArea" hidden="1" oldHidden="1">
    <formula>'22'!$A$1:$L$40</formula>
    <oldFormula>'22'!$A$1:$L$40</oldFormula>
  </rdn>
  <rdn rId="0" localSheetId="23" customView="1" name="Z_744BB052_D863_41D2_951C_2AB325855A97_.wvu.PrintArea" hidden="1" oldHidden="1">
    <formula>'23'!$A$1:$J$41</formula>
    <oldFormula>'23'!$A$1:$J$41</oldFormula>
  </rdn>
  <rdn rId="0" localSheetId="24" customView="1" name="Z_744BB052_D863_41D2_951C_2AB325855A97_.wvu.PrintArea" hidden="1" oldHidden="1">
    <formula>'24'!$A$1:$J$38</formula>
    <oldFormula>'24'!$A$1:$J$38</oldFormula>
  </rdn>
  <rdn rId="0" localSheetId="25" customView="1" name="Z_744BB052_D863_41D2_951C_2AB325855A97_.wvu.PrintArea" hidden="1" oldHidden="1">
    <formula>'25'!$A$1:$L$34</formula>
    <oldFormula>'25'!$A$1:$L$34</oldFormula>
  </rdn>
  <rdn rId="0" localSheetId="26" customView="1" name="Z_744BB052_D863_41D2_951C_2AB325855A97_.wvu.PrintArea" hidden="1" oldHidden="1">
    <formula>'26'!$A$1:$L$33</formula>
    <oldFormula>'26'!$A$1:$L$33</oldFormula>
  </rdn>
  <rdn rId="0" localSheetId="27" customView="1" name="Z_744BB052_D863_41D2_951C_2AB325855A97_.wvu.PrintArea" hidden="1" oldHidden="1">
    <formula>'27'!$A$1:$K$31</formula>
    <oldFormula>'27'!$A$1:$K$31</oldFormula>
  </rdn>
  <rdn rId="0" localSheetId="28" customView="1" name="Z_744BB052_D863_41D2_951C_2AB325855A97_.wvu.PrintArea" hidden="1" oldHidden="1">
    <formula>'28'!$A$1:$K$32</formula>
    <oldFormula>'28'!$A$1:$K$32</oldFormula>
  </rdn>
  <rdn rId="0" localSheetId="29" customView="1" name="Z_744BB052_D863_41D2_951C_2AB325855A97_.wvu.PrintArea" hidden="1" oldHidden="1">
    <formula>'29'!$A$1:$J$38</formula>
    <oldFormula>'29'!$A$1:$J$38</oldFormula>
  </rdn>
  <rdn rId="0" localSheetId="30" customView="1" name="Z_744BB052_D863_41D2_951C_2AB325855A97_.wvu.PrintArea" hidden="1" oldHidden="1">
    <formula>'30'!$A$1:$K$41</formula>
    <oldFormula>'30'!$A$1:$K$41</oldFormula>
  </rdn>
  <rcv guid="{744BB052-D863-41D2-951C-2AB325855A97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9" sId="30" odxf="1" dxf="1">
    <nc r="B12" t="inlineStr">
      <is>
        <t>INFORMED</t>
      </is>
    </nc>
    <odxf>
      <fill>
        <patternFill>
          <bgColor theme="0"/>
        </patternFill>
      </fill>
    </odxf>
    <ndxf>
      <fill>
        <patternFill>
          <bgColor theme="9" tint="-0.249977111117893"/>
        </patternFill>
      </fill>
    </ndxf>
  </rcc>
  <rcc rId="410" sId="30">
    <oc r="F11">
      <v>2</v>
    </oc>
    <nc r="F11" t="inlineStr">
      <is>
        <t>PP2</t>
      </is>
    </nc>
  </rcc>
  <rcc rId="411" sId="30">
    <oc r="F12">
      <v>2</v>
    </oc>
    <nc r="F12" t="inlineStr">
      <is>
        <t>PP2</t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0" sqref="B21" start="0" length="0">
    <dxf>
      <fill>
        <patternFill>
          <bgColor rgb="FFFF0000"/>
        </patternFill>
      </fill>
      <border outline="0">
        <top/>
      </border>
    </dxf>
  </rfmt>
  <rcc rId="412" sId="30">
    <nc r="B21" t="inlineStr">
      <is>
        <t>NA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3" sId="30" odxf="1" dxf="1">
    <nc r="B25" t="inlineStr">
      <is>
        <t>NA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  <rcc rId="414" sId="30" odxf="1" dxf="1">
    <nc r="B17" t="inlineStr">
      <is>
        <t>NA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  <rcc rId="415" sId="30" odxf="1" dxf="1">
    <nc r="B14" t="inlineStr">
      <is>
        <t>NA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  <rcc rId="416" sId="30" odxf="1" dxf="1">
    <nc r="B8" t="inlineStr">
      <is>
        <t>INFORMED</t>
      </is>
    </nc>
    <odxf>
      <fill>
        <patternFill>
          <bgColor theme="0"/>
        </patternFill>
      </fill>
    </odxf>
    <ndxf>
      <fill>
        <patternFill>
          <bgColor theme="9" tint="-0.249977111117893"/>
        </patternFill>
      </fill>
    </ndxf>
  </rcc>
  <rrc rId="417" sId="30" ref="B1:B1048576" action="insertCol"/>
  <rrc rId="418" sId="30" ref="B1:B1048576" action="deleteCol">
    <rfmt sheetId="30" xfDxf="1" sqref="B1:B1048576" start="0" length="0">
      <dxf>
        <font>
          <sz val="14"/>
        </font>
        <alignment horizontal="center" readingOrder="0"/>
      </dxf>
    </rfmt>
    <rfmt sheetId="30" sqref="B4" start="0" length="0">
      <dxf>
        <font>
          <sz val="13"/>
        </font>
      </dxf>
    </rfmt>
    <rfmt sheetId="30" sqref="B5" start="0" length="0">
      <dxf>
        <font>
          <b/>
          <sz val="18"/>
        </font>
        <alignment readingOrder="0"/>
        <border outline="0"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dxf>
    </rfmt>
    <rfmt sheetId="30" sqref="B6" start="0" length="0">
      <dxf>
        <fill>
          <patternFill patternType="solid">
            <bgColor theme="0"/>
          </patternFill>
        </fill>
        <border outline="0">
          <right style="thin">
            <color indexed="64"/>
          </right>
          <top style="thin">
            <color indexed="64"/>
          </top>
        </border>
      </dxf>
    </rfmt>
    <rfmt sheetId="30" sqref="B7" start="0" length="0">
      <dxf>
        <font>
          <b/>
          <sz val="14"/>
          <color theme="0"/>
        </font>
        <fill>
          <patternFill patternType="solid">
            <bgColor rgb="FFC0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30" sqref="B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30" sqref="B27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30" sqref="B1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30" sqref="B11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12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21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30" sqref="B2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30" sqref="B17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30" sqref="B1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30" sqref="B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1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19" start="0" length="0">
      <dxf>
        <font>
          <sz val="14"/>
          <color auto="1"/>
        </font>
        <fill>
          <patternFill patternType="solid">
            <bgColor rgb="FFC0000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30" sqref="B2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30" sqref="B2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2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1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1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22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20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28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29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0" sqref="B30" start="0" length="0">
      <dxf>
        <fill>
          <patternFill patternType="solid">
            <bgColor theme="0"/>
          </patternFill>
        </fill>
        <border outline="0">
          <top style="thin">
            <color indexed="64"/>
          </top>
          <bottom style="thin">
            <color indexed="64"/>
          </bottom>
        </border>
      </dxf>
    </rfmt>
    <rfmt sheetId="30" sqref="B38" start="0" length="0">
      <dxf>
        <font>
          <b/>
          <sz val="12"/>
        </font>
      </dxf>
    </rfmt>
    <rfmt sheetId="30" sqref="B39" start="0" length="0">
      <dxf>
        <font>
          <b/>
          <sz val="12"/>
        </font>
      </dxf>
    </rfmt>
    <rfmt sheetId="30" sqref="B40" start="0" length="0">
      <dxf>
        <font>
          <b/>
          <sz val="14"/>
        </font>
      </dxf>
    </rfmt>
    <rfmt sheetId="30" sqref="B41" start="0" length="0">
      <dxf>
        <font>
          <sz val="11"/>
          <color theme="1"/>
          <name val="Calibri"/>
          <scheme val="minor"/>
        </font>
      </dxf>
    </rfmt>
    <rfmt sheetId="30" sqref="B42" start="0" length="0">
      <dxf>
        <font>
          <sz val="10"/>
        </font>
      </dxf>
    </rfmt>
  </rrc>
  <rrc rId="419" sId="30" ref="C1:C1048576" action="insertCol"/>
  <rfmt sheetId="30" sqref="C9 C27 C15 C11 C12 C21 C25 C17 C14 C8">
    <dxf>
      <fill>
        <patternFill patternType="none">
          <bgColor auto="1"/>
        </patternFill>
      </fill>
    </dxf>
  </rfmt>
  <rfmt sheetId="30" sqref="B18" start="0" length="0">
    <dxf>
      <fill>
        <patternFill>
          <bgColor rgb="FFFF0000"/>
        </patternFill>
      </fill>
      <border outline="0">
        <top/>
      </border>
    </dxf>
  </rfmt>
  <rcc rId="420" sId="30">
    <nc r="B18" t="inlineStr">
      <is>
        <t>NA</t>
      </is>
    </nc>
  </rcc>
  <rcc rId="421" sId="30" odxf="1" dxf="1">
    <nc r="B26" t="inlineStr">
      <is>
        <t>NA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fmt sheetId="30" sqref="B24" start="0" length="0">
    <dxf>
      <fill>
        <patternFill>
          <bgColor rgb="FFFF0000"/>
        </patternFill>
      </fill>
      <border outline="0">
        <top/>
      </border>
    </dxf>
  </rfmt>
  <rcc rId="422" sId="30">
    <nc r="B24" t="inlineStr">
      <is>
        <t>NA</t>
      </is>
    </nc>
  </rcc>
  <rfmt sheetId="30" sqref="B23" start="0" length="0">
    <dxf>
      <fill>
        <patternFill>
          <bgColor rgb="FFFF0000"/>
        </patternFill>
      </fill>
      <border outline="0">
        <top/>
      </border>
    </dxf>
  </rfmt>
  <rcc rId="423" sId="30" odxf="1" dxf="1">
    <nc r="B10" t="inlineStr">
      <is>
        <t>NA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  <rcc rId="424" sId="30" odxf="1" dxf="1">
    <nc r="B23" t="inlineStr">
      <is>
        <t>INFORMED</t>
      </is>
    </nc>
    <ndxf>
      <fill>
        <patternFill>
          <bgColor theme="9" tint="-0.249977111117893"/>
        </patternFill>
      </fill>
      <border outline="0">
        <top style="thin">
          <color indexed="64"/>
        </top>
      </border>
    </ndxf>
  </rcc>
  <rcv guid="{744BB052-D863-41D2-951C-2AB325855A97}" action="delete"/>
  <rdn rId="0" localSheetId="1" customView="1" name="Z_744BB052_D863_41D2_951C_2AB325855A97_.wvu.PrintArea" hidden="1" oldHidden="1">
    <formula>'1'!$A$1:$L$39</formula>
    <oldFormula>'1'!$A$1:$L$39</oldFormula>
  </rdn>
  <rdn rId="0" localSheetId="2" customView="1" name="Z_744BB052_D863_41D2_951C_2AB325855A97_.wvu.PrintArea" hidden="1" oldHidden="1">
    <formula>'2'!$A$1:$L$38</formula>
    <oldFormula>'2'!$A$1:$L$38</oldFormula>
  </rdn>
  <rdn rId="0" localSheetId="3" customView="1" name="Z_744BB052_D863_41D2_951C_2AB325855A97_.wvu.PrintArea" hidden="1" oldHidden="1">
    <formula>'3'!$A$1:$L$32</formula>
    <oldFormula>'3'!$A$1:$L$32</oldFormula>
  </rdn>
  <rdn rId="0" localSheetId="4" customView="1" name="Z_744BB052_D863_41D2_951C_2AB325855A97_.wvu.PrintArea" hidden="1" oldHidden="1">
    <formula>'4'!$A$1:$L$40</formula>
    <oldFormula>'4'!$A$1:$L$40</oldFormula>
  </rdn>
  <rdn rId="0" localSheetId="5" customView="1" name="Z_744BB052_D863_41D2_951C_2AB325855A97_.wvu.PrintArea" hidden="1" oldHidden="1">
    <formula>'5'!$A$1:$L$37</formula>
    <oldFormula>'5'!$A$1:$L$37</oldFormula>
  </rdn>
  <rdn rId="0" localSheetId="6" customView="1" name="Z_744BB052_D863_41D2_951C_2AB325855A97_.wvu.PrintArea" hidden="1" oldHidden="1">
    <formula>'6'!$A$1:$L$37</formula>
    <oldFormula>'6'!$A$1:$L$37</oldFormula>
  </rdn>
  <rdn rId="0" localSheetId="7" customView="1" name="Z_744BB052_D863_41D2_951C_2AB325855A97_.wvu.PrintArea" hidden="1" oldHidden="1">
    <formula>'7'!$A$1:$L$39</formula>
    <oldFormula>'7'!$A$1:$L$39</oldFormula>
  </rdn>
  <rdn rId="0" localSheetId="8" customView="1" name="Z_744BB052_D863_41D2_951C_2AB325855A97_.wvu.PrintArea" hidden="1" oldHidden="1">
    <formula>'8'!$A$1:$L$32</formula>
    <oldFormula>'8'!$A$1:$L$32</oldFormula>
  </rdn>
  <rdn rId="0" localSheetId="9" customView="1" name="Z_744BB052_D863_41D2_951C_2AB325855A97_.wvu.PrintArea" hidden="1" oldHidden="1">
    <formula>'9'!$A$1:$L$46</formula>
    <oldFormula>'9'!$A$1:$L$46</oldFormula>
  </rdn>
  <rdn rId="0" localSheetId="9" customView="1" name="Z_744BB052_D863_41D2_951C_2AB325855A97_.wvu.FilterData" hidden="1" oldHidden="1">
    <formula>'9'!$A$6:$K$34</formula>
    <oldFormula>'9'!$A$6:$K$34</oldFormula>
  </rdn>
  <rdn rId="0" localSheetId="10" customView="1" name="Z_744BB052_D863_41D2_951C_2AB325855A97_.wvu.PrintArea" hidden="1" oldHidden="1">
    <formula>'10'!$A$1:$L$42</formula>
    <oldFormula>'10'!$A$1:$L$42</oldFormula>
  </rdn>
  <rdn rId="0" localSheetId="10" customView="1" name="Z_744BB052_D863_41D2_951C_2AB325855A97_.wvu.FilterData" hidden="1" oldHidden="1">
    <formula>'10'!$A$6:$K$28</formula>
    <oldFormula>'10'!$A$6:$K$28</oldFormula>
  </rdn>
  <rdn rId="0" localSheetId="11" customView="1" name="Z_744BB052_D863_41D2_951C_2AB325855A97_.wvu.PrintArea" hidden="1" oldHidden="1">
    <formula>'11'!$A$1:$J$40</formula>
    <oldFormula>'11'!$A$1:$J$40</oldFormula>
  </rdn>
  <rdn rId="0" localSheetId="12" customView="1" name="Z_744BB052_D863_41D2_951C_2AB325855A97_.wvu.PrintArea" hidden="1" oldHidden="1">
    <formula>'12'!$A$1:$L$36</formula>
    <oldFormula>'12'!$A$1:$L$36</oldFormula>
  </rdn>
  <rdn rId="0" localSheetId="13" customView="1" name="Z_744BB052_D863_41D2_951C_2AB325855A97_.wvu.PrintArea" hidden="1" oldHidden="1">
    <formula>'13'!$A$1:$L$38</formula>
    <oldFormula>'13'!$A$1:$L$38</oldFormula>
  </rdn>
  <rdn rId="0" localSheetId="14" customView="1" name="Z_744BB052_D863_41D2_951C_2AB325855A97_.wvu.PrintArea" hidden="1" oldHidden="1">
    <formula>'14'!$A$1:$J$38</formula>
    <oldFormula>'14'!$A$1:$J$38</oldFormula>
  </rdn>
  <rdn rId="0" localSheetId="15" customView="1" name="Z_744BB052_D863_41D2_951C_2AB325855A97_.wvu.PrintArea" hidden="1" oldHidden="1">
    <formula>'15'!$A$1:$L$38</formula>
    <oldFormula>'15'!$A$1:$L$38</oldFormula>
  </rdn>
  <rdn rId="0" localSheetId="16" customView="1" name="Z_744BB052_D863_41D2_951C_2AB325855A97_.wvu.PrintArea" hidden="1" oldHidden="1">
    <formula>'16'!$A$1:$L$33</formula>
    <oldFormula>'16'!$A$1:$L$33</oldFormula>
  </rdn>
  <rdn rId="0" localSheetId="17" customView="1" name="Z_744BB052_D863_41D2_951C_2AB325855A97_.wvu.PrintArea" hidden="1" oldHidden="1">
    <formula>'17'!$A$1:$L$35</formula>
    <oldFormula>'17'!$A$1:$L$35</oldFormula>
  </rdn>
  <rdn rId="0" localSheetId="18" customView="1" name="Z_744BB052_D863_41D2_951C_2AB325855A97_.wvu.PrintArea" hidden="1" oldHidden="1">
    <formula>'18'!$A$1:$L$38</formula>
    <oldFormula>'18'!$A$1:$L$38</oldFormula>
  </rdn>
  <rdn rId="0" localSheetId="19" customView="1" name="Z_744BB052_D863_41D2_951C_2AB325855A97_.wvu.PrintArea" hidden="1" oldHidden="1">
    <formula>'19'!$A$1:$L$38</formula>
    <oldFormula>'19'!$A$1:$L$38</oldFormula>
  </rdn>
  <rdn rId="0" localSheetId="20" customView="1" name="Z_744BB052_D863_41D2_951C_2AB325855A97_.wvu.PrintArea" hidden="1" oldHidden="1">
    <formula>'20'!$A$1:$J$31</formula>
    <oldFormula>'20'!$A$1:$J$31</oldFormula>
  </rdn>
  <rdn rId="0" localSheetId="21" customView="1" name="Z_744BB052_D863_41D2_951C_2AB325855A97_.wvu.PrintArea" hidden="1" oldHidden="1">
    <formula>'21'!$A$1:$L$33</formula>
    <oldFormula>'21'!$A$1:$L$33</oldFormula>
  </rdn>
  <rdn rId="0" localSheetId="22" customView="1" name="Z_744BB052_D863_41D2_951C_2AB325855A97_.wvu.PrintArea" hidden="1" oldHidden="1">
    <formula>'22'!$A$1:$L$40</formula>
    <oldFormula>'22'!$A$1:$L$40</oldFormula>
  </rdn>
  <rdn rId="0" localSheetId="23" customView="1" name="Z_744BB052_D863_41D2_951C_2AB325855A97_.wvu.PrintArea" hidden="1" oldHidden="1">
    <formula>'23'!$A$1:$J$41</formula>
    <oldFormula>'23'!$A$1:$J$41</oldFormula>
  </rdn>
  <rdn rId="0" localSheetId="24" customView="1" name="Z_744BB052_D863_41D2_951C_2AB325855A97_.wvu.PrintArea" hidden="1" oldHidden="1">
    <formula>'24'!$A$1:$J$38</formula>
    <oldFormula>'24'!$A$1:$J$38</oldFormula>
  </rdn>
  <rdn rId="0" localSheetId="25" customView="1" name="Z_744BB052_D863_41D2_951C_2AB325855A97_.wvu.PrintArea" hidden="1" oldHidden="1">
    <formula>'25'!$A$1:$L$34</formula>
    <oldFormula>'25'!$A$1:$L$34</oldFormula>
  </rdn>
  <rdn rId="0" localSheetId="26" customView="1" name="Z_744BB052_D863_41D2_951C_2AB325855A97_.wvu.PrintArea" hidden="1" oldHidden="1">
    <formula>'26'!$A$1:$L$33</formula>
    <oldFormula>'26'!$A$1:$L$33</oldFormula>
  </rdn>
  <rdn rId="0" localSheetId="27" customView="1" name="Z_744BB052_D863_41D2_951C_2AB325855A97_.wvu.PrintArea" hidden="1" oldHidden="1">
    <formula>'27'!$A$1:$K$31</formula>
    <oldFormula>'27'!$A$1:$K$31</oldFormula>
  </rdn>
  <rdn rId="0" localSheetId="28" customView="1" name="Z_744BB052_D863_41D2_951C_2AB325855A97_.wvu.PrintArea" hidden="1" oldHidden="1">
    <formula>'28'!$A$1:$K$32</formula>
    <oldFormula>'28'!$A$1:$K$32</oldFormula>
  </rdn>
  <rdn rId="0" localSheetId="29" customView="1" name="Z_744BB052_D863_41D2_951C_2AB325855A97_.wvu.PrintArea" hidden="1" oldHidden="1">
    <formula>'29'!$A$1:$J$38</formula>
    <oldFormula>'29'!$A$1:$J$38</oldFormula>
  </rdn>
  <rdn rId="0" localSheetId="30" customView="1" name="Z_744BB052_D863_41D2_951C_2AB325855A97_.wvu.PrintArea" hidden="1" oldHidden="1">
    <formula>'30'!$A$1:$L$41</formula>
    <oldFormula>'30'!$A$1:$L$41</oldFormula>
  </rdn>
  <rcv guid="{744BB052-D863-41D2-951C-2AB325855A97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7" sId="30" odxf="1" dxf="1">
    <oc r="B18" t="inlineStr">
      <is>
        <t>NA</t>
      </is>
    </oc>
    <nc r="B18" t="inlineStr">
      <is>
        <t>INFORMED</t>
      </is>
    </nc>
    <odxf>
      <fill>
        <patternFill>
          <bgColor rgb="FFFF0000"/>
        </patternFill>
      </fill>
      <border outline="0">
        <top/>
      </border>
    </odxf>
    <ndxf>
      <fill>
        <patternFill>
          <bgColor theme="9" tint="-0.249977111117893"/>
        </patternFill>
      </fill>
      <border outline="0">
        <top style="thin">
          <color indexed="64"/>
        </top>
      </border>
    </ndxf>
  </rcc>
  <rcc rId="458" sId="30" odxf="1" dxf="1">
    <nc r="B13" t="inlineStr">
      <is>
        <t>NA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9" sId="30" odxf="1" dxf="1">
    <nc r="B22" t="inlineStr">
      <is>
        <t>NA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  <rcc rId="460" sId="30" odxf="1" dxf="1">
    <nc r="B20" t="inlineStr">
      <is>
        <t>NA</t>
      </is>
    </nc>
    <odxf>
      <fill>
        <patternFill>
          <bgColor theme="0"/>
        </patternFill>
      </fill>
      <border outline="0">
        <top style="thin">
          <color indexed="64"/>
        </top>
      </border>
    </odxf>
    <ndxf>
      <fill>
        <patternFill>
          <bgColor rgb="FFFF0000"/>
        </patternFill>
      </fill>
      <border outline="0">
        <top/>
      </border>
    </ndxf>
  </rcc>
  <rcc rId="461" sId="30">
    <oc r="D16">
      <v>868</v>
    </oc>
    <nc r="D16" t="inlineStr">
      <is>
        <t>868/886</t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0" sqref="B16" start="0" length="0">
    <dxf>
      <fill>
        <patternFill>
          <bgColor theme="9" tint="-0.249977111117893"/>
        </patternFill>
      </fill>
    </dxf>
  </rfmt>
  <rcc rId="462" sId="30">
    <nc r="B16" t="inlineStr">
      <is>
        <t>INFORMED</t>
      </is>
    </nc>
  </rcc>
  <rfmt sheetId="30" sqref="B28" start="0" length="0">
    <dxf>
      <fill>
        <patternFill>
          <bgColor rgb="FFFF0000"/>
        </patternFill>
      </fill>
      <border outline="0">
        <top/>
      </border>
    </dxf>
  </rfmt>
  <rcc rId="463" sId="30">
    <nc r="B28" t="inlineStr">
      <is>
        <t>NA</t>
      </is>
    </nc>
  </rcc>
  <rcc rId="464" sId="30" odxf="1" dxf="1">
    <nc r="B29" t="inlineStr">
      <is>
        <t>INFORMED</t>
      </is>
    </nc>
    <odxf>
      <fill>
        <patternFill>
          <bgColor theme="0"/>
        </patternFill>
      </fill>
    </odxf>
    <ndxf>
      <fill>
        <patternFill>
          <bgColor theme="9" tint="-0.249977111117893"/>
        </patternFill>
      </fill>
    </ndxf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65" sId="30" ref="B1:B1048576" action="insertCol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6" sId="30" odxf="1" dxf="1">
    <oc r="C28" t="inlineStr">
      <is>
        <t>NA</t>
      </is>
    </oc>
    <nc r="C28" t="inlineStr">
      <is>
        <t>INFORMED</t>
      </is>
    </nc>
    <odxf>
      <fill>
        <patternFill>
          <bgColor rgb="FFFF0000"/>
        </patternFill>
      </fill>
      <border outline="0">
        <top/>
      </border>
    </odxf>
    <ndxf>
      <fill>
        <patternFill>
          <bgColor theme="9" tint="-0.249977111117893"/>
        </patternFill>
      </fill>
      <border outline="0">
        <top style="thin">
          <color indexed="64"/>
        </top>
      </border>
    </ndxf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7" sId="30" odxf="1" dxf="1">
    <oc r="C20" t="inlineStr">
      <is>
        <t>NA</t>
      </is>
    </oc>
    <nc r="C20" t="inlineStr">
      <is>
        <t>INFORMED</t>
      </is>
    </nc>
    <odxf>
      <fill>
        <patternFill>
          <bgColor rgb="FFFF0000"/>
        </patternFill>
      </fill>
      <border outline="0">
        <top/>
      </border>
    </odxf>
    <ndxf>
      <fill>
        <patternFill>
          <bgColor theme="9" tint="-0.249977111117893"/>
        </patternFill>
      </fill>
      <border outline="0">
        <top style="thin">
          <color indexed="64"/>
        </top>
      </border>
    </ndxf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8" sId="30" odxf="1" dxf="1">
    <oc r="C14" t="inlineStr">
      <is>
        <t>NA</t>
      </is>
    </oc>
    <nc r="C14" t="inlineStr">
      <is>
        <t>INFORMED</t>
      </is>
    </nc>
    <odxf>
      <fill>
        <patternFill>
          <bgColor rgb="FFFF0000"/>
        </patternFill>
      </fill>
      <border outline="0">
        <top/>
      </border>
    </odxf>
    <ndxf>
      <fill>
        <patternFill>
          <bgColor theme="9" tint="-0.249977111117893"/>
        </patternFill>
      </fill>
      <border outline="0">
        <top style="thin">
          <color indexed="64"/>
        </top>
      </border>
    </ndxf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9" sId="30">
    <oc r="H14">
      <v>2</v>
    </oc>
    <nc r="H14" t="inlineStr">
      <is>
        <t>PP2</t>
      </is>
    </nc>
  </rcc>
  <rcc rId="470" sId="30">
    <oc r="H8">
      <v>2</v>
    </oc>
    <nc r="H8" t="inlineStr">
      <is>
        <t>PP2</t>
      </is>
    </nc>
  </rcc>
  <rcc rId="471" sId="30">
    <oc r="H18">
      <v>2</v>
    </oc>
    <nc r="H18" t="inlineStr">
      <is>
        <t>PP2</t>
      </is>
    </nc>
  </rcc>
  <rcc rId="472" sId="30">
    <oc r="H23">
      <v>2</v>
    </oc>
    <nc r="H23" t="inlineStr">
      <is>
        <t>PP2</t>
      </is>
    </nc>
  </rcc>
  <rcc rId="473" sId="30">
    <oc r="H20">
      <v>2</v>
    </oc>
    <nc r="H20" t="inlineStr">
      <is>
        <t>PP2</t>
      </is>
    </nc>
  </rcc>
  <rcc rId="474" sId="30">
    <oc r="H16">
      <v>2</v>
    </oc>
    <nc r="H16" t="inlineStr">
      <is>
        <t>PP2</t>
      </is>
    </nc>
  </rcc>
  <rcc rId="475" sId="30">
    <oc r="H28">
      <v>2</v>
    </oc>
    <nc r="H28" t="inlineStr">
      <is>
        <t>PP2</t>
      </is>
    </nc>
  </rcc>
  <rcc rId="476" sId="30">
    <oc r="H29">
      <v>2</v>
    </oc>
    <nc r="H29" t="inlineStr">
      <is>
        <t>PP2</t>
      </is>
    </nc>
  </rcc>
  <rcc rId="477" sId="30">
    <oc r="I16">
      <v>2</v>
    </oc>
    <nc r="I16" t="inlineStr">
      <is>
        <t>PP2</t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44BB052-D863-41D2-951C-2AB325855A97}" action="delete"/>
  <rdn rId="0" localSheetId="1" customView="1" name="Z_744BB052_D863_41D2_951C_2AB325855A97_.wvu.PrintArea" hidden="1" oldHidden="1">
    <formula>'1'!$A$1:$L$39</formula>
    <oldFormula>'1'!$A$1:$L$39</oldFormula>
  </rdn>
  <rdn rId="0" localSheetId="2" customView="1" name="Z_744BB052_D863_41D2_951C_2AB325855A97_.wvu.PrintArea" hidden="1" oldHidden="1">
    <formula>'2'!$A$1:$L$38</formula>
    <oldFormula>'2'!$A$1:$L$38</oldFormula>
  </rdn>
  <rdn rId="0" localSheetId="3" customView="1" name="Z_744BB052_D863_41D2_951C_2AB325855A97_.wvu.PrintArea" hidden="1" oldHidden="1">
    <formula>'3'!$A$1:$L$32</formula>
    <oldFormula>'3'!$A$1:$L$32</oldFormula>
  </rdn>
  <rdn rId="0" localSheetId="4" customView="1" name="Z_744BB052_D863_41D2_951C_2AB325855A97_.wvu.PrintArea" hidden="1" oldHidden="1">
    <formula>'4'!$A$1:$L$40</formula>
    <oldFormula>'4'!$A$1:$L$40</oldFormula>
  </rdn>
  <rdn rId="0" localSheetId="5" customView="1" name="Z_744BB052_D863_41D2_951C_2AB325855A97_.wvu.PrintArea" hidden="1" oldHidden="1">
    <formula>'5'!$A$1:$L$37</formula>
    <oldFormula>'5'!$A$1:$L$37</oldFormula>
  </rdn>
  <rdn rId="0" localSheetId="6" customView="1" name="Z_744BB052_D863_41D2_951C_2AB325855A97_.wvu.PrintArea" hidden="1" oldHidden="1">
    <formula>'6'!$A$1:$L$37</formula>
    <oldFormula>'6'!$A$1:$L$37</oldFormula>
  </rdn>
  <rdn rId="0" localSheetId="7" customView="1" name="Z_744BB052_D863_41D2_951C_2AB325855A97_.wvu.PrintArea" hidden="1" oldHidden="1">
    <formula>'7'!$A$1:$L$39</formula>
    <oldFormula>'7'!$A$1:$L$39</oldFormula>
  </rdn>
  <rdn rId="0" localSheetId="8" customView="1" name="Z_744BB052_D863_41D2_951C_2AB325855A97_.wvu.PrintArea" hidden="1" oldHidden="1">
    <formula>'8'!$A$1:$L$32</formula>
    <oldFormula>'8'!$A$1:$L$32</oldFormula>
  </rdn>
  <rdn rId="0" localSheetId="9" customView="1" name="Z_744BB052_D863_41D2_951C_2AB325855A97_.wvu.PrintArea" hidden="1" oldHidden="1">
    <formula>'9'!$A$1:$L$46</formula>
    <oldFormula>'9'!$A$1:$L$46</oldFormula>
  </rdn>
  <rdn rId="0" localSheetId="9" customView="1" name="Z_744BB052_D863_41D2_951C_2AB325855A97_.wvu.FilterData" hidden="1" oldHidden="1">
    <formula>'9'!$A$6:$K$34</formula>
    <oldFormula>'9'!$A$6:$K$34</oldFormula>
  </rdn>
  <rdn rId="0" localSheetId="10" customView="1" name="Z_744BB052_D863_41D2_951C_2AB325855A97_.wvu.PrintArea" hidden="1" oldHidden="1">
    <formula>'10'!$A$1:$L$42</formula>
    <oldFormula>'10'!$A$1:$L$42</oldFormula>
  </rdn>
  <rdn rId="0" localSheetId="10" customView="1" name="Z_744BB052_D863_41D2_951C_2AB325855A97_.wvu.FilterData" hidden="1" oldHidden="1">
    <formula>'10'!$A$6:$K$28</formula>
    <oldFormula>'10'!$A$6:$K$28</oldFormula>
  </rdn>
  <rdn rId="0" localSheetId="11" customView="1" name="Z_744BB052_D863_41D2_951C_2AB325855A97_.wvu.PrintArea" hidden="1" oldHidden="1">
    <formula>'11'!$A$1:$J$40</formula>
    <oldFormula>'11'!$A$1:$J$40</oldFormula>
  </rdn>
  <rdn rId="0" localSheetId="12" customView="1" name="Z_744BB052_D863_41D2_951C_2AB325855A97_.wvu.PrintArea" hidden="1" oldHidden="1">
    <formula>'12'!$A$1:$L$36</formula>
    <oldFormula>'12'!$A$1:$L$36</oldFormula>
  </rdn>
  <rdn rId="0" localSheetId="13" customView="1" name="Z_744BB052_D863_41D2_951C_2AB325855A97_.wvu.PrintArea" hidden="1" oldHidden="1">
    <formula>'13'!$A$1:$L$38</formula>
    <oldFormula>'13'!$A$1:$L$38</oldFormula>
  </rdn>
  <rdn rId="0" localSheetId="14" customView="1" name="Z_744BB052_D863_41D2_951C_2AB325855A97_.wvu.PrintArea" hidden="1" oldHidden="1">
    <formula>'14'!$A$1:$J$38</formula>
    <oldFormula>'14'!$A$1:$J$38</oldFormula>
  </rdn>
  <rdn rId="0" localSheetId="15" customView="1" name="Z_744BB052_D863_41D2_951C_2AB325855A97_.wvu.PrintArea" hidden="1" oldHidden="1">
    <formula>'15'!$A$1:$L$38</formula>
    <oldFormula>'15'!$A$1:$L$38</oldFormula>
  </rdn>
  <rdn rId="0" localSheetId="16" customView="1" name="Z_744BB052_D863_41D2_951C_2AB325855A97_.wvu.PrintArea" hidden="1" oldHidden="1">
    <formula>'16'!$A$1:$L$33</formula>
    <oldFormula>'16'!$A$1:$L$33</oldFormula>
  </rdn>
  <rdn rId="0" localSheetId="17" customView="1" name="Z_744BB052_D863_41D2_951C_2AB325855A97_.wvu.PrintArea" hidden="1" oldHidden="1">
    <formula>'17'!$A$1:$L$35</formula>
    <oldFormula>'17'!$A$1:$L$35</oldFormula>
  </rdn>
  <rdn rId="0" localSheetId="18" customView="1" name="Z_744BB052_D863_41D2_951C_2AB325855A97_.wvu.PrintArea" hidden="1" oldHidden="1">
    <formula>'18'!$A$1:$L$38</formula>
    <oldFormula>'18'!$A$1:$L$38</oldFormula>
  </rdn>
  <rdn rId="0" localSheetId="19" customView="1" name="Z_744BB052_D863_41D2_951C_2AB325855A97_.wvu.PrintArea" hidden="1" oldHidden="1">
    <formula>'19'!$A$1:$L$38</formula>
    <oldFormula>'19'!$A$1:$L$38</oldFormula>
  </rdn>
  <rdn rId="0" localSheetId="20" customView="1" name="Z_744BB052_D863_41D2_951C_2AB325855A97_.wvu.PrintArea" hidden="1" oldHidden="1">
    <formula>'20'!$A$1:$J$31</formula>
    <oldFormula>'20'!$A$1:$J$31</oldFormula>
  </rdn>
  <rdn rId="0" localSheetId="21" customView="1" name="Z_744BB052_D863_41D2_951C_2AB325855A97_.wvu.PrintArea" hidden="1" oldHidden="1">
    <formula>'21'!$A$1:$L$33</formula>
    <oldFormula>'21'!$A$1:$L$33</oldFormula>
  </rdn>
  <rdn rId="0" localSheetId="22" customView="1" name="Z_744BB052_D863_41D2_951C_2AB325855A97_.wvu.PrintArea" hidden="1" oldHidden="1">
    <formula>'22'!$A$1:$L$40</formula>
    <oldFormula>'22'!$A$1:$L$40</oldFormula>
  </rdn>
  <rdn rId="0" localSheetId="23" customView="1" name="Z_744BB052_D863_41D2_951C_2AB325855A97_.wvu.PrintArea" hidden="1" oldHidden="1">
    <formula>'23'!$A$1:$J$41</formula>
    <oldFormula>'23'!$A$1:$J$41</oldFormula>
  </rdn>
  <rdn rId="0" localSheetId="24" customView="1" name="Z_744BB052_D863_41D2_951C_2AB325855A97_.wvu.PrintArea" hidden="1" oldHidden="1">
    <formula>'24'!$A$1:$J$38</formula>
    <oldFormula>'24'!$A$1:$J$38</oldFormula>
  </rdn>
  <rdn rId="0" localSheetId="25" customView="1" name="Z_744BB052_D863_41D2_951C_2AB325855A97_.wvu.PrintArea" hidden="1" oldHidden="1">
    <formula>'25'!$A$1:$L$34</formula>
    <oldFormula>'25'!$A$1:$L$34</oldFormula>
  </rdn>
  <rdn rId="0" localSheetId="26" customView="1" name="Z_744BB052_D863_41D2_951C_2AB325855A97_.wvu.PrintArea" hidden="1" oldHidden="1">
    <formula>'26'!$A$1:$L$33</formula>
    <oldFormula>'26'!$A$1:$L$33</oldFormula>
  </rdn>
  <rdn rId="0" localSheetId="27" customView="1" name="Z_744BB052_D863_41D2_951C_2AB325855A97_.wvu.PrintArea" hidden="1" oldHidden="1">
    <formula>'27'!$A$1:$K$31</formula>
    <oldFormula>'27'!$A$1:$K$31</oldFormula>
  </rdn>
  <rdn rId="0" localSheetId="28" customView="1" name="Z_744BB052_D863_41D2_951C_2AB325855A97_.wvu.PrintArea" hidden="1" oldHidden="1">
    <formula>'28'!$A$1:$K$32</formula>
    <oldFormula>'28'!$A$1:$K$32</oldFormula>
  </rdn>
  <rdn rId="0" localSheetId="29" customView="1" name="Z_744BB052_D863_41D2_951C_2AB325855A97_.wvu.PrintArea" hidden="1" oldHidden="1">
    <formula>'29'!$A$1:$J$38</formula>
    <oldFormula>'29'!$A$1:$J$38</oldFormula>
  </rdn>
  <rdn rId="0" localSheetId="30" customView="1" name="Z_744BB052_D863_41D2_951C_2AB325855A97_.wvu.PrintArea" hidden="1" oldHidden="1">
    <formula>'30'!$A$1:$M$41</formula>
    <oldFormula>'30'!$A$1:$M$41</oldFormula>
  </rdn>
  <rcv guid="{744BB052-D863-41D2-951C-2AB325855A97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7" Type="http://schemas.openxmlformats.org/officeDocument/2006/relationships/drawing" Target="../drawings/drawing3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7" Type="http://schemas.openxmlformats.org/officeDocument/2006/relationships/drawing" Target="../drawings/drawing4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7" Type="http://schemas.openxmlformats.org/officeDocument/2006/relationships/drawing" Target="../drawings/drawing5.xml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6" Type="http://schemas.openxmlformats.org/officeDocument/2006/relationships/printerSettings" Target="../printerSettings/printerSettings30.bin"/><Relationship Id="rId5" Type="http://schemas.openxmlformats.org/officeDocument/2006/relationships/printerSettings" Target="../printerSettings/printerSettings29.bin"/><Relationship Id="rId4" Type="http://schemas.openxmlformats.org/officeDocument/2006/relationships/printerSettings" Target="../printerSettings/printerSettings28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7" Type="http://schemas.openxmlformats.org/officeDocument/2006/relationships/drawing" Target="../drawings/drawing6.xml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6" Type="http://schemas.openxmlformats.org/officeDocument/2006/relationships/printerSettings" Target="../printerSettings/printerSettings36.bin"/><Relationship Id="rId5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7" Type="http://schemas.openxmlformats.org/officeDocument/2006/relationships/drawing" Target="../drawings/drawing7.xml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6" Type="http://schemas.openxmlformats.org/officeDocument/2006/relationships/printerSettings" Target="../printerSettings/printerSettings42.bin"/><Relationship Id="rId5" Type="http://schemas.openxmlformats.org/officeDocument/2006/relationships/printerSettings" Target="../printerSettings/printerSettings41.bin"/><Relationship Id="rId4" Type="http://schemas.openxmlformats.org/officeDocument/2006/relationships/printerSettings" Target="../printerSettings/printerSettings40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7" Type="http://schemas.openxmlformats.org/officeDocument/2006/relationships/drawing" Target="../drawings/drawing8.xml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6" Type="http://schemas.openxmlformats.org/officeDocument/2006/relationships/printerSettings" Target="../printerSettings/printerSettings48.bin"/><Relationship Id="rId5" Type="http://schemas.openxmlformats.org/officeDocument/2006/relationships/printerSettings" Target="../printerSettings/printerSettings47.bin"/><Relationship Id="rId4" Type="http://schemas.openxmlformats.org/officeDocument/2006/relationships/printerSettings" Target="../printerSettings/printerSettings4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7" Type="http://schemas.openxmlformats.org/officeDocument/2006/relationships/drawing" Target="../drawings/drawing9.xml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6" Type="http://schemas.openxmlformats.org/officeDocument/2006/relationships/printerSettings" Target="../printerSettings/printerSettings54.bin"/><Relationship Id="rId5" Type="http://schemas.openxmlformats.org/officeDocument/2006/relationships/printerSettings" Target="../printerSettings/printerSettings53.bin"/><Relationship Id="rId4" Type="http://schemas.openxmlformats.org/officeDocument/2006/relationships/printerSettings" Target="../printerSettings/printerSettings5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7" Type="http://schemas.openxmlformats.org/officeDocument/2006/relationships/drawing" Target="../drawings/drawing10.xml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Relationship Id="rId6" Type="http://schemas.openxmlformats.org/officeDocument/2006/relationships/printerSettings" Target="../printerSettings/printerSettings60.bin"/><Relationship Id="rId5" Type="http://schemas.openxmlformats.org/officeDocument/2006/relationships/printerSettings" Target="../printerSettings/printerSettings59.bin"/><Relationship Id="rId4" Type="http://schemas.openxmlformats.org/officeDocument/2006/relationships/printerSettings" Target="../printerSettings/printerSettings5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7" Type="http://schemas.openxmlformats.org/officeDocument/2006/relationships/drawing" Target="../drawings/drawing11.xml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6" Type="http://schemas.openxmlformats.org/officeDocument/2006/relationships/printerSettings" Target="../printerSettings/printerSettings66.bin"/><Relationship Id="rId5" Type="http://schemas.openxmlformats.org/officeDocument/2006/relationships/printerSettings" Target="../printerSettings/printerSettings65.bin"/><Relationship Id="rId4" Type="http://schemas.openxmlformats.org/officeDocument/2006/relationships/printerSettings" Target="../printerSettings/printerSettings6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.bin"/><Relationship Id="rId7" Type="http://schemas.openxmlformats.org/officeDocument/2006/relationships/drawing" Target="../drawings/drawing12.xml"/><Relationship Id="rId2" Type="http://schemas.openxmlformats.org/officeDocument/2006/relationships/printerSettings" Target="../printerSettings/printerSettings68.bin"/><Relationship Id="rId1" Type="http://schemas.openxmlformats.org/officeDocument/2006/relationships/printerSettings" Target="../printerSettings/printerSettings67.bin"/><Relationship Id="rId6" Type="http://schemas.openxmlformats.org/officeDocument/2006/relationships/printerSettings" Target="../printerSettings/printerSettings72.bin"/><Relationship Id="rId5" Type="http://schemas.openxmlformats.org/officeDocument/2006/relationships/printerSettings" Target="../printerSettings/printerSettings71.bin"/><Relationship Id="rId4" Type="http://schemas.openxmlformats.org/officeDocument/2006/relationships/printerSettings" Target="../printerSettings/printerSettings7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.bin"/><Relationship Id="rId7" Type="http://schemas.openxmlformats.org/officeDocument/2006/relationships/drawing" Target="../drawings/drawing13.xml"/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Relationship Id="rId6" Type="http://schemas.openxmlformats.org/officeDocument/2006/relationships/printerSettings" Target="../printerSettings/printerSettings78.bin"/><Relationship Id="rId5" Type="http://schemas.openxmlformats.org/officeDocument/2006/relationships/printerSettings" Target="../printerSettings/printerSettings77.bin"/><Relationship Id="rId4" Type="http://schemas.openxmlformats.org/officeDocument/2006/relationships/printerSettings" Target="../printerSettings/printerSettings7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1.bin"/><Relationship Id="rId7" Type="http://schemas.openxmlformats.org/officeDocument/2006/relationships/drawing" Target="../drawings/drawing14.xml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Relationship Id="rId6" Type="http://schemas.openxmlformats.org/officeDocument/2006/relationships/printerSettings" Target="../printerSettings/printerSettings84.bin"/><Relationship Id="rId5" Type="http://schemas.openxmlformats.org/officeDocument/2006/relationships/printerSettings" Target="../printerSettings/printerSettings83.bin"/><Relationship Id="rId4" Type="http://schemas.openxmlformats.org/officeDocument/2006/relationships/printerSettings" Target="../printerSettings/printerSettings8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7.bin"/><Relationship Id="rId7" Type="http://schemas.openxmlformats.org/officeDocument/2006/relationships/drawing" Target="../drawings/drawing15.xml"/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Relationship Id="rId6" Type="http://schemas.openxmlformats.org/officeDocument/2006/relationships/printerSettings" Target="../printerSettings/printerSettings90.bin"/><Relationship Id="rId5" Type="http://schemas.openxmlformats.org/officeDocument/2006/relationships/printerSettings" Target="../printerSettings/printerSettings89.bin"/><Relationship Id="rId4" Type="http://schemas.openxmlformats.org/officeDocument/2006/relationships/printerSettings" Target="../printerSettings/printerSettings8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3.bin"/><Relationship Id="rId7" Type="http://schemas.openxmlformats.org/officeDocument/2006/relationships/drawing" Target="../drawings/drawing16.xml"/><Relationship Id="rId2" Type="http://schemas.openxmlformats.org/officeDocument/2006/relationships/printerSettings" Target="../printerSettings/printerSettings92.bin"/><Relationship Id="rId1" Type="http://schemas.openxmlformats.org/officeDocument/2006/relationships/printerSettings" Target="../printerSettings/printerSettings91.bin"/><Relationship Id="rId6" Type="http://schemas.openxmlformats.org/officeDocument/2006/relationships/printerSettings" Target="../printerSettings/printerSettings96.bin"/><Relationship Id="rId5" Type="http://schemas.openxmlformats.org/officeDocument/2006/relationships/printerSettings" Target="../printerSettings/printerSettings95.bin"/><Relationship Id="rId4" Type="http://schemas.openxmlformats.org/officeDocument/2006/relationships/printerSettings" Target="../printerSettings/printerSettings9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9.bin"/><Relationship Id="rId7" Type="http://schemas.openxmlformats.org/officeDocument/2006/relationships/drawing" Target="../drawings/drawing17.xml"/><Relationship Id="rId2" Type="http://schemas.openxmlformats.org/officeDocument/2006/relationships/printerSettings" Target="../printerSettings/printerSettings98.bin"/><Relationship Id="rId1" Type="http://schemas.openxmlformats.org/officeDocument/2006/relationships/printerSettings" Target="../printerSettings/printerSettings97.bin"/><Relationship Id="rId6" Type="http://schemas.openxmlformats.org/officeDocument/2006/relationships/printerSettings" Target="../printerSettings/printerSettings102.bin"/><Relationship Id="rId5" Type="http://schemas.openxmlformats.org/officeDocument/2006/relationships/printerSettings" Target="../printerSettings/printerSettings101.bin"/><Relationship Id="rId4" Type="http://schemas.openxmlformats.org/officeDocument/2006/relationships/printerSettings" Target="../printerSettings/printerSettings10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5.bin"/><Relationship Id="rId7" Type="http://schemas.openxmlformats.org/officeDocument/2006/relationships/drawing" Target="../drawings/drawing18.xml"/><Relationship Id="rId2" Type="http://schemas.openxmlformats.org/officeDocument/2006/relationships/printerSettings" Target="../printerSettings/printerSettings104.bin"/><Relationship Id="rId1" Type="http://schemas.openxmlformats.org/officeDocument/2006/relationships/printerSettings" Target="../printerSettings/printerSettings103.bin"/><Relationship Id="rId6" Type="http://schemas.openxmlformats.org/officeDocument/2006/relationships/printerSettings" Target="../printerSettings/printerSettings108.bin"/><Relationship Id="rId5" Type="http://schemas.openxmlformats.org/officeDocument/2006/relationships/printerSettings" Target="../printerSettings/printerSettings107.bin"/><Relationship Id="rId4" Type="http://schemas.openxmlformats.org/officeDocument/2006/relationships/printerSettings" Target="../printerSettings/printerSettings10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1.bin"/><Relationship Id="rId7" Type="http://schemas.openxmlformats.org/officeDocument/2006/relationships/drawing" Target="../drawings/drawing19.xml"/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Relationship Id="rId6" Type="http://schemas.openxmlformats.org/officeDocument/2006/relationships/printerSettings" Target="../printerSettings/printerSettings114.bin"/><Relationship Id="rId5" Type="http://schemas.openxmlformats.org/officeDocument/2006/relationships/printerSettings" Target="../printerSettings/printerSettings113.bin"/><Relationship Id="rId4" Type="http://schemas.openxmlformats.org/officeDocument/2006/relationships/printerSettings" Target="../printerSettings/printerSettings1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7.bin"/><Relationship Id="rId7" Type="http://schemas.openxmlformats.org/officeDocument/2006/relationships/drawing" Target="../drawings/drawing20.xml"/><Relationship Id="rId2" Type="http://schemas.openxmlformats.org/officeDocument/2006/relationships/printerSettings" Target="../printerSettings/printerSettings116.bin"/><Relationship Id="rId1" Type="http://schemas.openxmlformats.org/officeDocument/2006/relationships/printerSettings" Target="../printerSettings/printerSettings115.bin"/><Relationship Id="rId6" Type="http://schemas.openxmlformats.org/officeDocument/2006/relationships/printerSettings" Target="../printerSettings/printerSettings120.bin"/><Relationship Id="rId5" Type="http://schemas.openxmlformats.org/officeDocument/2006/relationships/printerSettings" Target="../printerSettings/printerSettings119.bin"/><Relationship Id="rId4" Type="http://schemas.openxmlformats.org/officeDocument/2006/relationships/printerSettings" Target="../printerSettings/printerSettings1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3.bin"/><Relationship Id="rId7" Type="http://schemas.openxmlformats.org/officeDocument/2006/relationships/drawing" Target="../drawings/drawing21.xml"/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Relationship Id="rId6" Type="http://schemas.openxmlformats.org/officeDocument/2006/relationships/printerSettings" Target="../printerSettings/printerSettings126.bin"/><Relationship Id="rId5" Type="http://schemas.openxmlformats.org/officeDocument/2006/relationships/printerSettings" Target="../printerSettings/printerSettings125.bin"/><Relationship Id="rId4" Type="http://schemas.openxmlformats.org/officeDocument/2006/relationships/printerSettings" Target="../printerSettings/printerSettings124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9.bin"/><Relationship Id="rId7" Type="http://schemas.openxmlformats.org/officeDocument/2006/relationships/drawing" Target="../drawings/drawing22.xml"/><Relationship Id="rId2" Type="http://schemas.openxmlformats.org/officeDocument/2006/relationships/printerSettings" Target="../printerSettings/printerSettings128.bin"/><Relationship Id="rId1" Type="http://schemas.openxmlformats.org/officeDocument/2006/relationships/printerSettings" Target="../printerSettings/printerSettings127.bin"/><Relationship Id="rId6" Type="http://schemas.openxmlformats.org/officeDocument/2006/relationships/printerSettings" Target="../printerSettings/printerSettings132.bin"/><Relationship Id="rId5" Type="http://schemas.openxmlformats.org/officeDocument/2006/relationships/printerSettings" Target="../printerSettings/printerSettings131.bin"/><Relationship Id="rId4" Type="http://schemas.openxmlformats.org/officeDocument/2006/relationships/printerSettings" Target="../printerSettings/printerSettings13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5.bin"/><Relationship Id="rId7" Type="http://schemas.openxmlformats.org/officeDocument/2006/relationships/drawing" Target="../drawings/drawing23.xml"/><Relationship Id="rId2" Type="http://schemas.openxmlformats.org/officeDocument/2006/relationships/printerSettings" Target="../printerSettings/printerSettings134.bin"/><Relationship Id="rId1" Type="http://schemas.openxmlformats.org/officeDocument/2006/relationships/printerSettings" Target="../printerSettings/printerSettings133.bin"/><Relationship Id="rId6" Type="http://schemas.openxmlformats.org/officeDocument/2006/relationships/printerSettings" Target="../printerSettings/printerSettings138.bin"/><Relationship Id="rId5" Type="http://schemas.openxmlformats.org/officeDocument/2006/relationships/printerSettings" Target="../printerSettings/printerSettings137.bin"/><Relationship Id="rId4" Type="http://schemas.openxmlformats.org/officeDocument/2006/relationships/printerSettings" Target="../printerSettings/printerSettings13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1.bin"/><Relationship Id="rId7" Type="http://schemas.openxmlformats.org/officeDocument/2006/relationships/drawing" Target="../drawings/drawing24.xml"/><Relationship Id="rId2" Type="http://schemas.openxmlformats.org/officeDocument/2006/relationships/printerSettings" Target="../printerSettings/printerSettings140.bin"/><Relationship Id="rId1" Type="http://schemas.openxmlformats.org/officeDocument/2006/relationships/printerSettings" Target="../printerSettings/printerSettings139.bin"/><Relationship Id="rId6" Type="http://schemas.openxmlformats.org/officeDocument/2006/relationships/printerSettings" Target="../printerSettings/printerSettings144.bin"/><Relationship Id="rId5" Type="http://schemas.openxmlformats.org/officeDocument/2006/relationships/printerSettings" Target="../printerSettings/printerSettings143.bin"/><Relationship Id="rId4" Type="http://schemas.openxmlformats.org/officeDocument/2006/relationships/printerSettings" Target="../printerSettings/printerSettings14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7.bin"/><Relationship Id="rId7" Type="http://schemas.openxmlformats.org/officeDocument/2006/relationships/drawing" Target="../drawings/drawing25.xml"/><Relationship Id="rId2" Type="http://schemas.openxmlformats.org/officeDocument/2006/relationships/printerSettings" Target="../printerSettings/printerSettings146.bin"/><Relationship Id="rId1" Type="http://schemas.openxmlformats.org/officeDocument/2006/relationships/printerSettings" Target="../printerSettings/printerSettings145.bin"/><Relationship Id="rId6" Type="http://schemas.openxmlformats.org/officeDocument/2006/relationships/printerSettings" Target="../printerSettings/printerSettings150.bin"/><Relationship Id="rId5" Type="http://schemas.openxmlformats.org/officeDocument/2006/relationships/printerSettings" Target="../printerSettings/printerSettings149.bin"/><Relationship Id="rId4" Type="http://schemas.openxmlformats.org/officeDocument/2006/relationships/printerSettings" Target="../printerSettings/printerSettings14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3.bin"/><Relationship Id="rId7" Type="http://schemas.openxmlformats.org/officeDocument/2006/relationships/drawing" Target="../drawings/drawing26.xml"/><Relationship Id="rId2" Type="http://schemas.openxmlformats.org/officeDocument/2006/relationships/printerSettings" Target="../printerSettings/printerSettings152.bin"/><Relationship Id="rId1" Type="http://schemas.openxmlformats.org/officeDocument/2006/relationships/printerSettings" Target="../printerSettings/printerSettings151.bin"/><Relationship Id="rId6" Type="http://schemas.openxmlformats.org/officeDocument/2006/relationships/printerSettings" Target="../printerSettings/printerSettings156.bin"/><Relationship Id="rId5" Type="http://schemas.openxmlformats.org/officeDocument/2006/relationships/printerSettings" Target="../printerSettings/printerSettings155.bin"/><Relationship Id="rId4" Type="http://schemas.openxmlformats.org/officeDocument/2006/relationships/printerSettings" Target="../printerSettings/printerSettings15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9.bin"/><Relationship Id="rId7" Type="http://schemas.openxmlformats.org/officeDocument/2006/relationships/drawing" Target="../drawings/drawing27.xml"/><Relationship Id="rId2" Type="http://schemas.openxmlformats.org/officeDocument/2006/relationships/printerSettings" Target="../printerSettings/printerSettings158.bin"/><Relationship Id="rId1" Type="http://schemas.openxmlformats.org/officeDocument/2006/relationships/printerSettings" Target="../printerSettings/printerSettings157.bin"/><Relationship Id="rId6" Type="http://schemas.openxmlformats.org/officeDocument/2006/relationships/printerSettings" Target="../printerSettings/printerSettings162.bin"/><Relationship Id="rId5" Type="http://schemas.openxmlformats.org/officeDocument/2006/relationships/printerSettings" Target="../printerSettings/printerSettings161.bin"/><Relationship Id="rId4" Type="http://schemas.openxmlformats.org/officeDocument/2006/relationships/printerSettings" Target="../printerSettings/printerSettings16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5.bin"/><Relationship Id="rId7" Type="http://schemas.openxmlformats.org/officeDocument/2006/relationships/drawing" Target="../drawings/drawing28.xml"/><Relationship Id="rId2" Type="http://schemas.openxmlformats.org/officeDocument/2006/relationships/printerSettings" Target="../printerSettings/printerSettings164.bin"/><Relationship Id="rId1" Type="http://schemas.openxmlformats.org/officeDocument/2006/relationships/printerSettings" Target="../printerSettings/printerSettings163.bin"/><Relationship Id="rId6" Type="http://schemas.openxmlformats.org/officeDocument/2006/relationships/printerSettings" Target="../printerSettings/printerSettings168.bin"/><Relationship Id="rId5" Type="http://schemas.openxmlformats.org/officeDocument/2006/relationships/printerSettings" Target="../printerSettings/printerSettings167.bin"/><Relationship Id="rId4" Type="http://schemas.openxmlformats.org/officeDocument/2006/relationships/printerSettings" Target="../printerSettings/printerSettings16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1.bin"/><Relationship Id="rId7" Type="http://schemas.openxmlformats.org/officeDocument/2006/relationships/drawing" Target="../drawings/drawing29.xml"/><Relationship Id="rId2" Type="http://schemas.openxmlformats.org/officeDocument/2006/relationships/printerSettings" Target="../printerSettings/printerSettings170.bin"/><Relationship Id="rId1" Type="http://schemas.openxmlformats.org/officeDocument/2006/relationships/printerSettings" Target="../printerSettings/printerSettings169.bin"/><Relationship Id="rId6" Type="http://schemas.openxmlformats.org/officeDocument/2006/relationships/printerSettings" Target="../printerSettings/printerSettings174.bin"/><Relationship Id="rId5" Type="http://schemas.openxmlformats.org/officeDocument/2006/relationships/printerSettings" Target="../printerSettings/printerSettings173.bin"/><Relationship Id="rId4" Type="http://schemas.openxmlformats.org/officeDocument/2006/relationships/printerSettings" Target="../printerSettings/printerSettings172.bin"/></Relationships>
</file>

<file path=xl/worksheets/_rels/sheet30.xml.rels><?xml version="1.0" encoding="UTF-8" standalone="yes"?>
<Relationships xmlns="http://schemas.openxmlformats.org/package/2006/relationships"><Relationship Id="rId8" Type="http://schemas.microsoft.com/office/2006/relationships/wsSortMap" Target="wsSortMap1.xml"/><Relationship Id="rId3" Type="http://schemas.openxmlformats.org/officeDocument/2006/relationships/printerSettings" Target="../printerSettings/printerSettings177.bin"/><Relationship Id="rId7" Type="http://schemas.openxmlformats.org/officeDocument/2006/relationships/drawing" Target="../drawings/drawing30.xml"/><Relationship Id="rId2" Type="http://schemas.openxmlformats.org/officeDocument/2006/relationships/printerSettings" Target="../printerSettings/printerSettings176.bin"/><Relationship Id="rId1" Type="http://schemas.openxmlformats.org/officeDocument/2006/relationships/printerSettings" Target="../printerSettings/printerSettings175.bin"/><Relationship Id="rId6" Type="http://schemas.openxmlformats.org/officeDocument/2006/relationships/printerSettings" Target="../printerSettings/printerSettings180.bin"/><Relationship Id="rId5" Type="http://schemas.openxmlformats.org/officeDocument/2006/relationships/printerSettings" Target="../printerSettings/printerSettings179.bin"/><Relationship Id="rId4" Type="http://schemas.openxmlformats.org/officeDocument/2006/relationships/printerSettings" Target="../printerSettings/printerSettings1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71"/>
  <sheetViews>
    <sheetView zoomScaleNormal="100" zoomScaleSheetLayoutView="100" workbookViewId="0">
      <selection activeCell="E17" sqref="E17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5.554687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5" x14ac:dyDescent="0.35">
      <c r="E2" s="18" t="s">
        <v>0</v>
      </c>
      <c r="F2" s="32"/>
      <c r="G2" s="5"/>
      <c r="H2" s="5"/>
    </row>
    <row r="4" spans="1:15" s="1" customFormat="1" thickBot="1" x14ac:dyDescent="0.4">
      <c r="F4" s="33"/>
    </row>
    <row r="5" spans="1:15" s="2" customFormat="1" ht="24" thickBot="1" x14ac:dyDescent="0.5">
      <c r="A5" s="377" t="s">
        <v>15</v>
      </c>
      <c r="B5" s="378"/>
      <c r="C5" s="378"/>
      <c r="D5" s="378"/>
      <c r="E5" s="378"/>
      <c r="F5" s="378"/>
      <c r="G5" s="378"/>
      <c r="H5" s="378"/>
      <c r="I5" s="378"/>
      <c r="J5" s="6" t="s">
        <v>18</v>
      </c>
      <c r="K5" s="3" t="str">
        <f ca="1">CONCATENATE((MID(CELL("filename",K5),FIND("]",CELL("filename",K5))+1,255)),"/04/2026")</f>
        <v>1/04/2026</v>
      </c>
    </row>
    <row r="6" spans="1:15" ht="18.600000000000001" thickBot="1" x14ac:dyDescent="0.4">
      <c r="A6" s="63"/>
      <c r="B6" s="54"/>
      <c r="C6" s="54"/>
      <c r="D6" s="89" t="s">
        <v>1</v>
      </c>
      <c r="E6" s="89" t="s">
        <v>2</v>
      </c>
      <c r="F6" s="90" t="s">
        <v>21</v>
      </c>
      <c r="G6" s="89" t="s">
        <v>16</v>
      </c>
      <c r="H6" s="89" t="s">
        <v>17</v>
      </c>
      <c r="I6" s="89" t="s">
        <v>3</v>
      </c>
      <c r="J6" s="91" t="s">
        <v>20</v>
      </c>
      <c r="K6" s="92" t="s">
        <v>4</v>
      </c>
    </row>
    <row r="7" spans="1:15" x14ac:dyDescent="0.35">
      <c r="A7" s="43">
        <v>1</v>
      </c>
      <c r="B7" s="104"/>
      <c r="C7" s="104"/>
      <c r="D7" s="46">
        <v>201</v>
      </c>
      <c r="E7" s="46" t="s">
        <v>111</v>
      </c>
      <c r="F7" s="48">
        <v>46115</v>
      </c>
      <c r="G7" s="46">
        <v>3</v>
      </c>
      <c r="H7" s="46"/>
      <c r="I7" s="46"/>
      <c r="J7" s="46" t="s">
        <v>123</v>
      </c>
      <c r="K7" s="46" t="s">
        <v>110</v>
      </c>
      <c r="L7" s="79" t="str">
        <f>IF(OR(NOT(ISERROR(MATCH(RIGHT(D7,3)+0,#REF!,0))),NOT(ISERROR(MATCH(LEFT(D7,3)+0,#REF!,0)))),"No Post","")</f>
        <v/>
      </c>
      <c r="O7" s="4" t="s">
        <v>67</v>
      </c>
    </row>
    <row r="8" spans="1:15" x14ac:dyDescent="0.35">
      <c r="A8" s="54">
        <v>2</v>
      </c>
      <c r="B8" s="105"/>
      <c r="C8" s="105"/>
      <c r="D8" s="98">
        <v>314</v>
      </c>
      <c r="E8" s="21" t="s">
        <v>84</v>
      </c>
      <c r="F8" s="48">
        <v>46116</v>
      </c>
      <c r="G8" s="46">
        <v>2</v>
      </c>
      <c r="H8" s="46"/>
      <c r="I8" s="46"/>
      <c r="J8" s="98" t="s">
        <v>106</v>
      </c>
      <c r="K8" s="46" t="s">
        <v>44</v>
      </c>
      <c r="L8" s="79" t="str">
        <f>IF(OR(NOT(ISERROR(MATCH(RIGHT(D8,3)+0,#REF!,0))),NOT(ISERROR(MATCH(LEFT(D8,3)+0,#REF!,0)))),"No Post","")</f>
        <v/>
      </c>
    </row>
    <row r="9" spans="1:15" x14ac:dyDescent="0.35">
      <c r="A9" s="54">
        <v>3</v>
      </c>
      <c r="B9" s="105"/>
      <c r="C9" s="105"/>
      <c r="D9" s="98">
        <v>331</v>
      </c>
      <c r="E9" s="46" t="s">
        <v>102</v>
      </c>
      <c r="F9" s="48">
        <v>46113</v>
      </c>
      <c r="G9" s="46">
        <v>2</v>
      </c>
      <c r="H9" s="46"/>
      <c r="I9" s="46"/>
      <c r="J9" s="98" t="s">
        <v>106</v>
      </c>
      <c r="K9" s="46" t="s">
        <v>100</v>
      </c>
      <c r="L9" s="79" t="str">
        <f>IF(OR(NOT(ISERROR(MATCH(RIGHT(D9,3)+0,#REF!,0))),NOT(ISERROR(MATCH(LEFT(D9,3)+0,#REF!,0)))),"No Post","")</f>
        <v/>
      </c>
    </row>
    <row r="10" spans="1:15" x14ac:dyDescent="0.35">
      <c r="A10" s="54">
        <v>4</v>
      </c>
      <c r="B10" s="105"/>
      <c r="C10" s="105"/>
      <c r="D10" s="98" t="s">
        <v>129</v>
      </c>
      <c r="E10" s="46" t="s">
        <v>101</v>
      </c>
      <c r="F10" s="48">
        <v>46113</v>
      </c>
      <c r="G10" s="46">
        <v>2</v>
      </c>
      <c r="H10" s="46">
        <v>1</v>
      </c>
      <c r="I10" s="46"/>
      <c r="J10" s="98" t="s">
        <v>106</v>
      </c>
      <c r="K10" s="46" t="s">
        <v>100</v>
      </c>
      <c r="L10" s="79" t="str">
        <f>IF(OR(NOT(ISERROR(MATCH(RIGHT(D10,3)+0,#REF!,0))),NOT(ISERROR(MATCH(LEFT(D10,3)+0,#REF!,0)))),"No Post","")</f>
        <v/>
      </c>
    </row>
    <row r="11" spans="1:15" x14ac:dyDescent="0.35">
      <c r="A11" s="77">
        <v>5</v>
      </c>
      <c r="B11" s="105"/>
      <c r="C11" s="105"/>
      <c r="D11" s="97">
        <v>607</v>
      </c>
      <c r="E11" s="46" t="s">
        <v>107</v>
      </c>
      <c r="F11" s="48">
        <v>46113</v>
      </c>
      <c r="G11" s="46">
        <v>2</v>
      </c>
      <c r="H11" s="46"/>
      <c r="I11" s="46"/>
      <c r="J11" s="97" t="s">
        <v>124</v>
      </c>
      <c r="K11" s="46" t="s">
        <v>108</v>
      </c>
      <c r="L11" s="79" t="str">
        <f>IF(OR(NOT(ISERROR(MATCH(RIGHT(#REF!,3)+0,#REF!,0))),NOT(ISERROR(MATCH(LEFT(#REF!,3)+0,#REF!,0)))),"No Post","")</f>
        <v/>
      </c>
    </row>
    <row r="12" spans="1:15" x14ac:dyDescent="0.35">
      <c r="A12" s="77">
        <v>6</v>
      </c>
      <c r="B12" s="105"/>
      <c r="C12" s="105"/>
      <c r="D12" s="99">
        <v>666</v>
      </c>
      <c r="E12" s="46" t="s">
        <v>112</v>
      </c>
      <c r="F12" s="48">
        <v>46115</v>
      </c>
      <c r="G12" s="46">
        <v>2</v>
      </c>
      <c r="H12" s="46"/>
      <c r="I12" s="46"/>
      <c r="J12" s="99" t="s">
        <v>125</v>
      </c>
      <c r="K12" s="46" t="s">
        <v>113</v>
      </c>
      <c r="L12" s="93" t="str">
        <f>IF(OR(NOT(ISERROR(MATCH(RIGHT(D12,3)+0,#REF!,0))),NOT(ISERROR(MATCH(LEFT(D12,3)+0,#REF!,0)))),"No Post","")</f>
        <v/>
      </c>
      <c r="M12" s="79"/>
    </row>
    <row r="13" spans="1:15" x14ac:dyDescent="0.35">
      <c r="A13" s="77">
        <v>7</v>
      </c>
      <c r="B13" s="105"/>
      <c r="C13" s="105"/>
      <c r="D13" s="98" t="s">
        <v>126</v>
      </c>
      <c r="E13" s="46" t="s">
        <v>103</v>
      </c>
      <c r="F13" s="48">
        <v>46113</v>
      </c>
      <c r="G13" s="46">
        <v>2</v>
      </c>
      <c r="H13" s="46"/>
      <c r="I13" s="46"/>
      <c r="J13" s="98" t="s">
        <v>106</v>
      </c>
      <c r="K13" s="46" t="s">
        <v>104</v>
      </c>
      <c r="L13" s="79" t="str">
        <f>IF(OR(NOT(ISERROR(MATCH(RIGHT(D13,3)+0,#REF!,0))),NOT(ISERROR(MATCH(LEFT(D13,3)+0,#REF!,0)))),"No Post","")</f>
        <v/>
      </c>
    </row>
    <row r="14" spans="1:15" x14ac:dyDescent="0.35">
      <c r="A14" s="77">
        <v>8</v>
      </c>
      <c r="B14" s="105"/>
      <c r="C14" s="105"/>
      <c r="D14" s="99">
        <v>668</v>
      </c>
      <c r="E14" s="94" t="s">
        <v>120</v>
      </c>
      <c r="F14" s="95">
        <v>46114</v>
      </c>
      <c r="G14" s="94">
        <v>2</v>
      </c>
      <c r="H14" s="94"/>
      <c r="I14" s="94"/>
      <c r="J14" s="99" t="s">
        <v>125</v>
      </c>
      <c r="K14" s="46" t="s">
        <v>113</v>
      </c>
      <c r="L14" s="79" t="str">
        <f>IF(OR(NOT(ISERROR(MATCH(RIGHT('2'!D13,3)+0,#REF!,0))),NOT(ISERROR(MATCH(LEFT('2'!D13,3)+0,#REF!,0)))),"No Post","")</f>
        <v/>
      </c>
    </row>
    <row r="15" spans="1:15" x14ac:dyDescent="0.35">
      <c r="A15" s="77">
        <v>9</v>
      </c>
      <c r="B15" s="105"/>
      <c r="C15" s="105"/>
      <c r="D15" s="98" t="s">
        <v>127</v>
      </c>
      <c r="E15" s="46" t="s">
        <v>128</v>
      </c>
      <c r="F15" s="48">
        <v>46113</v>
      </c>
      <c r="G15" s="46">
        <v>2</v>
      </c>
      <c r="H15" s="46"/>
      <c r="I15" s="46"/>
      <c r="J15" s="98" t="s">
        <v>106</v>
      </c>
      <c r="K15" s="46" t="s">
        <v>104</v>
      </c>
      <c r="L15" s="79" t="str">
        <f>IF(OR(NOT(ISERROR(MATCH(RIGHT(D15,3)+0,#REF!,0))),NOT(ISERROR(MATCH(LEFT(D15,3)+0,#REF!,0)))),"No Post","")</f>
        <v/>
      </c>
    </row>
    <row r="16" spans="1:15" x14ac:dyDescent="0.35">
      <c r="A16" s="77">
        <v>10</v>
      </c>
      <c r="B16" s="105"/>
      <c r="C16" s="105"/>
      <c r="D16" s="100">
        <v>317</v>
      </c>
      <c r="E16" s="46" t="s">
        <v>133</v>
      </c>
      <c r="F16" s="48">
        <v>46116</v>
      </c>
      <c r="G16" s="46">
        <v>2</v>
      </c>
      <c r="H16" s="46"/>
      <c r="I16" s="46"/>
      <c r="J16" s="100" t="s">
        <v>132</v>
      </c>
      <c r="K16" s="46"/>
      <c r="L16" s="79"/>
    </row>
    <row r="17" spans="1:12" x14ac:dyDescent="0.35">
      <c r="A17" s="77">
        <v>11</v>
      </c>
      <c r="B17" s="54"/>
      <c r="C17" s="54"/>
      <c r="D17" s="46" t="s">
        <v>33</v>
      </c>
      <c r="E17" s="46" t="s">
        <v>35</v>
      </c>
      <c r="F17" s="48">
        <v>46118</v>
      </c>
      <c r="G17" s="46" t="s">
        <v>121</v>
      </c>
      <c r="H17" s="46"/>
      <c r="I17" s="46"/>
      <c r="J17" s="46">
        <v>3087184</v>
      </c>
      <c r="K17" s="46" t="s">
        <v>30</v>
      </c>
      <c r="L17" s="96" t="s">
        <v>67</v>
      </c>
    </row>
    <row r="18" spans="1:12" ht="18.600000000000001" customHeight="1" x14ac:dyDescent="0.35">
      <c r="A18" s="77">
        <v>12</v>
      </c>
      <c r="B18" s="54"/>
      <c r="C18" s="54"/>
      <c r="D18" s="46">
        <v>614</v>
      </c>
      <c r="E18" s="46" t="s">
        <v>22</v>
      </c>
      <c r="F18" s="48">
        <v>46117</v>
      </c>
      <c r="G18" s="46" t="s">
        <v>122</v>
      </c>
      <c r="H18" s="46"/>
      <c r="I18" s="46"/>
      <c r="J18" s="46">
        <v>2914775</v>
      </c>
      <c r="K18" s="46" t="s">
        <v>24</v>
      </c>
      <c r="L18" s="93" t="s">
        <v>66</v>
      </c>
    </row>
    <row r="19" spans="1:12" ht="18.600000000000001" customHeight="1" x14ac:dyDescent="0.35">
      <c r="A19" s="77">
        <v>13</v>
      </c>
      <c r="B19" s="54"/>
      <c r="C19" s="54"/>
      <c r="D19" s="46"/>
      <c r="E19" s="46"/>
      <c r="F19" s="48"/>
      <c r="G19" s="46"/>
      <c r="H19" s="46"/>
      <c r="I19" s="46"/>
      <c r="J19" s="46"/>
      <c r="K19" s="46"/>
      <c r="L19" s="79"/>
    </row>
    <row r="20" spans="1:12" ht="18.600000000000001" customHeight="1" x14ac:dyDescent="0.35">
      <c r="A20" s="77">
        <v>14</v>
      </c>
      <c r="B20" s="54"/>
      <c r="C20" s="54"/>
      <c r="D20" s="46"/>
      <c r="E20" s="47"/>
      <c r="F20" s="48"/>
      <c r="G20" s="46"/>
      <c r="H20" s="46"/>
      <c r="I20" s="46"/>
      <c r="J20" s="47"/>
      <c r="K20" s="47"/>
      <c r="L20" s="79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77">
        <v>15</v>
      </c>
      <c r="B21" s="77"/>
      <c r="C21" s="77"/>
      <c r="D21" s="46"/>
      <c r="E21" s="47"/>
      <c r="F21" s="48"/>
      <c r="G21" s="46"/>
      <c r="H21" s="46"/>
      <c r="I21" s="46"/>
      <c r="J21" s="47"/>
      <c r="K21" s="47"/>
      <c r="L21" s="79" t="str">
        <f>IF(OR(NOT(ISERROR(MATCH(RIGHT(D21,3)+0,#REF!,0))),NOT(ISERROR(MATCH(LEFT(D21,3)+0,#REF!,0)))),"No Post","")</f>
        <v/>
      </c>
    </row>
    <row r="22" spans="1:12" ht="18.600000000000001" customHeight="1" x14ac:dyDescent="0.35">
      <c r="A22" s="77">
        <v>16</v>
      </c>
      <c r="B22" s="77"/>
      <c r="C22" s="77"/>
      <c r="D22" s="21"/>
      <c r="E22" s="22"/>
      <c r="F22" s="23"/>
      <c r="G22" s="21"/>
      <c r="H22" s="21"/>
      <c r="I22" s="21"/>
      <c r="J22" s="22"/>
      <c r="K22" s="22"/>
      <c r="L22" s="79" t="str">
        <f>IF(OR(NOT(ISERROR(MATCH(RIGHT(D22,3)+0,#REF!,0))),NOT(ISERROR(MATCH(LEFT(D22,3)+0,#REF!,0)))),"No Post","")</f>
        <v/>
      </c>
    </row>
    <row r="23" spans="1:12" ht="18.600000000000001" customHeight="1" x14ac:dyDescent="0.35">
      <c r="A23" s="77">
        <v>17</v>
      </c>
      <c r="B23" s="77"/>
      <c r="C23" s="77"/>
      <c r="D23" s="21"/>
      <c r="E23" s="22"/>
      <c r="F23" s="23"/>
      <c r="G23" s="21"/>
      <c r="H23" s="21"/>
      <c r="I23" s="21"/>
      <c r="J23" s="22"/>
      <c r="K23" s="22"/>
      <c r="L23" s="79" t="str">
        <f>IF(OR(NOT(ISERROR(MATCH(RIGHT(D23,3)+0,#REF!,0))),NOT(ISERROR(MATCH(LEFT(D23,3)+0,#REF!,0)))),"No Post","")</f>
        <v/>
      </c>
    </row>
    <row r="24" spans="1:12" ht="18.600000000000001" customHeight="1" x14ac:dyDescent="0.35">
      <c r="A24" s="77">
        <v>18</v>
      </c>
      <c r="B24" s="77"/>
      <c r="C24" s="77"/>
      <c r="D24" s="21"/>
      <c r="E24" s="22"/>
      <c r="F24" s="23"/>
      <c r="G24" s="21"/>
      <c r="H24" s="21"/>
      <c r="I24" s="21"/>
      <c r="J24" s="22"/>
      <c r="K24" s="22"/>
      <c r="L24" s="79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77">
        <v>19</v>
      </c>
      <c r="B25" s="77"/>
      <c r="C25" s="77"/>
      <c r="D25" s="21"/>
      <c r="E25" s="22"/>
      <c r="F25" s="23"/>
      <c r="G25" s="21"/>
      <c r="H25" s="21"/>
      <c r="I25" s="21"/>
      <c r="J25" s="22"/>
      <c r="K25" s="22"/>
      <c r="L25" s="79" t="str">
        <f>IF(OR(NOT(ISERROR(MATCH(RIGHT(D25,3)+0,#REF!,0))),NOT(ISERROR(MATCH(LEFT(D25,3)+0,#REF!,0)))),"No Post","")</f>
        <v/>
      </c>
    </row>
    <row r="26" spans="1:12" ht="18.600000000000001" customHeight="1" x14ac:dyDescent="0.35">
      <c r="A26" s="77">
        <v>20</v>
      </c>
      <c r="B26" s="54"/>
      <c r="C26" s="54"/>
      <c r="D26" s="21"/>
      <c r="E26" s="22"/>
      <c r="F26" s="23"/>
      <c r="G26" s="21"/>
      <c r="H26" s="21"/>
      <c r="I26" s="21"/>
      <c r="J26" s="22"/>
      <c r="K26" s="22"/>
      <c r="L26" s="79" t="str">
        <f>IF(OR(NOT(ISERROR(MATCH(RIGHT(D26,3)+0,#REF!,0))),NOT(ISERROR(MATCH(LEFT(D26,3)+0,#REF!,0)))),"No Post","")</f>
        <v/>
      </c>
    </row>
    <row r="27" spans="1:12" s="26" customFormat="1" ht="18.600000000000001" customHeight="1" x14ac:dyDescent="0.4">
      <c r="A27" s="77">
        <v>21</v>
      </c>
      <c r="B27" s="54"/>
      <c r="C27" s="54"/>
      <c r="D27" s="21"/>
      <c r="E27" s="22"/>
      <c r="F27" s="23"/>
      <c r="G27" s="21"/>
      <c r="H27" s="21"/>
      <c r="I27" s="21"/>
      <c r="J27" s="22"/>
      <c r="K27" s="22"/>
      <c r="L27" s="79" t="str">
        <f>IF(OR(NOT(ISERROR(MATCH(RIGHT(D27,3)+0,#REF!,0))),NOT(ISERROR(MATCH(LEFT(D27,3)+0,#REF!,0)))),"No Post","")</f>
        <v/>
      </c>
    </row>
    <row r="28" spans="1:12" ht="20.25" customHeight="1" x14ac:dyDescent="0.35">
      <c r="E28" s="49" t="str">
        <f>"Remaning: "&amp;IFERROR(MID(A5, SEARCH("MAX", A5) + LEN("MAX"), SEARCH("PAX", A5) - SEARCH("MAX", A5) - LEN("MAX")), "")+0-SUM(G28:H28)</f>
        <v>Remaning: -2</v>
      </c>
      <c r="F28" s="34" t="s">
        <v>19</v>
      </c>
      <c r="G28" s="7">
        <f>SUM(G7:G27)</f>
        <v>21</v>
      </c>
      <c r="H28" s="7">
        <f>SUM(H7:H27)</f>
        <v>1</v>
      </c>
    </row>
    <row r="29" spans="1:12" ht="20.25" customHeight="1" x14ac:dyDescent="0.35">
      <c r="D29" s="8" t="s">
        <v>5</v>
      </c>
      <c r="E29" s="8"/>
      <c r="F29" s="35"/>
      <c r="G29" s="8"/>
      <c r="H29" s="8"/>
      <c r="I29" s="8"/>
    </row>
    <row r="30" spans="1:12" ht="20.25" customHeight="1" x14ac:dyDescent="0.35">
      <c r="D30" s="15" t="s">
        <v>6</v>
      </c>
      <c r="E30" s="9"/>
      <c r="F30" s="36"/>
      <c r="G30" s="9"/>
      <c r="H30" s="9"/>
      <c r="I30" s="9"/>
    </row>
    <row r="31" spans="1:12" ht="20.25" customHeight="1" x14ac:dyDescent="0.35">
      <c r="D31" s="15" t="s">
        <v>7</v>
      </c>
      <c r="E31" s="9"/>
      <c r="F31" s="36"/>
      <c r="G31" s="9"/>
      <c r="H31" s="9"/>
      <c r="I31" s="9"/>
    </row>
    <row r="32" spans="1:12" ht="20.25" customHeight="1" x14ac:dyDescent="0.35">
      <c r="D32" s="15" t="s">
        <v>8</v>
      </c>
      <c r="E32" s="9"/>
      <c r="F32" s="36"/>
      <c r="G32" s="9"/>
      <c r="H32" s="9"/>
      <c r="I32" s="9"/>
    </row>
    <row r="33" spans="4:9" x14ac:dyDescent="0.35">
      <c r="D33" s="15" t="s">
        <v>9</v>
      </c>
      <c r="E33" s="9"/>
      <c r="F33" s="36"/>
      <c r="G33" s="9"/>
      <c r="H33" s="9"/>
      <c r="I33" s="9"/>
    </row>
    <row r="34" spans="4:9" x14ac:dyDescent="0.35">
      <c r="D34" s="15" t="s">
        <v>10</v>
      </c>
      <c r="E34" s="9"/>
      <c r="F34" s="36"/>
      <c r="G34" s="9"/>
      <c r="H34" s="9"/>
      <c r="I34" s="9"/>
    </row>
    <row r="35" spans="4:9" x14ac:dyDescent="0.35">
      <c r="D35" s="15" t="s">
        <v>11</v>
      </c>
      <c r="E35" s="9"/>
      <c r="F35" s="36"/>
      <c r="G35" s="9"/>
      <c r="H35" s="9"/>
      <c r="I35" s="9"/>
    </row>
    <row r="36" spans="4:9" s="11" customFormat="1" ht="15.6" x14ac:dyDescent="0.3">
      <c r="D36" s="16" t="s">
        <v>12</v>
      </c>
      <c r="E36" s="10"/>
      <c r="F36" s="37"/>
      <c r="G36" s="10"/>
      <c r="H36" s="10"/>
    </row>
    <row r="37" spans="4:9" s="11" customFormat="1" ht="15.6" x14ac:dyDescent="0.3">
      <c r="D37" s="16" t="s">
        <v>13</v>
      </c>
      <c r="E37" s="10"/>
      <c r="F37" s="37"/>
      <c r="G37" s="10"/>
      <c r="H37" s="10"/>
    </row>
    <row r="38" spans="4:9" s="13" customFormat="1" ht="20.25" customHeight="1" x14ac:dyDescent="0.35">
      <c r="D38" s="17" t="s">
        <v>14</v>
      </c>
      <c r="E38" s="12"/>
      <c r="F38" s="38"/>
    </row>
    <row r="39" spans="4:9" s="8" customFormat="1" ht="14.4" x14ac:dyDescent="0.3">
      <c r="D39" s="14"/>
      <c r="E39" s="9"/>
      <c r="F39" s="36"/>
      <c r="G39" s="9"/>
      <c r="H39" s="9"/>
      <c r="I39" s="9"/>
    </row>
    <row r="40" spans="4:9" s="9" customFormat="1" ht="13.8" x14ac:dyDescent="0.3">
      <c r="F40" s="36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8"/>
      <c r="E42" s="8"/>
      <c r="F42" s="35"/>
      <c r="G42" s="8"/>
      <c r="H42" s="8"/>
      <c r="I42" s="8"/>
    </row>
    <row r="43" spans="4:9" x14ac:dyDescent="0.35">
      <c r="D43" s="9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5" spans="4:9" x14ac:dyDescent="0.35">
      <c r="D45" s="9"/>
      <c r="E45" s="9"/>
      <c r="F45" s="36"/>
      <c r="G45" s="9"/>
      <c r="H45" s="9"/>
      <c r="I45" s="9"/>
    </row>
    <row r="46" spans="4:9" x14ac:dyDescent="0.35">
      <c r="D46" s="9"/>
      <c r="E46" s="9"/>
      <c r="F46" s="36"/>
      <c r="G46" s="9"/>
      <c r="H46" s="9"/>
      <c r="I46" s="9"/>
    </row>
    <row r="47" spans="4:9" x14ac:dyDescent="0.35">
      <c r="D47" s="9"/>
      <c r="E47" s="9"/>
      <c r="F47" s="36"/>
      <c r="G47" s="9"/>
      <c r="H47" s="9"/>
      <c r="I47" s="9"/>
    </row>
    <row r="48" spans="4:9" x14ac:dyDescent="0.35">
      <c r="D48" s="9"/>
      <c r="E48" s="9"/>
      <c r="F48" s="36"/>
      <c r="G48" s="9"/>
      <c r="H48" s="9"/>
      <c r="I48" s="9"/>
    </row>
    <row r="49" spans="4:9" x14ac:dyDescent="0.35">
      <c r="D49" s="14"/>
      <c r="E49" s="9"/>
      <c r="F49" s="36"/>
      <c r="G49" s="9"/>
      <c r="H49" s="9"/>
      <c r="I49" s="9"/>
    </row>
    <row r="50" spans="4:9" x14ac:dyDescent="0.35">
      <c r="D50" s="9"/>
      <c r="E50" s="9"/>
      <c r="F50" s="36"/>
      <c r="G50" s="9"/>
      <c r="H50" s="9"/>
      <c r="I50" s="9"/>
    </row>
    <row r="52" spans="4:9" x14ac:dyDescent="0.35">
      <c r="D52" s="1"/>
      <c r="E52" s="1"/>
      <c r="F52" s="33"/>
      <c r="G52" s="1"/>
      <c r="H52" s="1"/>
      <c r="I52" s="1"/>
    </row>
    <row r="67" spans="4:9" x14ac:dyDescent="0.35">
      <c r="D67" s="9"/>
      <c r="E67" s="9"/>
      <c r="F67" s="36"/>
      <c r="G67" s="9"/>
      <c r="H67" s="9"/>
      <c r="I67" s="9"/>
    </row>
    <row r="68" spans="4:9" x14ac:dyDescent="0.35">
      <c r="D68" s="9"/>
      <c r="E68" s="9"/>
      <c r="F68" s="36"/>
      <c r="G68" s="9"/>
      <c r="H68" s="9"/>
      <c r="I68" s="9"/>
    </row>
    <row r="69" spans="4:9" x14ac:dyDescent="0.35">
      <c r="D69" s="9"/>
      <c r="E69" s="9"/>
      <c r="F69" s="36"/>
      <c r="G69" s="9"/>
      <c r="H69" s="9"/>
      <c r="I69" s="9"/>
    </row>
    <row r="70" spans="4:9" x14ac:dyDescent="0.35">
      <c r="D70" s="14"/>
      <c r="E70" s="9"/>
      <c r="F70" s="36"/>
      <c r="G70" s="9"/>
      <c r="H70" s="9"/>
      <c r="I70" s="9"/>
    </row>
    <row r="71" spans="4:9" x14ac:dyDescent="0.35">
      <c r="D71" s="9"/>
      <c r="E71" s="9"/>
      <c r="F71" s="36"/>
      <c r="G71" s="9"/>
      <c r="H71" s="9"/>
      <c r="I71" s="9"/>
    </row>
  </sheetData>
  <sortState ref="D7:N17">
    <sortCondition ref="D7"/>
  </sortState>
  <customSheetViews>
    <customSheetView guid="{744BB052-D863-41D2-951C-2AB325855A97}" showPageBreaks="1" fitToPage="1" printArea="1">
      <selection activeCell="E17" sqref="E1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9" orientation="landscape" r:id="rId1"/>
    </customSheetView>
    <customSheetView guid="{E646B2A6-D876-4850-BD6A-9EDE7D7D90A5}" fitToPage="1">
      <selection activeCell="A5" sqref="A5:G5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71" orientation="landscape" r:id="rId2"/>
    </customSheetView>
    <customSheetView guid="{BF5B6E81-A93C-498B-825D-A8F997D33B36}" showPageBreaks="1" fitToPage="1" printArea="1" topLeftCell="C4">
      <selection activeCell="I13" sqref="I13"/>
      <rowBreaks count="1" manualBreakCount="1">
        <brk id="38" min="3" max="10" man="1"/>
      </rowBreaks>
      <colBreaks count="1" manualBreakCount="1">
        <brk id="13" max="30" man="1"/>
      </colBreaks>
      <pageMargins left="0.17" right="0.17" top="0.75" bottom="0.75" header="0.3" footer="0.3"/>
      <pageSetup scale="72" orientation="landscape" r:id="rId3"/>
    </customSheetView>
    <customSheetView guid="{F72E1D2B-35A0-48DE-9DE8-D5DC19588220}" showPageBreaks="1" fitToPage="1" printArea="1">
      <selection activeCell="J14" sqref="J14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70" orientation="landscape" r:id="rId4"/>
    </customSheetView>
    <customSheetView guid="{4E59406A-696F-45F3-96CE-A9A2B9D4DCC4}" showPageBreaks="1" fitToPage="1" printArea="1">
      <selection activeCell="E20" sqref="E20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9" orientation="landscape" r:id="rId5"/>
    </customSheetView>
  </customSheetViews>
  <mergeCells count="1">
    <mergeCell ref="A5:I5"/>
  </mergeCells>
  <conditionalFormatting sqref="L7 L9:L11 L13:L27">
    <cfRule type="containsText" dxfId="29" priority="2" operator="containsText" text="No Post">
      <formula>NOT(ISERROR(SEARCH("No Post",L7)))</formula>
    </cfRule>
  </conditionalFormatting>
  <pageMargins left="0.17" right="0.17" top="0.75" bottom="0.75" header="0.3" footer="0.3"/>
  <pageSetup scale="69" orientation="landscape" r:id="rId6"/>
  <rowBreaks count="1" manualBreakCount="1">
    <brk id="38" min="1" max="8" man="1"/>
  </rowBreaks>
  <colBreaks count="1" manualBreakCount="1">
    <brk id="11" max="30" man="1"/>
  </colBrea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0"/>
  <sheetViews>
    <sheetView zoomScale="102" zoomScaleNormal="102" zoomScaleSheetLayoutView="100" workbookViewId="0">
      <selection activeCell="C12" sqref="C12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7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4" thickBot="1" x14ac:dyDescent="0.5">
      <c r="A5" s="377" t="s">
        <v>15</v>
      </c>
      <c r="B5" s="378"/>
      <c r="C5" s="378"/>
      <c r="D5" s="378"/>
      <c r="E5" s="378"/>
      <c r="F5" s="378"/>
      <c r="G5" s="378"/>
      <c r="H5" s="378"/>
      <c r="I5" s="378"/>
      <c r="J5" s="6" t="s">
        <v>18</v>
      </c>
      <c r="K5" s="3" t="str">
        <f ca="1">CONCATENATE((MID(CELL("filename",K5),FIND("]",CELL("filename",K5))+1,255)),"/04/2026")</f>
        <v>2/04/2026</v>
      </c>
    </row>
    <row r="6" spans="1:12" x14ac:dyDescent="0.35">
      <c r="A6" s="40"/>
      <c r="B6" s="112"/>
      <c r="C6" s="112"/>
      <c r="D6" s="41" t="s">
        <v>1</v>
      </c>
      <c r="E6" s="41" t="s">
        <v>2</v>
      </c>
      <c r="F6" s="42" t="s">
        <v>21</v>
      </c>
      <c r="G6" s="41" t="s">
        <v>16</v>
      </c>
      <c r="H6" s="41" t="s">
        <v>17</v>
      </c>
      <c r="I6" s="41" t="s">
        <v>3</v>
      </c>
      <c r="J6" s="43" t="s">
        <v>20</v>
      </c>
      <c r="K6" s="44" t="s">
        <v>4</v>
      </c>
    </row>
    <row r="7" spans="1:12" x14ac:dyDescent="0.35">
      <c r="A7" s="54">
        <v>1</v>
      </c>
      <c r="B7" s="105"/>
      <c r="C7" s="105"/>
      <c r="D7" s="98">
        <v>309</v>
      </c>
      <c r="E7" s="110" t="s">
        <v>78</v>
      </c>
      <c r="F7" s="48">
        <v>46116</v>
      </c>
      <c r="G7" s="46">
        <v>2</v>
      </c>
      <c r="H7" s="46"/>
      <c r="I7" s="46"/>
      <c r="J7" s="87" t="s">
        <v>106</v>
      </c>
      <c r="K7" s="46" t="s">
        <v>44</v>
      </c>
      <c r="L7" s="79" t="str">
        <f>IF(OR(NOT(ISERROR(MATCH(RIGHT(D7,3)+0,#REF!,0))),NOT(ISERROR(MATCH(LEFT(D7,3)+0,#REF!,0)))),"No Post","")</f>
        <v/>
      </c>
    </row>
    <row r="8" spans="1:12" x14ac:dyDescent="0.35">
      <c r="A8" s="54">
        <v>2</v>
      </c>
      <c r="B8" s="105"/>
      <c r="C8" s="105"/>
      <c r="D8" s="98">
        <v>322</v>
      </c>
      <c r="E8" s="46" t="s">
        <v>139</v>
      </c>
      <c r="F8" s="48">
        <v>46116</v>
      </c>
      <c r="G8" s="46">
        <v>2</v>
      </c>
      <c r="H8" s="46"/>
      <c r="I8" s="46"/>
      <c r="J8" s="87" t="s">
        <v>106</v>
      </c>
      <c r="K8" s="46" t="s">
        <v>117</v>
      </c>
      <c r="L8" s="79" t="str">
        <f>IF(OR(NOT(ISERROR(MATCH(RIGHT(D8,3)+0,#REF!,0))),NOT(ISERROR(MATCH(LEFT(D8,3)+0,#REF!,0)))),"No Post","")</f>
        <v/>
      </c>
    </row>
    <row r="9" spans="1:12" x14ac:dyDescent="0.35">
      <c r="A9" s="115">
        <v>3</v>
      </c>
      <c r="B9" s="105"/>
      <c r="C9" s="105"/>
      <c r="D9" s="98">
        <v>324</v>
      </c>
      <c r="E9" s="46" t="s">
        <v>140</v>
      </c>
      <c r="F9" s="48">
        <v>46116</v>
      </c>
      <c r="G9" s="46">
        <v>2</v>
      </c>
      <c r="H9" s="46"/>
      <c r="I9" s="46"/>
      <c r="J9" s="87" t="s">
        <v>106</v>
      </c>
      <c r="K9" s="46" t="s">
        <v>117</v>
      </c>
      <c r="L9" s="79" t="str">
        <f>IF(OR(NOT(ISERROR(MATCH(RIGHT(D9,3)+0,#REF!,0))),NOT(ISERROR(MATCH(LEFT(D9,3)+0,#REF!,0)))),"No Post","")</f>
        <v/>
      </c>
    </row>
    <row r="10" spans="1:12" x14ac:dyDescent="0.35">
      <c r="A10" s="54">
        <v>4</v>
      </c>
      <c r="B10" s="105"/>
      <c r="C10" s="105"/>
      <c r="D10" s="98" t="s">
        <v>152</v>
      </c>
      <c r="E10" s="46" t="s">
        <v>118</v>
      </c>
      <c r="F10" s="48">
        <v>46113</v>
      </c>
      <c r="G10" s="46">
        <v>2</v>
      </c>
      <c r="H10" s="46"/>
      <c r="I10" s="46"/>
      <c r="J10" s="87" t="s">
        <v>106</v>
      </c>
      <c r="K10" s="46" t="s">
        <v>117</v>
      </c>
      <c r="L10" s="79" t="str">
        <f>IF(OR(NOT(ISERROR(MATCH(RIGHT(D10,3)+0,#REF!,0))),NOT(ISERROR(MATCH(LEFT(D10,3)+0,#REF!,0)))),"No Post","")</f>
        <v/>
      </c>
    </row>
    <row r="11" spans="1:12" x14ac:dyDescent="0.35">
      <c r="A11" s="54">
        <v>5</v>
      </c>
      <c r="B11" s="105"/>
      <c r="C11" s="105"/>
      <c r="D11" s="87">
        <v>341</v>
      </c>
      <c r="E11" s="46" t="s">
        <v>114</v>
      </c>
      <c r="F11" s="48">
        <v>46115</v>
      </c>
      <c r="G11" s="46">
        <v>2</v>
      </c>
      <c r="H11" s="46"/>
      <c r="I11" s="46"/>
      <c r="J11" s="87" t="s">
        <v>106</v>
      </c>
      <c r="K11" s="46" t="s">
        <v>115</v>
      </c>
      <c r="L11" s="79" t="str">
        <f>IF(OR(NOT(ISERROR(MATCH(RIGHT(#REF!,3)+0,#REF!,0))),NOT(ISERROR(MATCH(LEFT(#REF!,3)+0,#REF!,0)))),"No Post","")</f>
        <v/>
      </c>
    </row>
    <row r="12" spans="1:12" x14ac:dyDescent="0.35">
      <c r="A12" s="115">
        <v>6</v>
      </c>
      <c r="B12" s="105"/>
      <c r="C12" s="105"/>
      <c r="D12" s="97">
        <v>343</v>
      </c>
      <c r="E12" s="46" t="s">
        <v>48</v>
      </c>
      <c r="F12" s="48">
        <v>46117</v>
      </c>
      <c r="G12" s="46">
        <v>1</v>
      </c>
      <c r="H12" s="46"/>
      <c r="I12" s="46"/>
      <c r="J12" s="97" t="s">
        <v>154</v>
      </c>
      <c r="K12" s="46" t="s">
        <v>24</v>
      </c>
      <c r="L12" s="79" t="s">
        <v>67</v>
      </c>
    </row>
    <row r="13" spans="1:12" x14ac:dyDescent="0.35">
      <c r="A13" s="115">
        <v>7</v>
      </c>
      <c r="B13" s="105"/>
      <c r="C13" s="105"/>
      <c r="D13" s="98">
        <v>614</v>
      </c>
      <c r="E13" s="46" t="s">
        <v>22</v>
      </c>
      <c r="F13" s="48">
        <v>46117</v>
      </c>
      <c r="G13" s="46">
        <v>2</v>
      </c>
      <c r="H13" s="46"/>
      <c r="I13" s="46"/>
      <c r="J13" s="108" t="s">
        <v>106</v>
      </c>
      <c r="K13" s="46" t="s">
        <v>24</v>
      </c>
      <c r="L13" s="79" t="str">
        <f>IF(OR(NOT(ISERROR(MATCH(RIGHT(D13,3)+0,#REF!,0))),NOT(ISERROR(MATCH(LEFT(D13,3)+0,#REF!,0)))),"No Post","")</f>
        <v/>
      </c>
    </row>
    <row r="14" spans="1:12" x14ac:dyDescent="0.35">
      <c r="A14" s="54">
        <v>8</v>
      </c>
      <c r="B14" s="105"/>
      <c r="C14" s="105"/>
      <c r="D14" s="97">
        <v>622</v>
      </c>
      <c r="E14" s="46" t="s">
        <v>34</v>
      </c>
      <c r="F14" s="48">
        <v>46121</v>
      </c>
      <c r="G14" s="46">
        <v>3</v>
      </c>
      <c r="H14" s="46">
        <v>1</v>
      </c>
      <c r="I14" s="46"/>
      <c r="J14" s="111" t="s">
        <v>153</v>
      </c>
      <c r="K14" s="46" t="s">
        <v>30</v>
      </c>
      <c r="L14" s="79" t="s">
        <v>67</v>
      </c>
    </row>
    <row r="15" spans="1:12" x14ac:dyDescent="0.35">
      <c r="A15" s="54">
        <v>9</v>
      </c>
      <c r="B15" s="105"/>
      <c r="C15" s="105"/>
      <c r="D15" s="98" t="s">
        <v>157</v>
      </c>
      <c r="E15" s="46" t="s">
        <v>151</v>
      </c>
      <c r="F15" s="48">
        <v>46114</v>
      </c>
      <c r="G15" s="46">
        <v>2</v>
      </c>
      <c r="H15" s="46"/>
      <c r="I15" s="46"/>
      <c r="J15" s="108" t="s">
        <v>106</v>
      </c>
      <c r="K15" s="46" t="s">
        <v>110</v>
      </c>
      <c r="L15" s="79" t="str">
        <f>IF(OR(NOT(ISERROR(MATCH(RIGHT(D15,3)+0,#REF!,0))),NOT(ISERROR(MATCH(LEFT(D15,3)+0,#REF!,0)))),"No Post","")</f>
        <v/>
      </c>
    </row>
    <row r="16" spans="1:12" x14ac:dyDescent="0.35">
      <c r="A16" s="115">
        <v>10</v>
      </c>
      <c r="B16" s="105"/>
      <c r="C16" s="105"/>
      <c r="D16" s="97">
        <v>852</v>
      </c>
      <c r="E16" s="46" t="s">
        <v>138</v>
      </c>
      <c r="F16" s="48">
        <v>46116</v>
      </c>
      <c r="G16" s="46">
        <v>2</v>
      </c>
      <c r="H16" s="46"/>
      <c r="I16" s="46"/>
      <c r="J16" s="111" t="s">
        <v>153</v>
      </c>
      <c r="K16" s="46" t="s">
        <v>137</v>
      </c>
      <c r="L16" s="79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115">
        <v>11</v>
      </c>
      <c r="B17" s="105"/>
      <c r="C17" s="105"/>
      <c r="D17" s="108">
        <v>875</v>
      </c>
      <c r="E17" s="83" t="s">
        <v>105</v>
      </c>
      <c r="F17" s="84">
        <v>46115</v>
      </c>
      <c r="G17" s="83">
        <v>2</v>
      </c>
      <c r="H17" s="83"/>
      <c r="I17" s="83"/>
      <c r="J17" s="108" t="s">
        <v>106</v>
      </c>
      <c r="K17" s="83" t="s">
        <v>44</v>
      </c>
      <c r="L17" s="79" t="str">
        <f>IF(OR(NOT(ISERROR(MATCH(RIGHT(D26,3)+0,#REF!,0))),NOT(ISERROR(MATCH(LEFT(D26,3)+0,#REF!,0)))),"No Post","")</f>
        <v/>
      </c>
    </row>
    <row r="18" spans="1:12" ht="18.600000000000001" customHeight="1" x14ac:dyDescent="0.35">
      <c r="A18" s="54">
        <v>12</v>
      </c>
      <c r="B18" s="105"/>
      <c r="C18" s="105"/>
      <c r="D18" s="117" t="s">
        <v>158</v>
      </c>
      <c r="E18" s="21" t="s">
        <v>87</v>
      </c>
      <c r="F18" s="48">
        <v>46115</v>
      </c>
      <c r="G18" s="46">
        <v>2</v>
      </c>
      <c r="H18" s="46"/>
      <c r="I18" s="46"/>
      <c r="J18" s="116" t="s">
        <v>89</v>
      </c>
      <c r="K18" s="46" t="s">
        <v>90</v>
      </c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13</v>
      </c>
      <c r="B19" s="54"/>
      <c r="C19" s="54"/>
      <c r="D19" s="46" t="s">
        <v>23</v>
      </c>
      <c r="E19" s="109" t="s">
        <v>88</v>
      </c>
      <c r="F19" s="48">
        <v>46114</v>
      </c>
      <c r="G19" s="46" t="s">
        <v>93</v>
      </c>
      <c r="H19" s="46"/>
      <c r="I19" s="46"/>
      <c r="J19" s="46" t="s">
        <v>89</v>
      </c>
      <c r="K19" s="46" t="s">
        <v>90</v>
      </c>
      <c r="L19" s="79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14</v>
      </c>
      <c r="B20" s="54"/>
      <c r="C20" s="54"/>
      <c r="D20" s="46" t="s">
        <v>23</v>
      </c>
      <c r="E20" s="46" t="s">
        <v>32</v>
      </c>
      <c r="F20" s="48">
        <v>46119</v>
      </c>
      <c r="G20" s="46" t="s">
        <v>121</v>
      </c>
      <c r="H20" s="46"/>
      <c r="I20" s="46"/>
      <c r="J20" s="46">
        <v>2943425</v>
      </c>
      <c r="K20" s="46" t="s">
        <v>30</v>
      </c>
      <c r="L20" s="79" t="s">
        <v>67</v>
      </c>
    </row>
    <row r="21" spans="1:12" ht="18.600000000000001" customHeight="1" x14ac:dyDescent="0.35">
      <c r="A21" s="54">
        <v>15</v>
      </c>
      <c r="B21" s="54"/>
      <c r="C21" s="54"/>
      <c r="D21" s="46"/>
      <c r="E21" s="46"/>
      <c r="F21" s="48"/>
      <c r="G21" s="46"/>
      <c r="H21" s="46"/>
      <c r="I21" s="46"/>
      <c r="J21" s="46"/>
      <c r="K21" s="46"/>
      <c r="L21" s="79"/>
    </row>
    <row r="22" spans="1:12" ht="18.600000000000001" customHeight="1" x14ac:dyDescent="0.35">
      <c r="A22" s="54">
        <v>16</v>
      </c>
      <c r="B22" s="54"/>
      <c r="C22" s="54"/>
      <c r="D22" s="46"/>
      <c r="E22" s="114"/>
      <c r="F22" s="48"/>
      <c r="G22" s="46"/>
      <c r="H22" s="46"/>
      <c r="I22" s="46"/>
      <c r="J22" s="47"/>
      <c r="K22" s="47"/>
      <c r="L22" s="79" t="str">
        <f>IF(OR(NOT(ISERROR(MATCH(RIGHT(D22,3)+0,#REF!,0))),NOT(ISERROR(MATCH(LEFT(D22,3)+0,#REF!,0)))),"No Post","")</f>
        <v/>
      </c>
    </row>
    <row r="23" spans="1:12" ht="18.600000000000001" customHeight="1" x14ac:dyDescent="0.35">
      <c r="A23" s="54">
        <v>17</v>
      </c>
      <c r="B23" s="54"/>
      <c r="C23" s="54"/>
      <c r="D23" s="46"/>
      <c r="E23" s="47"/>
      <c r="F23" s="48"/>
      <c r="G23" s="46"/>
      <c r="H23" s="46"/>
      <c r="I23" s="46"/>
      <c r="J23" s="47"/>
      <c r="K23" s="47"/>
      <c r="L23" s="79" t="str">
        <f>IF(OR(NOT(ISERROR(MATCH(RIGHT(D23,3)+0,#REF!,0))),NOT(ISERROR(MATCH(LEFT(D23,3)+0,#REF!,0)))),"No Post","")</f>
        <v/>
      </c>
    </row>
    <row r="24" spans="1:12" ht="18.600000000000001" customHeight="1" x14ac:dyDescent="0.35">
      <c r="A24" s="54">
        <v>18</v>
      </c>
      <c r="B24" s="54"/>
      <c r="C24" s="54"/>
      <c r="D24" s="46"/>
      <c r="E24" s="47"/>
      <c r="F24" s="48"/>
      <c r="G24" s="46"/>
      <c r="H24" s="46"/>
      <c r="I24" s="46"/>
      <c r="J24" s="47"/>
      <c r="K24" s="47"/>
      <c r="L24" s="79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54">
        <v>19</v>
      </c>
      <c r="B25" s="54"/>
      <c r="C25" s="54"/>
      <c r="D25" s="46"/>
      <c r="E25" s="113" t="s">
        <v>142</v>
      </c>
      <c r="F25" s="48"/>
      <c r="G25" s="46"/>
      <c r="H25" s="46"/>
      <c r="I25" s="46"/>
      <c r="J25" s="47"/>
      <c r="K25" s="47"/>
      <c r="L25" s="79" t="str">
        <f>IF(OR(NOT(ISERROR(MATCH(RIGHT(D25,3)+0,#REF!,0))),NOT(ISERROR(MATCH(LEFT(D25,3)+0,#REF!,0)))),"No Post","")</f>
        <v/>
      </c>
    </row>
    <row r="26" spans="1:12" s="26" customFormat="1" ht="18.600000000000001" customHeight="1" x14ac:dyDescent="0.4">
      <c r="A26" s="54">
        <v>20</v>
      </c>
      <c r="B26" s="54"/>
      <c r="C26" s="54"/>
      <c r="D26" s="46"/>
      <c r="E26" s="47"/>
      <c r="F26" s="48"/>
      <c r="G26" s="46"/>
      <c r="H26" s="46"/>
      <c r="I26" s="46"/>
      <c r="J26" s="47"/>
      <c r="K26" s="47"/>
      <c r="L26" s="79" t="str">
        <f>IF(OR(NOT(ISERROR(MATCH(RIGHT(D26,3)+0,#REF!,0))),NOT(ISERROR(MATCH(LEFT(D26,3)+0,#REF!,0)))),"No Post","")</f>
        <v/>
      </c>
    </row>
    <row r="27" spans="1:12" ht="20.25" customHeight="1" x14ac:dyDescent="0.35">
      <c r="A27" s="49"/>
      <c r="B27" s="49"/>
      <c r="C27" s="49"/>
      <c r="D27" s="49"/>
      <c r="E27" s="49" t="str">
        <f>"Remaning: "&amp;IFERROR(MID(A5, SEARCH("MAX", A5) + LEN("MAX"), SEARCH("PAX", A5) - SEARCH("MAX", A5) - LEN("MAX")), "")+0-SUM(G27:H27)</f>
        <v>Remaning: -5</v>
      </c>
      <c r="F27" s="50" t="s">
        <v>19</v>
      </c>
      <c r="G27" s="51">
        <f>SUM(G7:G26)</f>
        <v>24</v>
      </c>
      <c r="H27" s="51">
        <f>SUM(H7:H26)</f>
        <v>1</v>
      </c>
      <c r="I27" s="49"/>
      <c r="J27" s="49"/>
      <c r="K27" s="49"/>
    </row>
    <row r="28" spans="1:12" ht="20.25" customHeight="1" x14ac:dyDescent="0.35">
      <c r="D28" s="8" t="s">
        <v>5</v>
      </c>
      <c r="E28" s="8"/>
      <c r="F28" s="35"/>
      <c r="G28" s="8"/>
      <c r="H28" s="8"/>
      <c r="I28" s="8"/>
    </row>
    <row r="29" spans="1:12" ht="20.25" customHeight="1" x14ac:dyDescent="0.35">
      <c r="D29" s="15" t="s">
        <v>6</v>
      </c>
      <c r="E29" s="9"/>
      <c r="F29" s="36"/>
      <c r="G29" s="9"/>
      <c r="H29" s="9"/>
      <c r="I29" s="9"/>
    </row>
    <row r="30" spans="1:12" ht="20.25" customHeight="1" x14ac:dyDescent="0.35">
      <c r="D30" s="15" t="s">
        <v>7</v>
      </c>
      <c r="E30" s="9"/>
      <c r="F30" s="36"/>
      <c r="G30" s="9"/>
      <c r="H30" s="9"/>
      <c r="I30" s="9"/>
    </row>
    <row r="31" spans="1:12" ht="20.25" customHeight="1" x14ac:dyDescent="0.35">
      <c r="D31" s="15" t="s">
        <v>8</v>
      </c>
      <c r="E31" s="9"/>
      <c r="F31" s="36"/>
      <c r="G31" s="9"/>
      <c r="H31" s="9"/>
      <c r="I31" s="9"/>
    </row>
    <row r="32" spans="1:12" x14ac:dyDescent="0.35">
      <c r="D32" s="15" t="s">
        <v>9</v>
      </c>
      <c r="E32" s="9"/>
      <c r="F32" s="36"/>
      <c r="G32" s="9"/>
      <c r="H32" s="9"/>
      <c r="I32" s="9"/>
    </row>
    <row r="33" spans="4:9" x14ac:dyDescent="0.35">
      <c r="D33" s="15" t="s">
        <v>10</v>
      </c>
      <c r="E33" s="9"/>
      <c r="F33" s="36"/>
      <c r="G33" s="9"/>
      <c r="H33" s="9"/>
      <c r="I33" s="9"/>
    </row>
    <row r="34" spans="4:9" x14ac:dyDescent="0.35">
      <c r="D34" s="15" t="s">
        <v>11</v>
      </c>
      <c r="E34" s="9"/>
      <c r="F34" s="36"/>
      <c r="G34" s="9"/>
      <c r="H34" s="9"/>
      <c r="I34" s="9"/>
    </row>
    <row r="35" spans="4:9" s="11" customFormat="1" ht="15.6" x14ac:dyDescent="0.3">
      <c r="D35" s="16" t="s">
        <v>12</v>
      </c>
      <c r="E35" s="10"/>
      <c r="F35" s="37"/>
      <c r="G35" s="10"/>
      <c r="H35" s="10"/>
    </row>
    <row r="36" spans="4:9" s="11" customFormat="1" ht="15.6" x14ac:dyDescent="0.3">
      <c r="D36" s="16" t="s">
        <v>13</v>
      </c>
      <c r="E36" s="10"/>
      <c r="F36" s="37"/>
      <c r="G36" s="10"/>
      <c r="H36" s="10"/>
    </row>
    <row r="37" spans="4:9" s="13" customFormat="1" ht="20.25" customHeight="1" x14ac:dyDescent="0.35">
      <c r="D37" s="17" t="s">
        <v>14</v>
      </c>
      <c r="E37" s="12"/>
      <c r="F37" s="38"/>
    </row>
    <row r="38" spans="4:9" s="8" customFormat="1" ht="14.4" x14ac:dyDescent="0.3">
      <c r="D38" s="14"/>
      <c r="E38" s="9"/>
      <c r="F38" s="36"/>
      <c r="G38" s="9"/>
      <c r="H38" s="9"/>
      <c r="I38" s="9"/>
    </row>
    <row r="39" spans="4:9" s="9" customFormat="1" ht="13.8" x14ac:dyDescent="0.3">
      <c r="F39" s="36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8"/>
      <c r="E41" s="8"/>
      <c r="F41" s="35"/>
      <c r="G41" s="8"/>
      <c r="H41" s="8"/>
      <c r="I41" s="8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9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5" spans="4:9" x14ac:dyDescent="0.35">
      <c r="D45" s="9"/>
      <c r="E45" s="9"/>
      <c r="F45" s="36"/>
      <c r="G45" s="9"/>
      <c r="H45" s="9"/>
      <c r="I45" s="9"/>
    </row>
    <row r="46" spans="4:9" x14ac:dyDescent="0.35">
      <c r="D46" s="9"/>
      <c r="E46" s="9"/>
      <c r="F46" s="36"/>
      <c r="G46" s="9"/>
      <c r="H46" s="9"/>
      <c r="I46" s="9"/>
    </row>
    <row r="47" spans="4:9" x14ac:dyDescent="0.35">
      <c r="D47" s="9"/>
      <c r="E47" s="9"/>
      <c r="F47" s="36"/>
      <c r="G47" s="9"/>
      <c r="H47" s="9"/>
      <c r="I47" s="9"/>
    </row>
    <row r="48" spans="4:9" x14ac:dyDescent="0.35">
      <c r="D48" s="14"/>
      <c r="E48" s="9"/>
      <c r="F48" s="36"/>
      <c r="G48" s="9"/>
      <c r="H48" s="9"/>
      <c r="I48" s="9"/>
    </row>
    <row r="49" spans="4:9" x14ac:dyDescent="0.35">
      <c r="D49" s="9"/>
      <c r="E49" s="9"/>
      <c r="F49" s="36"/>
      <c r="G49" s="9"/>
      <c r="H49" s="9"/>
      <c r="I49" s="9"/>
    </row>
    <row r="51" spans="4:9" x14ac:dyDescent="0.35">
      <c r="D51" s="1"/>
      <c r="E51" s="1"/>
      <c r="F51" s="33"/>
      <c r="G51" s="1"/>
      <c r="H51" s="1"/>
      <c r="I51" s="1"/>
    </row>
    <row r="66" spans="4:9" x14ac:dyDescent="0.35">
      <c r="D66" s="9"/>
      <c r="E66" s="9"/>
      <c r="F66" s="36"/>
      <c r="G66" s="9"/>
      <c r="H66" s="9"/>
      <c r="I66" s="9"/>
    </row>
    <row r="67" spans="4:9" x14ac:dyDescent="0.35">
      <c r="D67" s="9"/>
      <c r="E67" s="9"/>
      <c r="F67" s="36"/>
      <c r="G67" s="9"/>
      <c r="H67" s="9"/>
      <c r="I67" s="9"/>
    </row>
    <row r="68" spans="4:9" x14ac:dyDescent="0.35">
      <c r="D68" s="9"/>
      <c r="E68" s="9"/>
      <c r="F68" s="36"/>
      <c r="G68" s="9"/>
      <c r="H68" s="9"/>
      <c r="I68" s="9"/>
    </row>
    <row r="69" spans="4:9" x14ac:dyDescent="0.35">
      <c r="D69" s="14"/>
      <c r="E69" s="9"/>
      <c r="F69" s="36"/>
      <c r="G69" s="9"/>
      <c r="H69" s="9"/>
      <c r="I69" s="9"/>
    </row>
    <row r="70" spans="4:9" x14ac:dyDescent="0.35">
      <c r="D70" s="9"/>
      <c r="E70" s="9"/>
      <c r="F70" s="36"/>
      <c r="G70" s="9"/>
      <c r="H70" s="9"/>
      <c r="I70" s="9"/>
    </row>
  </sheetData>
  <sortState ref="D7:L18">
    <sortCondition ref="D7"/>
  </sortState>
  <customSheetViews>
    <customSheetView guid="{744BB052-D863-41D2-951C-2AB325855A97}" scale="102" showPageBreaks="1" fitToPage="1" printArea="1">
      <selection activeCell="C12" sqref="C12"/>
      <rowBreaks count="1" manualBreakCount="1">
        <brk id="38" min="3" max="10" man="1"/>
      </rowBreaks>
      <colBreaks count="1" manualBreakCount="1">
        <brk id="13" max="30" man="1"/>
      </colBreaks>
      <pageMargins left="0.17" right="0.17" top="0.75" bottom="0.75" header="0.3" footer="0.3"/>
      <pageSetup scale="71" orientation="landscape" r:id="rId1"/>
    </customSheetView>
    <customSheetView guid="{E646B2A6-D876-4850-BD6A-9EDE7D7D90A5}">
      <selection activeCell="B9" sqref="B9:E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B9" sqref="B9:E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cale="102" showPageBreaks="1" printArea="1" topLeftCell="B2">
      <selection activeCell="G16" activeCellId="2" sqref="G14:H14 G12 G16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cale="102" showPageBreaks="1" printArea="1" topLeftCell="B1">
      <selection activeCell="D18" sqref="D18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6">
    <cfRule type="containsText" dxfId="28" priority="1" operator="containsText" text="No Post">
      <formula>NOT(ISERROR(SEARCH("No Post",L7)))</formula>
    </cfRule>
  </conditionalFormatting>
  <pageMargins left="0.17" right="0.17" top="0.75" bottom="0.75" header="0.3" footer="0.3"/>
  <pageSetup scale="71" orientation="landscape" r:id="rId6"/>
  <rowBreaks count="1" manualBreakCount="1">
    <brk id="38" min="3" max="10" man="1"/>
  </rowBreaks>
  <colBreaks count="1" manualBreakCount="1">
    <brk id="13" max="30" man="1"/>
  </colBrea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4"/>
  <sheetViews>
    <sheetView topLeftCell="A2" zoomScaleNormal="100" zoomScaleSheetLayoutView="100" workbookViewId="0">
      <selection activeCell="D9" sqref="D9:K9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7.7773437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4" thickBot="1" x14ac:dyDescent="0.5">
      <c r="A5" s="377" t="s">
        <v>175</v>
      </c>
      <c r="B5" s="378"/>
      <c r="C5" s="378"/>
      <c r="D5" s="378"/>
      <c r="E5" s="378"/>
      <c r="F5" s="378"/>
      <c r="G5" s="378"/>
      <c r="H5" s="378"/>
      <c r="I5" s="378"/>
      <c r="J5" s="6" t="s">
        <v>18</v>
      </c>
      <c r="K5" s="3" t="str">
        <f ca="1">CONCATENATE((MID(CELL("filename",K5),FIND("]",CELL("filename",K5))+1,255)),"/04/2026")</f>
        <v>3/04/2026</v>
      </c>
    </row>
    <row r="6" spans="1:12" ht="18.600000000000001" thickBot="1" x14ac:dyDescent="0.4">
      <c r="A6" s="63"/>
      <c r="B6" s="119"/>
      <c r="C6" s="119"/>
      <c r="D6" s="64" t="s">
        <v>1</v>
      </c>
      <c r="E6" s="64" t="s">
        <v>2</v>
      </c>
      <c r="F6" s="65" t="s">
        <v>21</v>
      </c>
      <c r="G6" s="64" t="s">
        <v>16</v>
      </c>
      <c r="H6" s="64" t="s">
        <v>17</v>
      </c>
      <c r="I6" s="64" t="s">
        <v>3</v>
      </c>
      <c r="J6" s="66" t="s">
        <v>20</v>
      </c>
      <c r="K6" s="67" t="s">
        <v>4</v>
      </c>
    </row>
    <row r="7" spans="1:12" x14ac:dyDescent="0.35">
      <c r="A7" s="43">
        <v>1</v>
      </c>
      <c r="B7" s="43"/>
      <c r="C7" s="43"/>
      <c r="D7" s="120">
        <v>663</v>
      </c>
      <c r="E7" s="125" t="s">
        <v>71</v>
      </c>
      <c r="F7" s="48">
        <v>46116</v>
      </c>
      <c r="G7" s="46">
        <v>4</v>
      </c>
      <c r="H7" s="46">
        <v>1</v>
      </c>
      <c r="I7" s="46"/>
      <c r="J7" s="126" t="s">
        <v>179</v>
      </c>
      <c r="K7" s="106" t="s">
        <v>44</v>
      </c>
      <c r="L7" s="79" t="s">
        <v>201</v>
      </c>
    </row>
    <row r="8" spans="1:12" x14ac:dyDescent="0.35">
      <c r="A8" s="54">
        <v>2</v>
      </c>
      <c r="B8" s="129"/>
      <c r="C8" s="129"/>
      <c r="D8" s="128">
        <v>671</v>
      </c>
      <c r="E8" s="106" t="s">
        <v>174</v>
      </c>
      <c r="F8" s="121">
        <v>46116</v>
      </c>
      <c r="G8" s="106">
        <v>2</v>
      </c>
      <c r="H8" s="106"/>
      <c r="I8" s="106"/>
      <c r="J8" s="127" t="s">
        <v>170</v>
      </c>
      <c r="K8" s="106" t="s">
        <v>173</v>
      </c>
      <c r="L8" s="79" t="s">
        <v>201</v>
      </c>
    </row>
    <row r="9" spans="1:12" x14ac:dyDescent="0.35">
      <c r="A9" s="54">
        <v>3</v>
      </c>
      <c r="B9" s="43"/>
      <c r="C9" s="43"/>
      <c r="D9" s="122">
        <v>672</v>
      </c>
      <c r="E9" s="123" t="s">
        <v>162</v>
      </c>
      <c r="F9" s="48">
        <v>46116</v>
      </c>
      <c r="G9" s="46">
        <v>2</v>
      </c>
      <c r="H9" s="46"/>
      <c r="I9" s="46"/>
      <c r="J9" s="118" t="s">
        <v>125</v>
      </c>
      <c r="K9" s="46" t="s">
        <v>163</v>
      </c>
      <c r="L9" s="79" t="str">
        <f>IF(OR(NOT(ISERROR(MATCH(RIGHT(D9,3)+0,#REF!,0))),NOT(ISERROR(MATCH(LEFT(D9,3)+0,#REF!,0)))),"No Post","")</f>
        <v/>
      </c>
    </row>
    <row r="10" spans="1:12" x14ac:dyDescent="0.35">
      <c r="A10" s="54">
        <v>4</v>
      </c>
      <c r="B10" s="129"/>
      <c r="C10" s="129"/>
      <c r="D10" s="124">
        <v>817</v>
      </c>
      <c r="E10" s="46" t="s">
        <v>141</v>
      </c>
      <c r="F10" s="48">
        <v>46123</v>
      </c>
      <c r="G10" s="46">
        <v>2</v>
      </c>
      <c r="H10" s="46">
        <v>2</v>
      </c>
      <c r="I10" s="46"/>
      <c r="J10" s="100" t="s">
        <v>132</v>
      </c>
      <c r="K10" s="46" t="s">
        <v>117</v>
      </c>
      <c r="L10" s="79" t="str">
        <f>IF(OR(NOT(ISERROR(MATCH(RIGHT(D10,3)+0,#REF!,0))),NOT(ISERROR(MATCH(LEFT(D10,3)+0,#REF!,0)))),"No Post","")</f>
        <v/>
      </c>
    </row>
    <row r="11" spans="1:12" x14ac:dyDescent="0.35">
      <c r="A11" s="54">
        <v>5</v>
      </c>
      <c r="B11" s="130"/>
      <c r="C11" s="130"/>
      <c r="D11" s="100">
        <v>847</v>
      </c>
      <c r="E11" s="46" t="s">
        <v>176</v>
      </c>
      <c r="F11" s="48">
        <v>46117</v>
      </c>
      <c r="G11" s="46">
        <v>2</v>
      </c>
      <c r="H11" s="46"/>
      <c r="I11" s="46"/>
      <c r="J11" s="100" t="s">
        <v>132</v>
      </c>
      <c r="K11" s="46" t="s">
        <v>167</v>
      </c>
      <c r="L11" s="79" t="str">
        <f>IF(OR(NOT(ISERROR(MATCH(RIGHT(D11,3)+0,#REF!,0))),NOT(ISERROR(MATCH(LEFT(D11,3)+0,#REF!,0)))),"No Post","")</f>
        <v/>
      </c>
    </row>
    <row r="12" spans="1:12" x14ac:dyDescent="0.35">
      <c r="A12" s="54">
        <v>6</v>
      </c>
      <c r="B12" s="130"/>
      <c r="C12" s="130"/>
      <c r="D12" s="99">
        <v>849</v>
      </c>
      <c r="E12" s="94" t="s">
        <v>155</v>
      </c>
      <c r="F12" s="95">
        <v>46118</v>
      </c>
      <c r="G12" s="94">
        <v>2</v>
      </c>
      <c r="H12" s="94"/>
      <c r="I12" s="94"/>
      <c r="J12" s="99" t="s">
        <v>125</v>
      </c>
      <c r="K12" s="94" t="s">
        <v>156</v>
      </c>
      <c r="L12" s="79" t="str">
        <f>IF(OR(NOT(ISERROR(MATCH(RIGHT(D12,3)+0,#REF!,0))),NOT(ISERROR(MATCH(LEFT(D12,3)+0,#REF!,0)))),"No Post","")</f>
        <v/>
      </c>
    </row>
    <row r="13" spans="1:12" x14ac:dyDescent="0.35">
      <c r="A13" s="54">
        <v>7</v>
      </c>
      <c r="B13" s="43"/>
      <c r="C13" s="43"/>
      <c r="D13" s="124">
        <v>323</v>
      </c>
      <c r="E13" s="106" t="s">
        <v>98</v>
      </c>
      <c r="F13" s="121">
        <v>46122</v>
      </c>
      <c r="G13" s="106" t="s">
        <v>166</v>
      </c>
      <c r="H13" s="106"/>
      <c r="I13" s="106"/>
      <c r="J13" s="124" t="s">
        <v>132</v>
      </c>
      <c r="K13" s="106" t="s">
        <v>24</v>
      </c>
      <c r="L13" s="79" t="s">
        <v>67</v>
      </c>
    </row>
    <row r="14" spans="1:12" x14ac:dyDescent="0.35">
      <c r="A14" s="54">
        <v>8</v>
      </c>
      <c r="B14" s="54"/>
      <c r="C14" s="54"/>
      <c r="D14" s="46" t="s">
        <v>23</v>
      </c>
      <c r="E14" s="46" t="s">
        <v>31</v>
      </c>
      <c r="F14" s="48">
        <v>46123</v>
      </c>
      <c r="G14" s="46" t="s">
        <v>166</v>
      </c>
      <c r="H14" s="46" t="s">
        <v>166</v>
      </c>
      <c r="I14" s="46"/>
      <c r="J14" s="46">
        <v>2888448</v>
      </c>
      <c r="K14" s="46" t="s">
        <v>24</v>
      </c>
      <c r="L14" s="79" t="s">
        <v>67</v>
      </c>
    </row>
    <row r="15" spans="1:12" x14ac:dyDescent="0.35">
      <c r="A15" s="54">
        <v>9</v>
      </c>
      <c r="B15" s="43"/>
      <c r="C15" s="43"/>
      <c r="D15" s="106" t="s">
        <v>23</v>
      </c>
      <c r="E15" s="46" t="s">
        <v>51</v>
      </c>
      <c r="F15" s="48">
        <v>46122</v>
      </c>
      <c r="G15" s="46" t="s">
        <v>178</v>
      </c>
      <c r="H15" s="46"/>
      <c r="I15" s="46"/>
      <c r="J15" s="123">
        <v>3152680</v>
      </c>
      <c r="K15" s="46" t="s">
        <v>24</v>
      </c>
      <c r="L15" s="79" t="s">
        <v>67</v>
      </c>
    </row>
    <row r="16" spans="1:12" x14ac:dyDescent="0.35">
      <c r="A16" s="54">
        <v>10</v>
      </c>
      <c r="B16" s="54"/>
      <c r="C16" s="54"/>
      <c r="D16" s="46" t="s">
        <v>23</v>
      </c>
      <c r="E16" s="46" t="s">
        <v>22</v>
      </c>
      <c r="F16" s="48">
        <v>46117</v>
      </c>
      <c r="G16" s="46" t="s">
        <v>145</v>
      </c>
      <c r="H16" s="46"/>
      <c r="I16" s="46"/>
      <c r="J16" s="46">
        <v>2914775</v>
      </c>
      <c r="K16" s="46" t="s">
        <v>24</v>
      </c>
      <c r="L16" s="79" t="s">
        <v>67</v>
      </c>
    </row>
    <row r="17" spans="1:12" ht="18.600000000000001" customHeight="1" x14ac:dyDescent="0.35">
      <c r="A17" s="54">
        <v>11</v>
      </c>
      <c r="B17" s="54"/>
      <c r="C17" s="54"/>
      <c r="D17" s="54"/>
      <c r="E17" s="78"/>
      <c r="F17" s="62"/>
      <c r="G17" s="54"/>
      <c r="H17" s="54"/>
      <c r="I17" s="54"/>
      <c r="J17" s="54"/>
      <c r="K17" s="54"/>
      <c r="L17" s="79"/>
    </row>
    <row r="18" spans="1:12" ht="18.600000000000001" customHeight="1" x14ac:dyDescent="0.35">
      <c r="A18" s="54">
        <v>12</v>
      </c>
      <c r="B18" s="54"/>
      <c r="C18" s="54"/>
      <c r="D18" s="46"/>
      <c r="E18" s="47"/>
      <c r="F18" s="48"/>
      <c r="G18" s="46"/>
      <c r="H18" s="46"/>
      <c r="I18" s="46"/>
      <c r="J18" s="47"/>
      <c r="K18" s="47"/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13</v>
      </c>
      <c r="B19" s="54"/>
      <c r="C19" s="54"/>
      <c r="D19" s="46"/>
      <c r="E19" s="47"/>
      <c r="F19" s="48"/>
      <c r="G19" s="46"/>
      <c r="H19" s="46"/>
      <c r="I19" s="46"/>
      <c r="J19" s="47"/>
      <c r="K19" s="47"/>
      <c r="L19" s="79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14</v>
      </c>
      <c r="B20" s="54"/>
      <c r="C20" s="54"/>
      <c r="D20" s="46"/>
      <c r="E20" s="47"/>
      <c r="F20" s="48"/>
      <c r="G20" s="46"/>
      <c r="H20" s="46"/>
      <c r="I20" s="46"/>
      <c r="J20" s="47"/>
      <c r="K20" s="47"/>
      <c r="L20" s="79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4">
        <v>15</v>
      </c>
      <c r="B21" s="54"/>
      <c r="C21" s="54"/>
      <c r="D21" s="46"/>
      <c r="E21" s="47"/>
      <c r="F21" s="48"/>
      <c r="G21" s="46"/>
      <c r="H21" s="46"/>
      <c r="I21" s="46"/>
      <c r="J21" s="47"/>
      <c r="K21" s="47"/>
      <c r="L21" s="79" t="str">
        <f>IF(OR(NOT(ISERROR(MATCH(RIGHT(D21,3)+0,#REF!,0))),NOT(ISERROR(MATCH(LEFT(D21,3)+0,#REF!,0)))),"No Post","")</f>
        <v/>
      </c>
    </row>
    <row r="22" spans="1:12" ht="20.25" customHeight="1" x14ac:dyDescent="0.35">
      <c r="A22" s="68"/>
      <c r="B22" s="68"/>
      <c r="C22" s="68"/>
      <c r="D22" s="68"/>
      <c r="E22" s="49" t="str">
        <f>"Remaning: "&amp;IFERROR(MID(A5, SEARCH("MAX", A5) + LEN("MAX"), SEARCH("PAX", A5) - SEARCH("MAX", A5) - LEN("MAX")), "")+0-SUM(G22:H22)</f>
        <v>Remaning: 8</v>
      </c>
      <c r="F22" s="69" t="s">
        <v>19</v>
      </c>
      <c r="G22" s="70">
        <f>SUM(G7:G21)</f>
        <v>14</v>
      </c>
      <c r="H22" s="70">
        <f>SUM(H7:H21)</f>
        <v>3</v>
      </c>
      <c r="I22" s="68"/>
      <c r="J22" s="68"/>
      <c r="K22" s="68"/>
    </row>
    <row r="23" spans="1:12" ht="20.25" customHeight="1" x14ac:dyDescent="0.35">
      <c r="A23" s="71"/>
      <c r="B23" s="71"/>
      <c r="C23" s="71"/>
      <c r="D23" s="72" t="s">
        <v>5</v>
      </c>
      <c r="E23" s="72"/>
      <c r="F23" s="73"/>
      <c r="G23" s="72"/>
      <c r="H23" s="72"/>
      <c r="I23" s="72"/>
      <c r="J23" s="71"/>
      <c r="K23" s="71"/>
    </row>
    <row r="24" spans="1:12" ht="20.25" customHeight="1" x14ac:dyDescent="0.35">
      <c r="A24" s="71"/>
      <c r="B24" s="71"/>
      <c r="C24" s="71"/>
      <c r="D24" s="74" t="s">
        <v>6</v>
      </c>
      <c r="E24" s="75"/>
      <c r="F24" s="76"/>
      <c r="G24" s="75"/>
      <c r="H24" s="75"/>
      <c r="I24" s="75"/>
      <c r="J24" s="71"/>
      <c r="K24" s="71"/>
    </row>
    <row r="25" spans="1:12" ht="20.25" customHeight="1" x14ac:dyDescent="0.35">
      <c r="A25" s="71"/>
      <c r="B25" s="71"/>
      <c r="C25" s="71"/>
      <c r="D25" s="74" t="s">
        <v>7</v>
      </c>
      <c r="E25" s="75"/>
      <c r="F25" s="76"/>
      <c r="G25" s="75"/>
      <c r="H25" s="75"/>
      <c r="I25" s="75"/>
      <c r="J25" s="71"/>
      <c r="K25" s="71"/>
    </row>
    <row r="26" spans="1:12" ht="20.25" customHeight="1" x14ac:dyDescent="0.35">
      <c r="A26" s="71"/>
      <c r="B26" s="71"/>
      <c r="C26" s="71"/>
      <c r="D26" s="74" t="s">
        <v>8</v>
      </c>
      <c r="E26" s="75"/>
      <c r="F26" s="76"/>
      <c r="G26" s="75"/>
      <c r="H26" s="75"/>
      <c r="I26" s="75"/>
      <c r="J26" s="71"/>
      <c r="K26" s="71"/>
    </row>
    <row r="27" spans="1:12" x14ac:dyDescent="0.35">
      <c r="A27" s="71"/>
      <c r="B27" s="71"/>
      <c r="C27" s="71"/>
      <c r="D27" s="74" t="s">
        <v>9</v>
      </c>
      <c r="E27" s="75"/>
      <c r="F27" s="76"/>
      <c r="G27" s="75"/>
      <c r="H27" s="75"/>
      <c r="I27" s="75"/>
      <c r="J27" s="71"/>
      <c r="K27" s="71"/>
    </row>
    <row r="28" spans="1:12" x14ac:dyDescent="0.35">
      <c r="A28" s="71"/>
      <c r="B28" s="71"/>
      <c r="C28" s="71"/>
      <c r="D28" s="74" t="s">
        <v>10</v>
      </c>
      <c r="E28" s="75"/>
      <c r="F28" s="76"/>
      <c r="G28" s="75"/>
      <c r="H28" s="75"/>
      <c r="I28" s="75"/>
      <c r="J28" s="71"/>
      <c r="K28" s="71"/>
    </row>
    <row r="29" spans="1:12" x14ac:dyDescent="0.35">
      <c r="D29" s="15" t="s">
        <v>11</v>
      </c>
      <c r="E29" s="9"/>
      <c r="F29" s="36"/>
      <c r="G29" s="9"/>
      <c r="H29" s="9"/>
      <c r="I29" s="9"/>
    </row>
    <row r="30" spans="1:12" s="11" customFormat="1" ht="15.6" x14ac:dyDescent="0.3">
      <c r="D30" s="16" t="s">
        <v>12</v>
      </c>
      <c r="E30" s="10"/>
      <c r="F30" s="37"/>
      <c r="G30" s="10"/>
      <c r="H30" s="10"/>
    </row>
    <row r="31" spans="1:12" s="11" customFormat="1" ht="15.6" x14ac:dyDescent="0.3">
      <c r="D31" s="16" t="s">
        <v>13</v>
      </c>
      <c r="E31" s="10"/>
      <c r="F31" s="37"/>
      <c r="G31" s="10"/>
      <c r="H31" s="10"/>
    </row>
    <row r="32" spans="1:12" s="13" customFormat="1" ht="20.25" customHeight="1" x14ac:dyDescent="0.35">
      <c r="D32" s="17" t="s">
        <v>14</v>
      </c>
      <c r="E32" s="12"/>
      <c r="F32" s="38"/>
    </row>
    <row r="33" spans="4:9" s="8" customFormat="1" ht="14.4" x14ac:dyDescent="0.3">
      <c r="D33" s="14"/>
      <c r="E33" s="9"/>
      <c r="F33" s="36"/>
      <c r="G33" s="9"/>
      <c r="H33" s="9"/>
      <c r="I33" s="9"/>
    </row>
    <row r="34" spans="4:9" x14ac:dyDescent="0.35">
      <c r="D34" s="9"/>
      <c r="E34" s="9"/>
      <c r="F34" s="36"/>
      <c r="G34" s="9"/>
      <c r="H34" s="9"/>
      <c r="I34" s="9"/>
    </row>
    <row r="35" spans="4:9" x14ac:dyDescent="0.35">
      <c r="D35" s="8"/>
      <c r="E35" s="8"/>
      <c r="F35" s="35"/>
      <c r="G35" s="8"/>
      <c r="H35" s="8"/>
      <c r="I35" s="8"/>
    </row>
    <row r="36" spans="4:9" x14ac:dyDescent="0.35">
      <c r="D36" s="9"/>
      <c r="E36" s="9"/>
      <c r="F36" s="36"/>
      <c r="G36" s="9"/>
      <c r="H36" s="9"/>
      <c r="I36" s="9"/>
    </row>
    <row r="37" spans="4:9" x14ac:dyDescent="0.35">
      <c r="D37" s="9"/>
      <c r="E37" s="9"/>
      <c r="F37" s="36"/>
      <c r="G37" s="9"/>
      <c r="H37" s="9"/>
      <c r="I37" s="9"/>
    </row>
    <row r="38" spans="4:9" x14ac:dyDescent="0.35">
      <c r="D38" s="9"/>
      <c r="E38" s="9"/>
      <c r="F38" s="36"/>
      <c r="G38" s="9"/>
      <c r="H38" s="9"/>
      <c r="I38" s="9"/>
    </row>
    <row r="39" spans="4:9" x14ac:dyDescent="0.35">
      <c r="D39" s="9"/>
      <c r="E39" s="9"/>
      <c r="F39" s="36"/>
      <c r="G39" s="9"/>
      <c r="H39" s="9"/>
      <c r="I39" s="9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14"/>
      <c r="E42" s="9"/>
      <c r="F42" s="36"/>
      <c r="G42" s="9"/>
      <c r="H42" s="9"/>
      <c r="I42" s="9"/>
    </row>
    <row r="43" spans="4:9" x14ac:dyDescent="0.35">
      <c r="D43" s="9"/>
      <c r="E43" s="9"/>
      <c r="F43" s="36"/>
      <c r="G43" s="9"/>
      <c r="H43" s="9"/>
      <c r="I43" s="9"/>
    </row>
    <row r="45" spans="4:9" x14ac:dyDescent="0.35">
      <c r="D45" s="1"/>
      <c r="E45" s="1"/>
      <c r="F45" s="33"/>
      <c r="G45" s="1"/>
      <c r="H45" s="1"/>
      <c r="I45" s="1"/>
    </row>
    <row r="60" spans="4:9" x14ac:dyDescent="0.35">
      <c r="D60" s="9"/>
      <c r="E60" s="9"/>
      <c r="F60" s="36"/>
      <c r="G60" s="9"/>
      <c r="H60" s="9"/>
      <c r="I60" s="9"/>
    </row>
    <row r="61" spans="4:9" x14ac:dyDescent="0.35">
      <c r="D61" s="9"/>
      <c r="E61" s="9"/>
      <c r="F61" s="36"/>
      <c r="G61" s="9"/>
      <c r="H61" s="9"/>
      <c r="I61" s="9"/>
    </row>
    <row r="62" spans="4:9" x14ac:dyDescent="0.35">
      <c r="D62" s="9"/>
      <c r="E62" s="9"/>
      <c r="F62" s="36"/>
      <c r="G62" s="9"/>
      <c r="H62" s="9"/>
      <c r="I62" s="9"/>
    </row>
    <row r="63" spans="4:9" x14ac:dyDescent="0.35">
      <c r="D63" s="14"/>
      <c r="E63" s="9"/>
      <c r="F63" s="36"/>
      <c r="G63" s="9"/>
      <c r="H63" s="9"/>
      <c r="I63" s="9"/>
    </row>
    <row r="64" spans="4:9" x14ac:dyDescent="0.35">
      <c r="D64" s="9"/>
      <c r="E64" s="9"/>
      <c r="F64" s="36"/>
      <c r="G64" s="9"/>
      <c r="H64" s="9"/>
      <c r="I64" s="9"/>
    </row>
  </sheetData>
  <sortState ref="D7:L17">
    <sortCondition ref="D7"/>
  </sortState>
  <customSheetViews>
    <customSheetView guid="{744BB052-D863-41D2-951C-2AB325855A97}" showPageBreaks="1" fitToPage="1" printArea="1" topLeftCell="A2">
      <selection activeCell="D9" sqref="D9:K9"/>
      <rowBreaks count="1" manualBreakCount="1">
        <brk id="32" min="3" max="10" man="1"/>
      </rowBreaks>
      <colBreaks count="1" manualBreakCount="1">
        <brk id="13" max="30" man="1"/>
      </colBreaks>
      <pageMargins left="0.17" right="0.17" top="0.75" bottom="0.75" header="0.3" footer="0.3"/>
      <pageSetup paperSize="9" scale="76" orientation="landscape" r:id="rId1"/>
    </customSheetView>
    <customSheetView guid="{E646B2A6-D876-4850-BD6A-9EDE7D7D90A5}" fitToPage="1">
      <selection activeCell="C22" sqref="C22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paperSize="9" scale="86" orientation="landscape" r:id="rId2"/>
    </customSheetView>
    <customSheetView guid="{BF5B6E81-A93C-498B-825D-A8F997D33B36}" showPageBreaks="1" fitToPage="1" printArea="1">
      <selection activeCell="B9" sqref="B9:I9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paperSize="9" scale="71" orientation="landscape" r:id="rId3"/>
    </customSheetView>
    <customSheetView guid="{F72E1D2B-35A0-48DE-9DE8-D5DC19588220}" showPageBreaks="1" fitToPage="1" printArea="1">
      <selection activeCell="H21" sqref="H21"/>
      <rowBreaks count="1" manualBreakCount="1">
        <brk id="32" min="3" max="10" man="1"/>
      </rowBreaks>
      <colBreaks count="1" manualBreakCount="1">
        <brk id="13" max="30" man="1"/>
      </colBreaks>
      <pageMargins left="0.17" right="0.17" top="0.75" bottom="0.75" header="0.3" footer="0.3"/>
      <pageSetup paperSize="9" scale="76" orientation="landscape" r:id="rId4"/>
    </customSheetView>
    <customSheetView guid="{4E59406A-696F-45F3-96CE-A9A2B9D4DCC4}" showPageBreaks="1" fitToPage="1" printArea="1">
      <selection activeCell="C22" sqref="C22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paperSize="9" scale="76" orientation="landscape" r:id="rId5"/>
    </customSheetView>
  </customSheetViews>
  <mergeCells count="1">
    <mergeCell ref="A5:I5"/>
  </mergeCells>
  <conditionalFormatting sqref="L7:L21">
    <cfRule type="containsText" dxfId="27" priority="1" operator="containsText" text="No Post">
      <formula>NOT(ISERROR(SEARCH("No Post",L7)))</formula>
    </cfRule>
  </conditionalFormatting>
  <pageMargins left="0.17" right="0.17" top="0.75" bottom="0.75" header="0.3" footer="0.3"/>
  <pageSetup paperSize="9" scale="76" orientation="landscape" r:id="rId6"/>
  <rowBreaks count="1" manualBreakCount="1">
    <brk id="32" min="3" max="10" man="1"/>
  </rowBreaks>
  <colBreaks count="1" manualBreakCount="1">
    <brk id="13" max="30" man="1"/>
  </colBrea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2"/>
  <sheetViews>
    <sheetView topLeftCell="A4" zoomScaleNormal="100" zoomScaleSheetLayoutView="100" workbookViewId="0">
      <selection activeCell="F14" sqref="F14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4" thickBot="1" x14ac:dyDescent="0.5">
      <c r="A5" s="377" t="s">
        <v>214</v>
      </c>
      <c r="B5" s="378"/>
      <c r="C5" s="378"/>
      <c r="D5" s="378"/>
      <c r="E5" s="378"/>
      <c r="F5" s="378"/>
      <c r="G5" s="378"/>
      <c r="H5" s="378"/>
      <c r="I5" s="378"/>
      <c r="J5" s="6" t="s">
        <v>18</v>
      </c>
      <c r="K5" s="3" t="str">
        <f ca="1">CONCATENATE((MID(CELL("filename",K5),FIND("]",CELL("filename",K5))+1,255)),"/04/2026")</f>
        <v>4/04/2026</v>
      </c>
    </row>
    <row r="6" spans="1:12" x14ac:dyDescent="0.35">
      <c r="A6" s="135"/>
      <c r="B6" s="145"/>
      <c r="C6" s="145"/>
      <c r="D6" s="89" t="s">
        <v>1</v>
      </c>
      <c r="E6" s="89" t="s">
        <v>2</v>
      </c>
      <c r="F6" s="90" t="s">
        <v>21</v>
      </c>
      <c r="G6" s="89" t="s">
        <v>16</v>
      </c>
      <c r="H6" s="89" t="s">
        <v>17</v>
      </c>
      <c r="I6" s="89" t="s">
        <v>3</v>
      </c>
      <c r="J6" s="91" t="s">
        <v>20</v>
      </c>
      <c r="K6" s="92" t="s">
        <v>4</v>
      </c>
    </row>
    <row r="7" spans="1:12" x14ac:dyDescent="0.35">
      <c r="A7" s="145"/>
      <c r="B7" s="151"/>
      <c r="C7" s="151"/>
      <c r="D7" s="152"/>
      <c r="E7" s="156" t="s">
        <v>228</v>
      </c>
      <c r="F7" s="153"/>
      <c r="G7" s="152"/>
      <c r="H7" s="152"/>
      <c r="I7" s="152"/>
      <c r="J7" s="154"/>
      <c r="K7" s="155"/>
    </row>
    <row r="8" spans="1:12" x14ac:dyDescent="0.35">
      <c r="A8" s="43">
        <v>1</v>
      </c>
      <c r="B8" s="129"/>
      <c r="C8" s="129"/>
      <c r="D8" s="128">
        <v>117</v>
      </c>
      <c r="E8" s="106" t="s">
        <v>212</v>
      </c>
      <c r="F8" s="121">
        <v>46122</v>
      </c>
      <c r="G8" s="106">
        <v>2</v>
      </c>
      <c r="H8" s="106"/>
      <c r="I8" s="106"/>
      <c r="J8" s="98" t="s">
        <v>106</v>
      </c>
      <c r="K8" s="106" t="s">
        <v>213</v>
      </c>
      <c r="L8" s="79" t="str">
        <f>IF(OR(NOT(ISERROR(MATCH(RIGHT(D8,3)+0,#REF!,0))),NOT(ISERROR(MATCH(LEFT(D8,3)+0,#REF!,0)))),"No Post","")</f>
        <v/>
      </c>
    </row>
    <row r="9" spans="1:12" x14ac:dyDescent="0.35">
      <c r="A9" s="54">
        <v>2</v>
      </c>
      <c r="B9" s="130"/>
      <c r="C9" s="130"/>
      <c r="D9" s="98">
        <v>119</v>
      </c>
      <c r="E9" s="46" t="s">
        <v>216</v>
      </c>
      <c r="F9" s="48">
        <v>46118</v>
      </c>
      <c r="G9" s="46">
        <v>2</v>
      </c>
      <c r="H9" s="46"/>
      <c r="I9" s="46"/>
      <c r="J9" s="98" t="s">
        <v>106</v>
      </c>
      <c r="K9" s="46" t="s">
        <v>200</v>
      </c>
      <c r="L9" s="79" t="str">
        <f>IF(OR(NOT(ISERROR(MATCH(RIGHT(D9,3)+0,#REF!,0))),NOT(ISERROR(MATCH(LEFT(D9,3)+0,#REF!,0)))),"No Post","")</f>
        <v/>
      </c>
    </row>
    <row r="10" spans="1:12" x14ac:dyDescent="0.35">
      <c r="A10" s="54">
        <v>3</v>
      </c>
      <c r="B10" s="130"/>
      <c r="C10" s="130"/>
      <c r="D10" s="100">
        <v>211</v>
      </c>
      <c r="E10" s="123" t="s">
        <v>218</v>
      </c>
      <c r="F10" s="48">
        <v>46121</v>
      </c>
      <c r="G10" s="46">
        <v>2</v>
      </c>
      <c r="H10" s="46"/>
      <c r="I10" s="46"/>
      <c r="J10" s="138" t="s">
        <v>132</v>
      </c>
      <c r="K10" s="46" t="s">
        <v>213</v>
      </c>
      <c r="L10" s="79" t="str">
        <f>IF(OR(NOT(ISERROR(MATCH(RIGHT(D10,3)+0,#REF!,0))),NOT(ISERROR(MATCH(LEFT(D10,3)+0,#REF!,0)))),"No Post","")</f>
        <v/>
      </c>
    </row>
    <row r="11" spans="1:12" x14ac:dyDescent="0.35">
      <c r="A11" s="54">
        <v>4</v>
      </c>
      <c r="B11" s="130"/>
      <c r="C11" s="130"/>
      <c r="D11" s="100">
        <v>300</v>
      </c>
      <c r="E11" s="46" t="s">
        <v>219</v>
      </c>
      <c r="F11" s="48">
        <v>46121</v>
      </c>
      <c r="G11" s="46">
        <v>2</v>
      </c>
      <c r="H11" s="46"/>
      <c r="I11" s="46"/>
      <c r="J11" s="100" t="s">
        <v>132</v>
      </c>
      <c r="K11" s="46" t="s">
        <v>213</v>
      </c>
      <c r="L11" s="79" t="str">
        <f>IF(OR(NOT(ISERROR(MATCH(RIGHT(D11,3)+0,#REF!,0))),NOT(ISERROR(MATCH(LEFT(D11,3)+0,#REF!,0)))),"No Post","")</f>
        <v/>
      </c>
    </row>
    <row r="12" spans="1:12" x14ac:dyDescent="0.35">
      <c r="A12" s="54">
        <v>5</v>
      </c>
      <c r="B12" s="54"/>
      <c r="C12" s="54"/>
      <c r="D12" s="97">
        <v>308</v>
      </c>
      <c r="E12" s="46" t="s">
        <v>40</v>
      </c>
      <c r="F12" s="48">
        <v>46123</v>
      </c>
      <c r="G12" s="46" t="s">
        <v>229</v>
      </c>
      <c r="H12" s="46"/>
      <c r="I12" s="46"/>
      <c r="J12" s="97" t="s">
        <v>124</v>
      </c>
      <c r="K12" s="46" t="s">
        <v>24</v>
      </c>
      <c r="L12" s="79" t="s">
        <v>67</v>
      </c>
    </row>
    <row r="13" spans="1:12" x14ac:dyDescent="0.35">
      <c r="A13" s="132">
        <v>6</v>
      </c>
      <c r="B13" s="129"/>
      <c r="C13" s="129"/>
      <c r="D13" s="140">
        <v>608</v>
      </c>
      <c r="E13" s="106" t="s">
        <v>31</v>
      </c>
      <c r="F13" s="121">
        <v>46123</v>
      </c>
      <c r="G13" s="106">
        <v>2</v>
      </c>
      <c r="H13" s="106"/>
      <c r="I13" s="106"/>
      <c r="J13" s="140" t="s">
        <v>124</v>
      </c>
      <c r="K13" s="106" t="s">
        <v>164</v>
      </c>
    </row>
    <row r="14" spans="1:12" x14ac:dyDescent="0.35">
      <c r="A14" s="54">
        <v>7</v>
      </c>
      <c r="B14" s="130"/>
      <c r="C14" s="130"/>
      <c r="D14" s="98" t="s">
        <v>127</v>
      </c>
      <c r="E14" s="46" t="s">
        <v>168</v>
      </c>
      <c r="F14" s="48">
        <v>46116</v>
      </c>
      <c r="G14" s="46">
        <v>2</v>
      </c>
      <c r="H14" s="46"/>
      <c r="I14" s="46"/>
      <c r="J14" s="98" t="s">
        <v>106</v>
      </c>
      <c r="K14" s="46" t="s">
        <v>167</v>
      </c>
      <c r="L14" s="79" t="str">
        <f>IF(OR(NOT(ISERROR(MATCH(RIGHT(D14,3)+0,#REF!,0))),NOT(ISERROR(MATCH(LEFT(D14,3)+0,#REF!,0)))),"No Post","")</f>
        <v/>
      </c>
    </row>
    <row r="15" spans="1:12" x14ac:dyDescent="0.35">
      <c r="A15" s="54">
        <v>8</v>
      </c>
      <c r="B15" s="130"/>
      <c r="C15" s="130"/>
      <c r="D15" s="99" t="s">
        <v>224</v>
      </c>
      <c r="E15" s="46" t="s">
        <v>162</v>
      </c>
      <c r="F15" s="48">
        <v>46116</v>
      </c>
      <c r="G15" s="46">
        <v>2</v>
      </c>
      <c r="H15" s="46"/>
      <c r="I15" s="46"/>
      <c r="J15" s="99" t="s">
        <v>125</v>
      </c>
      <c r="K15" s="46" t="s">
        <v>163</v>
      </c>
      <c r="L15" s="79" t="str">
        <f>IF(OR(NOT(ISERROR(MATCH(RIGHT(D15,3)+0,#REF!,0))),NOT(ISERROR(MATCH(LEFT(D15,3)+0,#REF!,0)))),"No Post","")</f>
        <v/>
      </c>
    </row>
    <row r="16" spans="1:12" x14ac:dyDescent="0.35">
      <c r="A16" s="54">
        <v>9</v>
      </c>
      <c r="B16" s="130"/>
      <c r="C16" s="130"/>
      <c r="D16" s="98">
        <v>679</v>
      </c>
      <c r="E16" s="46" t="s">
        <v>204</v>
      </c>
      <c r="F16" s="48">
        <v>46117</v>
      </c>
      <c r="G16" s="46">
        <v>2</v>
      </c>
      <c r="H16" s="46"/>
      <c r="I16" s="46"/>
      <c r="J16" s="98" t="s">
        <v>106</v>
      </c>
      <c r="K16" s="46" t="s">
        <v>203</v>
      </c>
      <c r="L16" s="79" t="str">
        <f>IF(OR(NOT(ISERROR(MATCH(RIGHT(D16,3)+0,#REF!,0))),NOT(ISERROR(MATCH(LEFT(D16,3)+0,#REF!,0)))),"No Post","")</f>
        <v/>
      </c>
    </row>
    <row r="17" spans="1:12" x14ac:dyDescent="0.35">
      <c r="A17" s="54">
        <v>10</v>
      </c>
      <c r="B17" s="130"/>
      <c r="C17" s="130"/>
      <c r="D17" s="98">
        <v>848</v>
      </c>
      <c r="E17" s="46" t="s">
        <v>165</v>
      </c>
      <c r="F17" s="48">
        <v>46118</v>
      </c>
      <c r="G17" s="46">
        <v>2</v>
      </c>
      <c r="H17" s="46"/>
      <c r="I17" s="46"/>
      <c r="J17" s="98" t="s">
        <v>106</v>
      </c>
      <c r="K17" s="46" t="s">
        <v>164</v>
      </c>
      <c r="L17" s="79" t="str">
        <f>IF(OR(NOT(ISERROR(MATCH(RIGHT(D17,3)+0,#REF!,0))),NOT(ISERROR(MATCH(LEFT(D17,3)+0,#REF!,0)))),"No Post","")</f>
        <v/>
      </c>
    </row>
    <row r="18" spans="1:12" ht="18.600000000000001" customHeight="1" x14ac:dyDescent="0.35">
      <c r="A18" s="54">
        <v>11</v>
      </c>
      <c r="B18" s="146"/>
      <c r="C18" s="146"/>
      <c r="D18" s="139">
        <v>855</v>
      </c>
      <c r="E18" s="136" t="s">
        <v>161</v>
      </c>
      <c r="F18" s="137">
        <v>46117</v>
      </c>
      <c r="G18" s="136">
        <v>2</v>
      </c>
      <c r="H18" s="136"/>
      <c r="I18" s="136"/>
      <c r="J18" s="139" t="s">
        <v>132</v>
      </c>
      <c r="K18" s="136" t="s">
        <v>160</v>
      </c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/>
      <c r="B19" s="146"/>
      <c r="C19" s="146"/>
      <c r="D19" s="157">
        <v>629</v>
      </c>
      <c r="E19" s="136"/>
      <c r="F19" s="137"/>
      <c r="G19" s="136">
        <v>2</v>
      </c>
      <c r="H19" s="136"/>
      <c r="I19" s="136"/>
      <c r="J19" s="140" t="s">
        <v>124</v>
      </c>
      <c r="K19" s="136"/>
      <c r="L19" s="79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12</v>
      </c>
      <c r="B20" s="54"/>
      <c r="C20" s="54"/>
      <c r="D20" s="144">
        <v>206</v>
      </c>
      <c r="E20" s="46" t="s">
        <v>207</v>
      </c>
      <c r="F20" s="48"/>
      <c r="G20" s="144" t="s">
        <v>208</v>
      </c>
      <c r="H20" s="46"/>
      <c r="I20" s="46"/>
      <c r="J20" s="46"/>
      <c r="K20" s="46" t="s">
        <v>206</v>
      </c>
      <c r="L20" s="79"/>
    </row>
    <row r="21" spans="1:12" ht="18.600000000000001" customHeight="1" x14ac:dyDescent="0.35">
      <c r="A21" s="54"/>
      <c r="B21" s="147"/>
      <c r="C21" s="147"/>
      <c r="D21" s="148"/>
      <c r="E21" s="150" t="s">
        <v>227</v>
      </c>
      <c r="F21" s="149"/>
      <c r="G21" s="148"/>
      <c r="H21" s="148"/>
      <c r="I21" s="148"/>
      <c r="J21" s="148"/>
      <c r="K21" s="148"/>
      <c r="L21" s="79"/>
    </row>
    <row r="22" spans="1:12" ht="18.600000000000001" customHeight="1" x14ac:dyDescent="0.35">
      <c r="A22" s="54">
        <v>14</v>
      </c>
      <c r="B22" s="130"/>
      <c r="C22" s="130"/>
      <c r="D22" s="98">
        <v>600</v>
      </c>
      <c r="E22" s="46" t="s">
        <v>41</v>
      </c>
      <c r="F22" s="48">
        <v>46120</v>
      </c>
      <c r="G22" s="46">
        <v>4</v>
      </c>
      <c r="H22" s="46">
        <v>1</v>
      </c>
      <c r="I22" s="46"/>
      <c r="J22" s="98" t="s">
        <v>106</v>
      </c>
      <c r="K22" s="46" t="s">
        <v>24</v>
      </c>
      <c r="L22" s="79" t="s">
        <v>67</v>
      </c>
    </row>
    <row r="23" spans="1:12" ht="18.600000000000001" customHeight="1" x14ac:dyDescent="0.35">
      <c r="A23" s="54">
        <v>15</v>
      </c>
      <c r="B23" s="129"/>
      <c r="C23" s="129"/>
      <c r="D23" s="140">
        <v>882</v>
      </c>
      <c r="E23" s="123" t="s">
        <v>177</v>
      </c>
      <c r="F23" s="48">
        <v>46125</v>
      </c>
      <c r="G23" s="46">
        <v>4</v>
      </c>
      <c r="H23" s="46"/>
      <c r="I23" s="46"/>
      <c r="J23" s="141" t="s">
        <v>124</v>
      </c>
      <c r="K23" s="46" t="s">
        <v>167</v>
      </c>
      <c r="L23" s="79" t="str">
        <f>IF(OR(NOT(ISERROR(MATCH(RIGHT(D23,3)+0,#REF!,0))),NOT(ISERROR(MATCH(LEFT(D23,3)+0,#REF!,0)))),"No Post","")</f>
        <v/>
      </c>
    </row>
    <row r="24" spans="1:12" ht="18.600000000000001" customHeight="1" x14ac:dyDescent="0.35">
      <c r="A24" s="54">
        <v>16</v>
      </c>
      <c r="B24" s="54"/>
      <c r="C24" s="54"/>
      <c r="D24" s="143">
        <v>886</v>
      </c>
      <c r="E24" s="125" t="s">
        <v>75</v>
      </c>
      <c r="F24" s="48">
        <v>46120</v>
      </c>
      <c r="G24" s="46" t="s">
        <v>166</v>
      </c>
      <c r="H24" s="46" t="s">
        <v>225</v>
      </c>
      <c r="I24" s="46"/>
      <c r="J24" s="142" t="s">
        <v>217</v>
      </c>
      <c r="K24" s="46" t="s">
        <v>76</v>
      </c>
      <c r="L24" s="79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54">
        <v>17</v>
      </c>
      <c r="B25" s="130"/>
      <c r="C25" s="130"/>
      <c r="D25" s="98">
        <v>892</v>
      </c>
      <c r="E25" s="46" t="s">
        <v>144</v>
      </c>
      <c r="F25" s="48">
        <v>46118</v>
      </c>
      <c r="G25" s="46">
        <v>2</v>
      </c>
      <c r="H25" s="46"/>
      <c r="I25" s="46"/>
      <c r="J25" s="98" t="s">
        <v>106</v>
      </c>
      <c r="K25" s="46" t="s">
        <v>143</v>
      </c>
      <c r="L25" s="79" t="str">
        <f>IF(OR(NOT(ISERROR(MATCH(RIGHT(D25,3)+0,#REF!,0))),NOT(ISERROR(MATCH(LEFT(D25,3)+0,#REF!,0)))),"No Post","")</f>
        <v/>
      </c>
    </row>
    <row r="26" spans="1:12" ht="18.600000000000001" customHeight="1" x14ac:dyDescent="0.35">
      <c r="A26" s="54">
        <v>18</v>
      </c>
      <c r="B26" s="130"/>
      <c r="C26" s="130"/>
      <c r="D26" s="46">
        <v>333</v>
      </c>
      <c r="E26" s="46" t="s">
        <v>37</v>
      </c>
      <c r="F26" s="48">
        <v>46119</v>
      </c>
      <c r="G26" s="46">
        <v>2</v>
      </c>
      <c r="H26" s="46"/>
      <c r="I26" s="46"/>
      <c r="J26" s="139" t="s">
        <v>132</v>
      </c>
      <c r="K26" s="46" t="s">
        <v>24</v>
      </c>
      <c r="L26" s="79" t="s">
        <v>67</v>
      </c>
    </row>
    <row r="27" spans="1:12" ht="18.600000000000001" customHeight="1" x14ac:dyDescent="0.35">
      <c r="A27" s="54">
        <v>19</v>
      </c>
      <c r="B27" s="130"/>
      <c r="C27" s="130"/>
      <c r="D27" s="46">
        <v>202</v>
      </c>
      <c r="E27" s="47"/>
      <c r="F27" s="48"/>
      <c r="G27" s="46">
        <v>2</v>
      </c>
      <c r="H27" s="46"/>
      <c r="I27" s="46"/>
      <c r="J27" s="139" t="s">
        <v>132</v>
      </c>
      <c r="K27" s="47"/>
      <c r="L27" s="79" t="str">
        <f>IF(OR(NOT(ISERROR(MATCH(RIGHT(D27,3)+0,#REF!,0))),NOT(ISERROR(MATCH(LEFT(D27,3)+0,#REF!,0)))),"No Post","")</f>
        <v/>
      </c>
    </row>
    <row r="28" spans="1:12" ht="18.600000000000001" customHeight="1" x14ac:dyDescent="0.35">
      <c r="A28" s="54">
        <v>20</v>
      </c>
      <c r="B28" s="130"/>
      <c r="C28" s="130"/>
      <c r="D28" s="128">
        <v>117</v>
      </c>
      <c r="E28" s="106" t="s">
        <v>212</v>
      </c>
      <c r="F28" s="121">
        <v>46122</v>
      </c>
      <c r="G28" s="106">
        <v>2</v>
      </c>
      <c r="H28" s="106"/>
      <c r="I28" s="106"/>
      <c r="J28" s="98" t="s">
        <v>106</v>
      </c>
      <c r="K28" s="106" t="s">
        <v>213</v>
      </c>
      <c r="L28" s="79" t="str">
        <f>IF(OR(NOT(ISERROR(MATCH(RIGHT(D28,3)+0,#REF!,0))),NOT(ISERROR(MATCH(LEFT(D28,3)+0,#REF!,0)))),"No Post","")</f>
        <v/>
      </c>
    </row>
    <row r="29" spans="1:12" s="26" customFormat="1" ht="18.600000000000001" customHeight="1" x14ac:dyDescent="0.4">
      <c r="A29" s="54"/>
      <c r="B29" s="54"/>
      <c r="C29" s="54"/>
      <c r="D29" s="46"/>
      <c r="E29" s="47"/>
      <c r="F29" s="48"/>
      <c r="G29" s="46"/>
      <c r="H29" s="46"/>
      <c r="I29" s="46"/>
      <c r="J29" s="47"/>
      <c r="K29" s="47"/>
      <c r="L29" s="79" t="str">
        <f>IF(OR(NOT(ISERROR(MATCH(RIGHT(D29,3)+0,#REF!,0))),NOT(ISERROR(MATCH(LEFT(D29,3)+0,#REF!,0)))),"No Post","")</f>
        <v/>
      </c>
    </row>
    <row r="30" spans="1:12" ht="20.25" customHeight="1" x14ac:dyDescent="0.35">
      <c r="A30" s="49"/>
      <c r="B30" s="49"/>
      <c r="C30" s="49"/>
      <c r="D30" s="49"/>
      <c r="E30" s="49" t="str">
        <f>"Remaning: "&amp;IFERROR(MID(A5, SEARCH("MAX", A5) + LEN("MAX"), SEARCH("PAX", A5) - SEARCH("MAX", A5) - LEN("MAX")), "")+0-SUM(G30:H30)</f>
        <v>Remaning: 11</v>
      </c>
      <c r="F30" s="50" t="s">
        <v>19</v>
      </c>
      <c r="G30" s="51">
        <f>SUM(G8:G29)</f>
        <v>38</v>
      </c>
      <c r="H30" s="51">
        <f>SUM(H8:H29)</f>
        <v>1</v>
      </c>
      <c r="I30" s="49"/>
      <c r="J30" s="49"/>
      <c r="K30" s="49"/>
    </row>
    <row r="31" spans="1:12" ht="20.25" customHeight="1" x14ac:dyDescent="0.35">
      <c r="D31" s="8" t="s">
        <v>5</v>
      </c>
      <c r="E31" s="8"/>
      <c r="F31" s="35"/>
      <c r="G31" s="8"/>
      <c r="H31" s="8"/>
      <c r="I31" s="8"/>
    </row>
    <row r="32" spans="1:12" ht="20.25" customHeight="1" x14ac:dyDescent="0.35">
      <c r="D32" s="15" t="s">
        <v>6</v>
      </c>
      <c r="E32" s="9"/>
      <c r="F32" s="36"/>
      <c r="G32" s="9"/>
      <c r="H32" s="9"/>
      <c r="I32" s="9"/>
    </row>
    <row r="33" spans="4:9" ht="20.25" customHeight="1" x14ac:dyDescent="0.35">
      <c r="D33" s="15" t="s">
        <v>7</v>
      </c>
      <c r="E33" s="9"/>
      <c r="F33" s="36"/>
      <c r="G33" s="9"/>
      <c r="H33" s="9"/>
      <c r="I33" s="9"/>
    </row>
    <row r="34" spans="4:9" ht="20.25" customHeight="1" x14ac:dyDescent="0.35">
      <c r="D34" s="15" t="s">
        <v>8</v>
      </c>
      <c r="E34" s="9"/>
      <c r="F34" s="36"/>
      <c r="G34" s="9"/>
      <c r="H34" s="9"/>
      <c r="I34" s="9"/>
    </row>
    <row r="35" spans="4:9" x14ac:dyDescent="0.35">
      <c r="D35" s="15" t="s">
        <v>9</v>
      </c>
      <c r="E35" s="9"/>
      <c r="F35" s="36"/>
      <c r="G35" s="9"/>
      <c r="H35" s="9"/>
      <c r="I35" s="9"/>
    </row>
    <row r="36" spans="4:9" x14ac:dyDescent="0.35">
      <c r="D36" s="15" t="s">
        <v>10</v>
      </c>
      <c r="E36" s="9"/>
      <c r="F36" s="36"/>
      <c r="G36" s="9"/>
      <c r="H36" s="9"/>
      <c r="I36" s="9"/>
    </row>
    <row r="37" spans="4:9" x14ac:dyDescent="0.35">
      <c r="D37" s="15" t="s">
        <v>11</v>
      </c>
      <c r="E37" s="9"/>
      <c r="F37" s="36"/>
      <c r="G37" s="9"/>
      <c r="H37" s="9"/>
      <c r="I37" s="9"/>
    </row>
    <row r="38" spans="4:9" s="11" customFormat="1" ht="15.6" x14ac:dyDescent="0.3">
      <c r="D38" s="16" t="s">
        <v>12</v>
      </c>
      <c r="E38" s="10"/>
      <c r="F38" s="37"/>
      <c r="G38" s="10"/>
      <c r="H38" s="10"/>
    </row>
    <row r="39" spans="4:9" s="11" customFormat="1" ht="15.6" x14ac:dyDescent="0.3">
      <c r="D39" s="16" t="s">
        <v>13</v>
      </c>
      <c r="E39" s="10"/>
      <c r="F39" s="37"/>
      <c r="G39" s="10"/>
      <c r="H39" s="10"/>
    </row>
    <row r="40" spans="4:9" s="13" customFormat="1" ht="20.25" customHeight="1" x14ac:dyDescent="0.35">
      <c r="D40" s="17" t="s">
        <v>14</v>
      </c>
      <c r="E40" s="12"/>
      <c r="F40" s="38"/>
    </row>
    <row r="41" spans="4:9" s="8" customFormat="1" ht="14.4" x14ac:dyDescent="0.3">
      <c r="D41" s="14"/>
      <c r="E41" s="9"/>
      <c r="F41" s="36"/>
      <c r="G41" s="9"/>
      <c r="H41" s="9"/>
      <c r="I41" s="9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8"/>
      <c r="E43" s="8"/>
      <c r="F43" s="35"/>
      <c r="G43" s="8"/>
      <c r="H43" s="8"/>
      <c r="I43" s="8"/>
    </row>
    <row r="44" spans="4:9" x14ac:dyDescent="0.35">
      <c r="D44" s="9"/>
      <c r="E44" s="9"/>
      <c r="F44" s="36"/>
      <c r="G44" s="9"/>
      <c r="H44" s="9"/>
      <c r="I44" s="9"/>
    </row>
    <row r="45" spans="4:9" x14ac:dyDescent="0.35">
      <c r="D45" s="9"/>
      <c r="E45" s="9"/>
      <c r="F45" s="36"/>
      <c r="G45" s="9"/>
      <c r="H45" s="9"/>
      <c r="I45" s="9"/>
    </row>
    <row r="46" spans="4:9" x14ac:dyDescent="0.35">
      <c r="D46" s="9"/>
      <c r="E46" s="9"/>
      <c r="F46" s="36"/>
      <c r="G46" s="9"/>
      <c r="H46" s="9"/>
      <c r="I46" s="9"/>
    </row>
    <row r="47" spans="4:9" x14ac:dyDescent="0.35">
      <c r="D47" s="9"/>
      <c r="E47" s="9"/>
      <c r="F47" s="36"/>
      <c r="G47" s="9"/>
      <c r="H47" s="9"/>
      <c r="I47" s="9"/>
    </row>
    <row r="48" spans="4:9" x14ac:dyDescent="0.35">
      <c r="D48" s="9"/>
      <c r="E48" s="9"/>
      <c r="F48" s="36"/>
      <c r="G48" s="9"/>
      <c r="H48" s="9"/>
      <c r="I48" s="9"/>
    </row>
    <row r="49" spans="4:9" x14ac:dyDescent="0.35">
      <c r="D49" s="9"/>
      <c r="E49" s="9"/>
      <c r="F49" s="36"/>
      <c r="G49" s="9"/>
      <c r="H49" s="9"/>
      <c r="I49" s="9"/>
    </row>
    <row r="50" spans="4:9" x14ac:dyDescent="0.35">
      <c r="D50" s="14"/>
      <c r="E50" s="9"/>
      <c r="F50" s="36"/>
      <c r="G50" s="9"/>
      <c r="H50" s="9"/>
      <c r="I50" s="9"/>
    </row>
    <row r="51" spans="4:9" x14ac:dyDescent="0.35">
      <c r="D51" s="9"/>
      <c r="E51" s="9"/>
      <c r="F51" s="36"/>
      <c r="G51" s="9"/>
      <c r="H51" s="9"/>
      <c r="I51" s="9"/>
    </row>
    <row r="53" spans="4:9" x14ac:dyDescent="0.35">
      <c r="D53" s="1"/>
      <c r="E53" s="1"/>
      <c r="F53" s="33"/>
      <c r="G53" s="1"/>
      <c r="H53" s="1"/>
      <c r="I53" s="1"/>
    </row>
    <row r="68" spans="4:9" x14ac:dyDescent="0.35">
      <c r="D68" s="9"/>
      <c r="E68" s="9"/>
      <c r="F68" s="36"/>
      <c r="G68" s="9"/>
      <c r="H68" s="9"/>
      <c r="I68" s="9"/>
    </row>
    <row r="69" spans="4:9" x14ac:dyDescent="0.35">
      <c r="D69" s="9"/>
      <c r="E69" s="9"/>
      <c r="F69" s="36"/>
      <c r="G69" s="9"/>
      <c r="H69" s="9"/>
      <c r="I69" s="9"/>
    </row>
    <row r="70" spans="4:9" x14ac:dyDescent="0.35">
      <c r="D70" s="9"/>
      <c r="E70" s="9"/>
      <c r="F70" s="36"/>
      <c r="G70" s="9"/>
      <c r="H70" s="9"/>
      <c r="I70" s="9"/>
    </row>
    <row r="71" spans="4:9" x14ac:dyDescent="0.35">
      <c r="D71" s="14"/>
      <c r="E71" s="9"/>
      <c r="F71" s="36"/>
      <c r="G71" s="9"/>
      <c r="H71" s="9"/>
      <c r="I71" s="9"/>
    </row>
    <row r="72" spans="4:9" x14ac:dyDescent="0.35">
      <c r="D72" s="9"/>
      <c r="E72" s="9"/>
      <c r="F72" s="36"/>
      <c r="G72" s="9"/>
      <c r="H72" s="9"/>
      <c r="I72" s="9"/>
    </row>
  </sheetData>
  <sortState ref="D7:L23">
    <sortCondition ref="D7"/>
  </sortState>
  <customSheetViews>
    <customSheetView guid="{744BB052-D863-41D2-951C-2AB325855A97}" showPageBreaks="1" fitToPage="1" printArea="1" topLeftCell="A4">
      <selection activeCell="F14" sqref="F14"/>
      <rowBreaks count="1" manualBreakCount="1">
        <brk id="37" min="3" max="10" man="1"/>
      </rowBreaks>
      <colBreaks count="1" manualBreakCount="1">
        <brk id="13" max="30" man="1"/>
      </colBreaks>
      <pageMargins left="0.17" right="0.17" top="0.75" bottom="0.75" header="0.3" footer="0.3"/>
      <pageSetup scale="67" orientation="landscape" r:id="rId1"/>
    </customSheetView>
    <customSheetView guid="{E646B2A6-D876-4850-BD6A-9EDE7D7D90A5}">
      <selection activeCell="C10" sqref="C10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C10" sqref="C10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 topLeftCell="A4">
      <selection activeCell="D12" sqref="D12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 topLeftCell="A10">
      <selection activeCell="G21" sqref="G21"/>
      <rowBreaks count="1" manualBreakCount="1">
        <brk id="35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8:L13 L15:L29">
    <cfRule type="containsText" dxfId="26" priority="1" operator="containsText" text="No Post">
      <formula>NOT(ISERROR(SEARCH("No Post",L8)))</formula>
    </cfRule>
  </conditionalFormatting>
  <pageMargins left="0.17" right="0.17" top="0.75" bottom="0.75" header="0.3" footer="0.3"/>
  <pageSetup scale="67" orientation="landscape" r:id="rId6"/>
  <rowBreaks count="1" manualBreakCount="1">
    <brk id="37" min="3" max="10" man="1"/>
  </rowBreaks>
  <colBreaks count="1" manualBreakCount="1">
    <brk id="13" max="30" man="1"/>
  </colBrea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9"/>
  <sheetViews>
    <sheetView topLeftCell="A4" zoomScaleNormal="100" zoomScaleSheetLayoutView="100" workbookViewId="0">
      <selection activeCell="J14" sqref="J14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5.66406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4" thickBot="1" x14ac:dyDescent="0.5">
      <c r="A5" s="377" t="s">
        <v>15</v>
      </c>
      <c r="B5" s="378"/>
      <c r="C5" s="378"/>
      <c r="D5" s="378"/>
      <c r="E5" s="378"/>
      <c r="F5" s="378"/>
      <c r="G5" s="378"/>
      <c r="H5" s="378"/>
      <c r="I5" s="378"/>
      <c r="J5" s="6" t="s">
        <v>18</v>
      </c>
      <c r="K5" s="3" t="str">
        <f ca="1">CONCATENATE((MID(CELL("filename",K5),FIND("]",CELL("filename",K5))+1,255)),"/04/2026")</f>
        <v>5/04/2026</v>
      </c>
    </row>
    <row r="6" spans="1:12" x14ac:dyDescent="0.35">
      <c r="A6" s="40"/>
      <c r="B6" s="112"/>
      <c r="C6" s="112"/>
      <c r="D6" s="41" t="s">
        <v>1</v>
      </c>
      <c r="E6" s="41" t="s">
        <v>2</v>
      </c>
      <c r="F6" s="42" t="s">
        <v>21</v>
      </c>
      <c r="G6" s="41" t="s">
        <v>16</v>
      </c>
      <c r="H6" s="41" t="s">
        <v>17</v>
      </c>
      <c r="I6" s="41" t="s">
        <v>3</v>
      </c>
      <c r="J6" s="43" t="s">
        <v>20</v>
      </c>
      <c r="K6" s="44" t="s">
        <v>4</v>
      </c>
    </row>
    <row r="7" spans="1:12" x14ac:dyDescent="0.35">
      <c r="A7" s="54">
        <v>1</v>
      </c>
      <c r="B7" s="168"/>
      <c r="C7" s="168"/>
      <c r="D7" s="134">
        <v>321</v>
      </c>
      <c r="E7" s="133" t="s">
        <v>199</v>
      </c>
      <c r="F7" s="84">
        <v>46119</v>
      </c>
      <c r="G7" s="83">
        <v>2</v>
      </c>
      <c r="H7" s="83"/>
      <c r="I7" s="83"/>
      <c r="J7" s="164" t="s">
        <v>132</v>
      </c>
      <c r="K7" s="83" t="s">
        <v>198</v>
      </c>
      <c r="L7" s="79" t="str">
        <f>IF(OR(NOT(ISERROR(MATCH(RIGHT(D7,3)+0,#REF!,0))),NOT(ISERROR(MATCH(LEFT(D7,3)+0,#REF!,0)))),"No Post","")</f>
        <v/>
      </c>
    </row>
    <row r="8" spans="1:12" x14ac:dyDescent="0.35">
      <c r="A8" s="54">
        <v>2</v>
      </c>
      <c r="B8" s="168"/>
      <c r="C8" s="168"/>
      <c r="D8" s="134">
        <v>323</v>
      </c>
      <c r="E8" s="83" t="s">
        <v>98</v>
      </c>
      <c r="F8" s="84">
        <v>46122</v>
      </c>
      <c r="G8" s="83">
        <v>2</v>
      </c>
      <c r="H8" s="83"/>
      <c r="I8" s="83"/>
      <c r="J8" s="134" t="s">
        <v>132</v>
      </c>
      <c r="K8" s="83" t="s">
        <v>24</v>
      </c>
      <c r="L8" s="79" t="str">
        <f>IF(OR(NOT(ISERROR(MATCH(RIGHT(D8,3)+0,#REF!,0))),NOT(ISERROR(MATCH(LEFT(D8,3)+0,#REF!,0)))),"No Post","")</f>
        <v/>
      </c>
    </row>
    <row r="9" spans="1:12" x14ac:dyDescent="0.35">
      <c r="A9" s="54">
        <v>3</v>
      </c>
      <c r="B9" s="168"/>
      <c r="C9" s="168"/>
      <c r="D9" s="163">
        <v>337</v>
      </c>
      <c r="E9" s="165" t="s">
        <v>226</v>
      </c>
      <c r="F9" s="84">
        <v>46123</v>
      </c>
      <c r="G9" s="83">
        <v>2</v>
      </c>
      <c r="H9" s="83"/>
      <c r="I9" s="83"/>
      <c r="J9" s="163" t="s">
        <v>124</v>
      </c>
      <c r="K9" s="83" t="s">
        <v>135</v>
      </c>
      <c r="L9" s="79" t="str">
        <f>IF(OR(NOT(ISERROR(MATCH(RIGHT(D9,3)+0,#REF!,0))),NOT(ISERROR(MATCH(LEFT(D9,3)+0,#REF!,0)))),"No Post","")</f>
        <v/>
      </c>
    </row>
    <row r="10" spans="1:12" x14ac:dyDescent="0.35">
      <c r="A10" s="54">
        <v>4</v>
      </c>
      <c r="B10" s="168"/>
      <c r="C10" s="168"/>
      <c r="D10" s="87">
        <v>607</v>
      </c>
      <c r="E10" s="83" t="s">
        <v>53</v>
      </c>
      <c r="F10" s="84">
        <v>46120</v>
      </c>
      <c r="G10" s="83">
        <v>2</v>
      </c>
      <c r="H10" s="83"/>
      <c r="I10" s="83"/>
      <c r="J10" s="87" t="s">
        <v>106</v>
      </c>
      <c r="K10" s="83" t="s">
        <v>24</v>
      </c>
      <c r="L10" s="79" t="s">
        <v>67</v>
      </c>
    </row>
    <row r="11" spans="1:12" x14ac:dyDescent="0.35">
      <c r="A11" s="54">
        <v>5</v>
      </c>
      <c r="B11" s="168"/>
      <c r="C11" s="168"/>
      <c r="D11" s="134">
        <v>656</v>
      </c>
      <c r="E11" s="133" t="s">
        <v>169</v>
      </c>
      <c r="F11" s="84">
        <v>46122</v>
      </c>
      <c r="G11" s="83">
        <v>2</v>
      </c>
      <c r="H11" s="83"/>
      <c r="I11" s="83"/>
      <c r="J11" s="134" t="s">
        <v>132</v>
      </c>
      <c r="K11" s="83" t="s">
        <v>167</v>
      </c>
      <c r="L11" s="79" t="str">
        <f>IF(OR(NOT(ISERROR(MATCH(RIGHT(D11,3)+0,#REF!,0))),NOT(ISERROR(MATCH(LEFT(D11,3)+0,#REF!,0)))),"No Post","")</f>
        <v/>
      </c>
    </row>
    <row r="12" spans="1:12" x14ac:dyDescent="0.35">
      <c r="A12" s="54">
        <v>6</v>
      </c>
      <c r="B12" s="168"/>
      <c r="C12" s="168"/>
      <c r="D12" s="163">
        <v>658</v>
      </c>
      <c r="E12" s="83" t="s">
        <v>171</v>
      </c>
      <c r="F12" s="84">
        <v>46122</v>
      </c>
      <c r="G12" s="83">
        <v>1</v>
      </c>
      <c r="H12" s="83"/>
      <c r="I12" s="83"/>
      <c r="J12" s="163" t="s">
        <v>124</v>
      </c>
      <c r="K12" s="83" t="s">
        <v>167</v>
      </c>
      <c r="L12" s="79" t="str">
        <f>IF(OR(NOT(ISERROR(MATCH(RIGHT(D12,3)+0,#REF!,0))),NOT(ISERROR(MATCH(LEFT(D12,3)+0,#REF!,0)))),"No Post","")</f>
        <v/>
      </c>
    </row>
    <row r="13" spans="1:12" x14ac:dyDescent="0.35">
      <c r="A13" s="54">
        <v>7</v>
      </c>
      <c r="B13" s="168"/>
      <c r="C13" s="168"/>
      <c r="D13" s="162">
        <v>664</v>
      </c>
      <c r="E13" s="83" t="s">
        <v>57</v>
      </c>
      <c r="F13" s="84">
        <v>46120</v>
      </c>
      <c r="G13" s="83">
        <v>3</v>
      </c>
      <c r="H13" s="83"/>
      <c r="I13" s="83"/>
      <c r="J13" s="166" t="s">
        <v>217</v>
      </c>
      <c r="K13" s="83" t="s">
        <v>24</v>
      </c>
      <c r="L13" s="79" t="s">
        <v>67</v>
      </c>
    </row>
    <row r="14" spans="1:12" x14ac:dyDescent="0.35">
      <c r="A14" s="54">
        <v>8</v>
      </c>
      <c r="B14" s="168"/>
      <c r="C14" s="168"/>
      <c r="D14" s="134">
        <v>816</v>
      </c>
      <c r="E14" s="83" t="s">
        <v>172</v>
      </c>
      <c r="F14" s="84">
        <v>46123</v>
      </c>
      <c r="G14" s="83">
        <v>2</v>
      </c>
      <c r="H14" s="83">
        <v>1</v>
      </c>
      <c r="I14" s="83"/>
      <c r="J14" s="134" t="s">
        <v>132</v>
      </c>
      <c r="K14" s="83" t="s">
        <v>117</v>
      </c>
      <c r="L14" s="79" t="str">
        <f>IF(OR(NOT(ISERROR(MATCH(RIGHT(D14,3)+0,#REF!,0))),NOT(ISERROR(MATCH(LEFT(D14,3)+0,#REF!,0)))),"No Post","")</f>
        <v/>
      </c>
    </row>
    <row r="15" spans="1:12" x14ac:dyDescent="0.35">
      <c r="A15" s="54">
        <v>9</v>
      </c>
      <c r="B15" s="168"/>
      <c r="C15" s="168"/>
      <c r="D15" s="163">
        <v>872</v>
      </c>
      <c r="E15" s="83" t="s">
        <v>236</v>
      </c>
      <c r="F15" s="84">
        <v>46121</v>
      </c>
      <c r="G15" s="83">
        <v>2</v>
      </c>
      <c r="H15" s="83"/>
      <c r="I15" s="83"/>
      <c r="J15" s="163" t="s">
        <v>124</v>
      </c>
      <c r="K15" s="83" t="s">
        <v>222</v>
      </c>
      <c r="L15" s="79" t="str">
        <f>IF(OR(NOT(ISERROR(MATCH(RIGHT(D15,3)+0,#REF!,0))),NOT(ISERROR(MATCH(LEFT(D15,3)+0,#REF!,0)))),"No Post","")</f>
        <v/>
      </c>
    </row>
    <row r="16" spans="1:12" x14ac:dyDescent="0.35">
      <c r="A16" s="54">
        <v>10</v>
      </c>
      <c r="B16" s="168"/>
      <c r="C16" s="168"/>
      <c r="D16" s="163">
        <v>873</v>
      </c>
      <c r="E16" s="85" t="s">
        <v>99</v>
      </c>
      <c r="F16" s="84">
        <v>46125</v>
      </c>
      <c r="G16" s="83">
        <v>2</v>
      </c>
      <c r="H16" s="83"/>
      <c r="I16" s="83"/>
      <c r="J16" s="163" t="s">
        <v>124</v>
      </c>
      <c r="K16" s="83" t="s">
        <v>90</v>
      </c>
      <c r="L16" s="79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54">
        <v>11</v>
      </c>
      <c r="B17" s="169"/>
      <c r="C17" s="169"/>
      <c r="D17" s="167">
        <v>886</v>
      </c>
      <c r="E17" s="85" t="s">
        <v>75</v>
      </c>
      <c r="F17" s="84">
        <v>46120</v>
      </c>
      <c r="G17" s="83">
        <v>2</v>
      </c>
      <c r="H17" s="83">
        <v>1</v>
      </c>
      <c r="I17" s="83"/>
      <c r="J17" s="166" t="s">
        <v>217</v>
      </c>
      <c r="K17" s="83" t="s">
        <v>76</v>
      </c>
      <c r="L17" s="79" t="str">
        <f>IF(OR(NOT(ISERROR(MATCH(RIGHT(D17,3)+0,#REF!,0))),NOT(ISERROR(MATCH(LEFT(D17,3)+0,#REF!,0)))),"No Post","")</f>
        <v/>
      </c>
    </row>
    <row r="18" spans="1:12" ht="18.600000000000001" customHeight="1" x14ac:dyDescent="0.35">
      <c r="A18" s="54">
        <v>12</v>
      </c>
      <c r="B18" s="168"/>
      <c r="C18" s="168"/>
      <c r="D18" s="87" t="s">
        <v>234</v>
      </c>
      <c r="E18" s="83" t="s">
        <v>207</v>
      </c>
      <c r="F18" s="84">
        <v>46117</v>
      </c>
      <c r="G18" s="83">
        <v>2</v>
      </c>
      <c r="H18" s="83"/>
      <c r="I18" s="83"/>
      <c r="J18" s="87" t="s">
        <v>106</v>
      </c>
      <c r="K18" s="83" t="s">
        <v>206</v>
      </c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13</v>
      </c>
      <c r="B19" s="168"/>
      <c r="C19" s="168"/>
      <c r="D19" s="87" t="s">
        <v>235</v>
      </c>
      <c r="E19" s="83" t="s">
        <v>205</v>
      </c>
      <c r="F19" s="84">
        <v>46117</v>
      </c>
      <c r="G19" s="83">
        <v>2</v>
      </c>
      <c r="H19" s="83"/>
      <c r="I19" s="83"/>
      <c r="J19" s="87" t="s">
        <v>106</v>
      </c>
      <c r="K19" s="83" t="s">
        <v>203</v>
      </c>
      <c r="L19" s="79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14</v>
      </c>
      <c r="B20" s="54"/>
      <c r="C20" s="54"/>
      <c r="D20" s="163" t="s">
        <v>237</v>
      </c>
      <c r="E20" s="83" t="s">
        <v>202</v>
      </c>
      <c r="F20" s="84">
        <v>46117</v>
      </c>
      <c r="G20" s="83" t="s">
        <v>230</v>
      </c>
      <c r="H20" s="83"/>
      <c r="I20" s="83"/>
      <c r="J20" s="163" t="s">
        <v>124</v>
      </c>
      <c r="K20" s="83" t="s">
        <v>117</v>
      </c>
      <c r="L20" s="79" t="s">
        <v>67</v>
      </c>
    </row>
    <row r="21" spans="1:12" ht="18.600000000000001" customHeight="1" x14ac:dyDescent="0.35">
      <c r="A21" s="54">
        <v>15</v>
      </c>
      <c r="B21" s="54"/>
      <c r="C21" s="54"/>
      <c r="D21" s="83" t="s">
        <v>23</v>
      </c>
      <c r="E21" s="85" t="s">
        <v>27</v>
      </c>
      <c r="F21" s="84">
        <v>45757</v>
      </c>
      <c r="G21" s="83" t="s">
        <v>220</v>
      </c>
      <c r="H21" s="83" t="s">
        <v>221</v>
      </c>
      <c r="I21" s="83"/>
      <c r="J21" s="85" t="s">
        <v>28</v>
      </c>
      <c r="K21" s="83" t="s">
        <v>26</v>
      </c>
      <c r="L21" s="79" t="s">
        <v>67</v>
      </c>
    </row>
    <row r="22" spans="1:12" ht="18.600000000000001" customHeight="1" x14ac:dyDescent="0.35">
      <c r="A22" s="54">
        <v>16</v>
      </c>
      <c r="B22" s="54"/>
      <c r="C22" s="54"/>
      <c r="D22" s="83" t="s">
        <v>23</v>
      </c>
      <c r="E22" s="83" t="s">
        <v>36</v>
      </c>
      <c r="F22" s="84">
        <v>46120</v>
      </c>
      <c r="G22" s="83" t="s">
        <v>122</v>
      </c>
      <c r="H22" s="83"/>
      <c r="I22" s="83"/>
      <c r="J22" s="83">
        <v>25761654</v>
      </c>
      <c r="K22" s="83" t="s">
        <v>30</v>
      </c>
      <c r="L22" s="79" t="s">
        <v>67</v>
      </c>
    </row>
    <row r="23" spans="1:12" ht="18.600000000000001" customHeight="1" x14ac:dyDescent="0.35">
      <c r="A23" s="54">
        <v>17</v>
      </c>
      <c r="B23" s="54"/>
      <c r="C23" s="54"/>
      <c r="D23" s="83"/>
      <c r="E23" s="83"/>
      <c r="F23" s="84"/>
      <c r="G23" s="83"/>
      <c r="H23" s="83"/>
      <c r="I23" s="83"/>
      <c r="J23" s="83"/>
      <c r="K23" s="83"/>
      <c r="L23" s="79"/>
    </row>
    <row r="24" spans="1:12" ht="18.600000000000001" customHeight="1" x14ac:dyDescent="0.35">
      <c r="A24" s="54">
        <v>18</v>
      </c>
      <c r="B24" s="54"/>
      <c r="C24" s="54"/>
      <c r="D24" s="46"/>
      <c r="E24" s="131" t="s">
        <v>223</v>
      </c>
      <c r="F24" s="48"/>
      <c r="G24" s="46"/>
      <c r="H24" s="46"/>
      <c r="I24" s="46"/>
      <c r="J24" s="47"/>
      <c r="K24" s="47"/>
      <c r="L24" s="79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54">
        <v>19</v>
      </c>
      <c r="B25" s="54"/>
      <c r="C25" s="54"/>
      <c r="D25" s="46"/>
      <c r="E25" s="47"/>
      <c r="F25" s="48"/>
      <c r="G25" s="46"/>
      <c r="H25" s="46"/>
      <c r="I25" s="46"/>
      <c r="J25" s="47"/>
      <c r="K25" s="47"/>
      <c r="L25" s="79" t="str">
        <f>IF(OR(NOT(ISERROR(MATCH(RIGHT(D25,3)+0,#REF!,0))),NOT(ISERROR(MATCH(LEFT(D25,3)+0,#REF!,0)))),"No Post","")</f>
        <v/>
      </c>
    </row>
    <row r="26" spans="1:12" s="26" customFormat="1" ht="18.600000000000001" customHeight="1" x14ac:dyDescent="0.4">
      <c r="A26" s="54">
        <v>20</v>
      </c>
      <c r="B26" s="54"/>
      <c r="C26" s="54"/>
      <c r="D26" s="46"/>
      <c r="E26" s="47"/>
      <c r="F26" s="48"/>
      <c r="G26" s="46"/>
      <c r="H26" s="46"/>
      <c r="I26" s="46"/>
      <c r="J26" s="47"/>
      <c r="K26" s="47"/>
      <c r="L26" s="79" t="str">
        <f>IF(OR(NOT(ISERROR(MATCH(RIGHT(D26,3)+0,#REF!,0))),NOT(ISERROR(MATCH(LEFT(D26,3)+0,#REF!,0)))),"No Post","")</f>
        <v/>
      </c>
    </row>
    <row r="27" spans="1:12" ht="20.25" customHeight="1" x14ac:dyDescent="0.35">
      <c r="A27" s="49"/>
      <c r="B27" s="49"/>
      <c r="C27" s="49"/>
      <c r="D27" s="49"/>
      <c r="E27" s="49" t="str">
        <f>"Remaning: "&amp;IFERROR(MID(A5, SEARCH("MAX", A5) + LEN("MAX"), SEARCH("PAX", A5) - SEARCH("MAX", A5) - LEN("MAX")), "")+0-SUM(G27:H27)</f>
        <v>Remaning: -8</v>
      </c>
      <c r="F27" s="50" t="s">
        <v>19</v>
      </c>
      <c r="G27" s="51">
        <f>SUM(G7:G26)</f>
        <v>26</v>
      </c>
      <c r="H27" s="51">
        <f>SUM(H7:H26)</f>
        <v>2</v>
      </c>
      <c r="I27" s="49"/>
      <c r="J27" s="49"/>
      <c r="K27" s="49"/>
    </row>
    <row r="28" spans="1:12" ht="20.25" customHeight="1" x14ac:dyDescent="0.35">
      <c r="D28" s="8" t="s">
        <v>5</v>
      </c>
      <c r="E28" s="8"/>
      <c r="F28" s="35"/>
      <c r="G28" s="8"/>
      <c r="H28" s="8"/>
      <c r="I28" s="8"/>
    </row>
    <row r="29" spans="1:12" ht="20.25" customHeight="1" x14ac:dyDescent="0.35">
      <c r="D29" s="15" t="s">
        <v>6</v>
      </c>
      <c r="E29" s="9"/>
      <c r="F29" s="36"/>
      <c r="G29" s="9"/>
      <c r="H29" s="9"/>
      <c r="I29" s="9"/>
    </row>
    <row r="30" spans="1:12" ht="20.25" customHeight="1" x14ac:dyDescent="0.35">
      <c r="D30" s="15" t="s">
        <v>7</v>
      </c>
      <c r="E30" s="9"/>
      <c r="F30" s="36"/>
      <c r="G30" s="9"/>
      <c r="H30" s="9"/>
      <c r="I30" s="9"/>
    </row>
    <row r="31" spans="1:12" ht="20.25" customHeight="1" x14ac:dyDescent="0.35">
      <c r="D31" s="15" t="s">
        <v>8</v>
      </c>
      <c r="E31" s="9"/>
      <c r="F31" s="36"/>
      <c r="G31" s="9"/>
      <c r="H31" s="9"/>
      <c r="I31" s="9"/>
    </row>
    <row r="32" spans="1:12" x14ac:dyDescent="0.35">
      <c r="D32" s="15" t="s">
        <v>9</v>
      </c>
      <c r="E32" s="9"/>
      <c r="F32" s="36"/>
      <c r="G32" s="9"/>
      <c r="H32" s="9"/>
      <c r="I32" s="9"/>
    </row>
    <row r="33" spans="4:9" x14ac:dyDescent="0.35">
      <c r="D33" s="15" t="s">
        <v>10</v>
      </c>
      <c r="E33" s="9"/>
      <c r="F33" s="36"/>
      <c r="G33" s="9"/>
      <c r="H33" s="9"/>
      <c r="I33" s="9"/>
    </row>
    <row r="34" spans="4:9" x14ac:dyDescent="0.35">
      <c r="D34" s="15" t="s">
        <v>11</v>
      </c>
      <c r="E34" s="9"/>
      <c r="F34" s="36"/>
      <c r="G34" s="9"/>
      <c r="H34" s="9"/>
      <c r="I34" s="9"/>
    </row>
    <row r="35" spans="4:9" s="11" customFormat="1" ht="15.6" x14ac:dyDescent="0.3">
      <c r="D35" s="16" t="s">
        <v>12</v>
      </c>
      <c r="E35" s="10"/>
      <c r="F35" s="37"/>
      <c r="G35" s="10"/>
      <c r="H35" s="10"/>
    </row>
    <row r="36" spans="4:9" s="11" customFormat="1" ht="15.6" x14ac:dyDescent="0.3">
      <c r="D36" s="16" t="s">
        <v>13</v>
      </c>
      <c r="E36" s="10"/>
      <c r="F36" s="37"/>
      <c r="G36" s="10"/>
      <c r="H36" s="10"/>
    </row>
    <row r="37" spans="4:9" s="13" customFormat="1" ht="20.25" customHeight="1" x14ac:dyDescent="0.35">
      <c r="D37" s="17" t="s">
        <v>14</v>
      </c>
      <c r="E37" s="12"/>
      <c r="F37" s="38"/>
    </row>
    <row r="38" spans="4:9" s="8" customFormat="1" ht="14.4" x14ac:dyDescent="0.3">
      <c r="D38" s="14"/>
      <c r="E38" s="9"/>
      <c r="F38" s="36"/>
      <c r="G38" s="9"/>
      <c r="H38" s="9"/>
      <c r="I38" s="9"/>
    </row>
    <row r="39" spans="4:9" x14ac:dyDescent="0.35">
      <c r="D39" s="9"/>
      <c r="E39" s="9"/>
      <c r="F39" s="36"/>
      <c r="G39" s="9"/>
      <c r="H39" s="9"/>
      <c r="I39" s="9"/>
    </row>
    <row r="40" spans="4:9" x14ac:dyDescent="0.35">
      <c r="D40" s="8"/>
      <c r="E40" s="8"/>
      <c r="F40" s="35"/>
      <c r="G40" s="8"/>
      <c r="H40" s="8"/>
      <c r="I40" s="8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9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5" spans="4:9" x14ac:dyDescent="0.35">
      <c r="D45" s="9"/>
      <c r="E45" s="9"/>
      <c r="F45" s="36"/>
      <c r="G45" s="9"/>
      <c r="H45" s="9"/>
      <c r="I45" s="9"/>
    </row>
    <row r="46" spans="4:9" x14ac:dyDescent="0.35">
      <c r="D46" s="9"/>
      <c r="E46" s="9"/>
      <c r="F46" s="36"/>
      <c r="G46" s="9"/>
      <c r="H46" s="9"/>
      <c r="I46" s="9"/>
    </row>
    <row r="47" spans="4:9" x14ac:dyDescent="0.35">
      <c r="D47" s="14"/>
      <c r="E47" s="9"/>
      <c r="F47" s="36"/>
      <c r="G47" s="9"/>
      <c r="H47" s="9"/>
      <c r="I47" s="9"/>
    </row>
    <row r="48" spans="4:9" x14ac:dyDescent="0.35">
      <c r="D48" s="9"/>
      <c r="E48" s="9"/>
      <c r="F48" s="36"/>
      <c r="G48" s="9"/>
      <c r="H48" s="9"/>
      <c r="I48" s="9"/>
    </row>
    <row r="50" spans="4:9" x14ac:dyDescent="0.35">
      <c r="D50" s="1"/>
      <c r="E50" s="1"/>
      <c r="F50" s="33"/>
      <c r="G50" s="1"/>
      <c r="H50" s="1"/>
      <c r="I50" s="1"/>
    </row>
    <row r="65" spans="4:9" x14ac:dyDescent="0.35">
      <c r="D65" s="9"/>
      <c r="E65" s="9"/>
      <c r="F65" s="36"/>
      <c r="G65" s="9"/>
      <c r="H65" s="9"/>
      <c r="I65" s="9"/>
    </row>
    <row r="66" spans="4:9" x14ac:dyDescent="0.35">
      <c r="D66" s="9"/>
      <c r="E66" s="9"/>
      <c r="F66" s="36"/>
      <c r="G66" s="9"/>
      <c r="H66" s="9"/>
      <c r="I66" s="9"/>
    </row>
    <row r="67" spans="4:9" x14ac:dyDescent="0.35">
      <c r="D67" s="9"/>
      <c r="E67" s="9"/>
      <c r="F67" s="36"/>
      <c r="G67" s="9"/>
      <c r="H67" s="9"/>
      <c r="I67" s="9"/>
    </row>
    <row r="68" spans="4:9" x14ac:dyDescent="0.35">
      <c r="D68" s="14"/>
      <c r="E68" s="9"/>
      <c r="F68" s="36"/>
      <c r="G68" s="9"/>
      <c r="H68" s="9"/>
      <c r="I68" s="9"/>
    </row>
    <row r="69" spans="4:9" x14ac:dyDescent="0.35">
      <c r="D69" s="9"/>
      <c r="E69" s="9"/>
      <c r="F69" s="36"/>
      <c r="G69" s="9"/>
      <c r="H69" s="9"/>
      <c r="I69" s="9"/>
    </row>
  </sheetData>
  <sortState ref="D7:L20">
    <sortCondition ref="D7"/>
  </sortState>
  <customSheetViews>
    <customSheetView guid="{744BB052-D863-41D2-951C-2AB325855A97}" showPageBreaks="1" fitToPage="1" printArea="1" topLeftCell="A4">
      <selection activeCell="J14" sqref="J14"/>
      <rowBreaks count="1" manualBreakCount="1">
        <brk id="37" min="3" max="10" man="1"/>
      </rowBreaks>
      <colBreaks count="1" manualBreakCount="1">
        <brk id="13" max="30" man="1"/>
      </colBreaks>
      <pageMargins left="0.17" right="0.17" top="0.75" bottom="0.75" header="0.3" footer="0.3"/>
      <pageSetup scale="72" orientation="landscape" r:id="rId1"/>
    </customSheetView>
    <customSheetView guid="{E646B2A6-D876-4850-BD6A-9EDE7D7D90A5}">
      <selection activeCell="C17" sqref="C17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C17" sqref="C17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 topLeftCell="A4">
      <selection activeCell="K10" sqref="K10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 topLeftCell="A4">
      <selection activeCell="J13" sqref="J13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6">
    <cfRule type="containsText" dxfId="25" priority="1" operator="containsText" text="No Post">
      <formula>NOT(ISERROR(SEARCH("No Post",L7)))</formula>
    </cfRule>
  </conditionalFormatting>
  <pageMargins left="0.17" right="0.17" top="0.75" bottom="0.75" header="0.3" footer="0.3"/>
  <pageSetup scale="72" orientation="landscape" r:id="rId6"/>
  <rowBreaks count="1" manualBreakCount="1">
    <brk id="37" min="3" max="10" man="1"/>
  </rowBreaks>
  <colBreaks count="1" manualBreakCount="1">
    <brk id="13" max="30" man="1"/>
  </colBrea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9"/>
  <sheetViews>
    <sheetView topLeftCell="A4" zoomScaleNormal="100" zoomScaleSheetLayoutView="100" workbookViewId="0">
      <selection activeCell="E13" sqref="E13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3" x14ac:dyDescent="0.35">
      <c r="E2" s="18" t="s">
        <v>0</v>
      </c>
      <c r="F2" s="32"/>
      <c r="G2" s="5"/>
      <c r="H2" s="5"/>
    </row>
    <row r="4" spans="1:13" s="1" customFormat="1" thickBot="1" x14ac:dyDescent="0.4">
      <c r="F4" s="33"/>
    </row>
    <row r="5" spans="1:13" s="2" customFormat="1" ht="24" thickBot="1" x14ac:dyDescent="0.5">
      <c r="A5" s="377" t="s">
        <v>15</v>
      </c>
      <c r="B5" s="378"/>
      <c r="C5" s="378"/>
      <c r="D5" s="378"/>
      <c r="E5" s="378"/>
      <c r="F5" s="378"/>
      <c r="G5" s="378"/>
      <c r="H5" s="378"/>
      <c r="I5" s="378"/>
      <c r="J5" s="6" t="s">
        <v>18</v>
      </c>
      <c r="K5" s="3" t="str">
        <f ca="1">CONCATENATE((MID(CELL("filename",K5),FIND("]",CELL("filename",K5))+1,255)),"/04/2026")</f>
        <v>6/04/2026</v>
      </c>
    </row>
    <row r="6" spans="1:13" x14ac:dyDescent="0.35">
      <c r="A6" s="40"/>
      <c r="B6" s="112"/>
      <c r="C6" s="112"/>
      <c r="D6" s="41" t="s">
        <v>1</v>
      </c>
      <c r="E6" s="41" t="s">
        <v>2</v>
      </c>
      <c r="F6" s="42" t="s">
        <v>21</v>
      </c>
      <c r="G6" s="41" t="s">
        <v>16</v>
      </c>
      <c r="H6" s="41" t="s">
        <v>17</v>
      </c>
      <c r="I6" s="41" t="s">
        <v>3</v>
      </c>
      <c r="J6" s="43" t="s">
        <v>20</v>
      </c>
      <c r="K6" s="44" t="s">
        <v>4</v>
      </c>
    </row>
    <row r="7" spans="1:13" x14ac:dyDescent="0.35">
      <c r="A7" s="54">
        <v>1</v>
      </c>
      <c r="B7" s="54"/>
      <c r="C7" s="54"/>
      <c r="D7" s="170">
        <v>317</v>
      </c>
      <c r="E7" s="159" t="s">
        <v>42</v>
      </c>
      <c r="F7" s="62">
        <v>46121</v>
      </c>
      <c r="G7" s="54" t="s">
        <v>166</v>
      </c>
      <c r="H7" s="54"/>
      <c r="I7" s="54"/>
      <c r="J7" s="87" t="s">
        <v>106</v>
      </c>
      <c r="K7" s="54" t="s">
        <v>24</v>
      </c>
      <c r="L7" s="79" t="s">
        <v>67</v>
      </c>
    </row>
    <row r="8" spans="1:13" x14ac:dyDescent="0.35">
      <c r="A8" s="54">
        <v>2</v>
      </c>
      <c r="B8" s="54"/>
      <c r="C8" s="54"/>
      <c r="D8" s="170" t="s">
        <v>23</v>
      </c>
      <c r="E8" s="158" t="s">
        <v>36</v>
      </c>
      <c r="F8" s="62">
        <v>46120</v>
      </c>
      <c r="G8" s="54" t="s">
        <v>230</v>
      </c>
      <c r="H8" s="54"/>
      <c r="I8" s="54"/>
      <c r="J8" s="80" t="s">
        <v>47</v>
      </c>
      <c r="K8" s="54" t="s">
        <v>26</v>
      </c>
      <c r="L8" s="79" t="s">
        <v>67</v>
      </c>
    </row>
    <row r="9" spans="1:13" x14ac:dyDescent="0.35">
      <c r="A9" s="54">
        <v>3</v>
      </c>
      <c r="B9" s="171"/>
      <c r="C9" s="171"/>
      <c r="D9" s="170">
        <v>624</v>
      </c>
      <c r="E9" s="158" t="s">
        <v>55</v>
      </c>
      <c r="F9" s="62">
        <v>46121</v>
      </c>
      <c r="G9" s="54">
        <v>2</v>
      </c>
      <c r="H9" s="54"/>
      <c r="I9" s="54"/>
      <c r="J9" s="87" t="s">
        <v>106</v>
      </c>
      <c r="K9" s="54" t="s">
        <v>44</v>
      </c>
      <c r="L9" s="79" t="s">
        <v>67</v>
      </c>
    </row>
    <row r="10" spans="1:13" x14ac:dyDescent="0.35">
      <c r="A10" s="54">
        <v>4</v>
      </c>
      <c r="B10" s="54"/>
      <c r="C10" s="54"/>
      <c r="D10" s="170">
        <v>814</v>
      </c>
      <c r="E10" s="159" t="s">
        <v>58</v>
      </c>
      <c r="F10" s="62">
        <v>46125</v>
      </c>
      <c r="G10" s="54">
        <v>5</v>
      </c>
      <c r="H10" s="54"/>
      <c r="I10" s="54"/>
      <c r="J10" s="163" t="s">
        <v>124</v>
      </c>
      <c r="K10" s="54" t="s">
        <v>24</v>
      </c>
      <c r="L10" s="79" t="s">
        <v>67</v>
      </c>
    </row>
    <row r="11" spans="1:13" x14ac:dyDescent="0.35">
      <c r="A11" s="54">
        <v>5</v>
      </c>
      <c r="B11" s="54"/>
      <c r="C11" s="54"/>
      <c r="D11" s="170">
        <v>840</v>
      </c>
      <c r="E11" s="159" t="s">
        <v>131</v>
      </c>
      <c r="F11" s="62">
        <v>46119</v>
      </c>
      <c r="G11" s="54" t="s">
        <v>229</v>
      </c>
      <c r="H11" s="54"/>
      <c r="I11" s="54"/>
      <c r="J11" s="163" t="s">
        <v>124</v>
      </c>
      <c r="K11" s="54" t="s">
        <v>130</v>
      </c>
      <c r="L11" s="79" t="str">
        <f>IF(OR(NOT(ISERROR(MATCH(RIGHT(D11,3)+0,#REF!,0))),NOT(ISERROR(MATCH(LEFT(D11,3)+0,#REF!,0)))),"No Post","")</f>
        <v/>
      </c>
    </row>
    <row r="12" spans="1:13" x14ac:dyDescent="0.35">
      <c r="A12" s="54">
        <v>6</v>
      </c>
      <c r="B12" s="54"/>
      <c r="C12" s="54"/>
      <c r="D12" s="101">
        <v>316</v>
      </c>
      <c r="E12" s="160" t="s">
        <v>134</v>
      </c>
      <c r="F12" s="102">
        <v>46123</v>
      </c>
      <c r="G12" s="101" t="s">
        <v>145</v>
      </c>
      <c r="H12" s="101"/>
      <c r="I12" s="101"/>
      <c r="J12" s="163" t="s">
        <v>124</v>
      </c>
      <c r="K12" s="101" t="s">
        <v>135</v>
      </c>
      <c r="L12" s="103"/>
      <c r="M12" s="4" t="s">
        <v>248</v>
      </c>
    </row>
    <row r="13" spans="1:13" x14ac:dyDescent="0.35">
      <c r="A13" s="54">
        <v>7</v>
      </c>
      <c r="B13" s="54"/>
      <c r="C13" s="54"/>
      <c r="D13" s="170">
        <v>217</v>
      </c>
      <c r="E13" s="159" t="s">
        <v>147</v>
      </c>
      <c r="F13" s="62">
        <v>46120</v>
      </c>
      <c r="G13" s="54" t="s">
        <v>121</v>
      </c>
      <c r="H13" s="54"/>
      <c r="I13" s="54"/>
      <c r="J13" s="134" t="s">
        <v>132</v>
      </c>
      <c r="K13" s="54" t="s">
        <v>148</v>
      </c>
      <c r="L13" s="79" t="str">
        <f>IF(OR(NOT(ISERROR(MATCH(RIGHT(D13,3)+0,#REF!,0))),NOT(ISERROR(MATCH(LEFT(D13,3)+0,#REF!,0)))),"No Post","")</f>
        <v/>
      </c>
    </row>
    <row r="14" spans="1:13" x14ac:dyDescent="0.35">
      <c r="A14" s="54">
        <v>8</v>
      </c>
      <c r="B14" s="54"/>
      <c r="C14" s="54"/>
      <c r="D14" s="170">
        <v>880</v>
      </c>
      <c r="E14" s="159" t="s">
        <v>181</v>
      </c>
      <c r="F14" s="62">
        <v>46122</v>
      </c>
      <c r="G14" s="54" t="s">
        <v>166</v>
      </c>
      <c r="H14" s="54"/>
      <c r="I14" s="54"/>
      <c r="J14" s="134" t="s">
        <v>132</v>
      </c>
      <c r="K14" s="54" t="s">
        <v>135</v>
      </c>
      <c r="L14" s="79" t="str">
        <f>IF(OR(NOT(ISERROR(MATCH(RIGHT(D14,3)+0,#REF!,0))),NOT(ISERROR(MATCH(LEFT(D14,3)+0,#REF!,0)))),"No Post","")</f>
        <v/>
      </c>
    </row>
    <row r="15" spans="1:13" x14ac:dyDescent="0.35">
      <c r="A15" s="54">
        <v>9</v>
      </c>
      <c r="B15" s="54"/>
      <c r="C15" s="54"/>
      <c r="D15" s="170">
        <v>810</v>
      </c>
      <c r="E15" s="159" t="s">
        <v>209</v>
      </c>
      <c r="F15" s="62"/>
      <c r="G15" s="54" t="s">
        <v>166</v>
      </c>
      <c r="H15" s="54"/>
      <c r="I15" s="54"/>
      <c r="J15" s="134" t="s">
        <v>132</v>
      </c>
      <c r="K15" s="54" t="s">
        <v>211</v>
      </c>
      <c r="L15" s="79" t="str">
        <f>IF(OR(NOT(ISERROR(MATCH(RIGHT(D15,3)+0,#REF!,0))),NOT(ISERROR(MATCH(LEFT(D15,3)+0,#REF!,0)))),"No Post","")</f>
        <v/>
      </c>
    </row>
    <row r="16" spans="1:13" x14ac:dyDescent="0.35">
      <c r="A16" s="54">
        <v>10</v>
      </c>
      <c r="B16" s="54"/>
      <c r="C16" s="54"/>
      <c r="D16" s="170">
        <v>811</v>
      </c>
      <c r="E16" s="159" t="s">
        <v>210</v>
      </c>
      <c r="F16" s="62"/>
      <c r="G16" s="54" t="s">
        <v>251</v>
      </c>
      <c r="H16" s="54"/>
      <c r="I16" s="54"/>
      <c r="J16" s="134" t="s">
        <v>132</v>
      </c>
      <c r="K16" s="54" t="s">
        <v>211</v>
      </c>
      <c r="L16" s="79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54">
        <v>11</v>
      </c>
      <c r="B17" s="171"/>
      <c r="C17" s="171"/>
      <c r="D17" s="94">
        <v>689</v>
      </c>
      <c r="E17" s="159" t="s">
        <v>215</v>
      </c>
      <c r="F17" s="48">
        <v>46124</v>
      </c>
      <c r="G17" s="46">
        <v>3</v>
      </c>
      <c r="H17" s="46"/>
      <c r="I17" s="46"/>
      <c r="J17" s="163" t="s">
        <v>124</v>
      </c>
      <c r="K17" s="47" t="s">
        <v>117</v>
      </c>
      <c r="L17" s="79" t="str">
        <f>IF(OR(NOT(ISERROR(MATCH(RIGHT(D17,3)+0,#REF!,0))),NOT(ISERROR(MATCH(LEFT(D17,3)+0,#REF!,0)))),"No Post","")</f>
        <v/>
      </c>
    </row>
    <row r="18" spans="1:12" ht="18.600000000000001" customHeight="1" x14ac:dyDescent="0.35">
      <c r="A18" s="54">
        <v>12</v>
      </c>
      <c r="B18" s="171"/>
      <c r="C18" s="171"/>
      <c r="D18" s="94">
        <v>307</v>
      </c>
      <c r="E18" s="47" t="s">
        <v>233</v>
      </c>
      <c r="F18" s="48">
        <v>46120</v>
      </c>
      <c r="G18" s="46">
        <v>2</v>
      </c>
      <c r="H18" s="46"/>
      <c r="I18" s="46"/>
      <c r="J18" s="87" t="s">
        <v>106</v>
      </c>
      <c r="K18" s="47" t="s">
        <v>231</v>
      </c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13</v>
      </c>
      <c r="B19" s="171"/>
      <c r="C19" s="171"/>
      <c r="D19" s="46">
        <v>850</v>
      </c>
      <c r="E19" s="47" t="s">
        <v>232</v>
      </c>
      <c r="F19" s="48">
        <v>46121</v>
      </c>
      <c r="G19" s="46">
        <v>2</v>
      </c>
      <c r="H19" s="46"/>
      <c r="I19" s="46"/>
      <c r="J19" s="163" t="s">
        <v>124</v>
      </c>
      <c r="K19" s="47" t="s">
        <v>164</v>
      </c>
      <c r="L19" s="79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14</v>
      </c>
      <c r="B20" s="54"/>
      <c r="C20" s="54"/>
      <c r="D20" s="46"/>
      <c r="E20" s="47"/>
      <c r="F20" s="48"/>
      <c r="G20" s="46"/>
      <c r="H20" s="46"/>
      <c r="I20" s="46"/>
      <c r="J20" s="47"/>
      <c r="K20" s="47"/>
      <c r="L20" s="79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4">
        <v>15</v>
      </c>
      <c r="B21" s="54"/>
      <c r="C21" s="54"/>
      <c r="D21" s="46"/>
      <c r="E21" s="131" t="s">
        <v>223</v>
      </c>
      <c r="F21" s="48"/>
      <c r="G21" s="46"/>
      <c r="H21" s="46"/>
      <c r="I21" s="46"/>
      <c r="J21" s="47"/>
      <c r="K21" s="47"/>
      <c r="L21" s="79" t="str">
        <f>IF(OR(NOT(ISERROR(MATCH(RIGHT(D21,3)+0,#REF!,0))),NOT(ISERROR(MATCH(LEFT(D21,3)+0,#REF!,0)))),"No Post","")</f>
        <v/>
      </c>
    </row>
    <row r="22" spans="1:12" ht="18.600000000000001" customHeight="1" x14ac:dyDescent="0.35">
      <c r="A22" s="54">
        <v>16</v>
      </c>
      <c r="B22" s="54"/>
      <c r="C22" s="54"/>
      <c r="D22" s="46"/>
      <c r="E22" s="47"/>
      <c r="F22" s="48"/>
      <c r="G22" s="46"/>
      <c r="H22" s="46"/>
      <c r="I22" s="46"/>
      <c r="J22" s="47"/>
      <c r="K22" s="47"/>
      <c r="L22" s="79" t="str">
        <f>IF(OR(NOT(ISERROR(MATCH(RIGHT(D22,3)+0,#REF!,0))),NOT(ISERROR(MATCH(LEFT(D22,3)+0,#REF!,0)))),"No Post","")</f>
        <v/>
      </c>
    </row>
    <row r="23" spans="1:12" ht="18.600000000000001" customHeight="1" x14ac:dyDescent="0.35">
      <c r="A23" s="54">
        <v>17</v>
      </c>
      <c r="B23" s="130"/>
      <c r="C23" s="130"/>
      <c r="D23" s="173">
        <v>820</v>
      </c>
      <c r="E23" s="88" t="s">
        <v>95</v>
      </c>
      <c r="F23" s="172">
        <v>46121</v>
      </c>
      <c r="G23" s="88">
        <v>2</v>
      </c>
      <c r="H23" s="88"/>
      <c r="I23" s="88"/>
      <c r="J23" s="87" t="s">
        <v>106</v>
      </c>
      <c r="K23" s="88" t="s">
        <v>24</v>
      </c>
      <c r="L23" s="79" t="str">
        <f>IF(OR(NOT(ISERROR(MATCH(RIGHT(D23,3)+0,#REF!,0))),NOT(ISERROR(MATCH(LEFT(D23,3)+0,#REF!,0)))),"No Post","")</f>
        <v/>
      </c>
    </row>
    <row r="24" spans="1:12" ht="18.600000000000001" customHeight="1" x14ac:dyDescent="0.35">
      <c r="A24" s="54">
        <v>18</v>
      </c>
      <c r="B24" s="54"/>
      <c r="C24" s="54"/>
      <c r="D24" s="97">
        <v>615</v>
      </c>
      <c r="E24" s="161" t="s">
        <v>241</v>
      </c>
      <c r="F24" s="48"/>
      <c r="G24" s="46"/>
      <c r="H24" s="46"/>
      <c r="I24" s="46"/>
      <c r="J24" s="47"/>
      <c r="K24" s="47"/>
      <c r="L24" s="79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54">
        <v>19</v>
      </c>
      <c r="B25" s="54"/>
      <c r="C25" s="54"/>
      <c r="D25" s="46"/>
      <c r="E25" s="47"/>
      <c r="F25" s="48"/>
      <c r="G25" s="46"/>
      <c r="H25" s="46"/>
      <c r="I25" s="46"/>
      <c r="J25" s="47"/>
      <c r="K25" s="47"/>
      <c r="L25" s="79" t="str">
        <f>IF(OR(NOT(ISERROR(MATCH(RIGHT(D25,3)+0,#REF!,0))),NOT(ISERROR(MATCH(LEFT(D25,3)+0,#REF!,0)))),"No Post","")</f>
        <v/>
      </c>
    </row>
    <row r="26" spans="1:12" s="26" customFormat="1" ht="18.600000000000001" customHeight="1" x14ac:dyDescent="0.4">
      <c r="A26" s="54">
        <v>20</v>
      </c>
      <c r="B26" s="54"/>
      <c r="C26" s="54"/>
      <c r="D26" s="46"/>
      <c r="E26" s="47"/>
      <c r="F26" s="48"/>
      <c r="G26" s="46"/>
      <c r="H26" s="46"/>
      <c r="I26" s="46"/>
      <c r="J26" s="47"/>
      <c r="K26" s="47"/>
      <c r="L26" s="79" t="str">
        <f>IF(OR(NOT(ISERROR(MATCH(RIGHT(D26,3)+0,#REF!,0))),NOT(ISERROR(MATCH(LEFT(D26,3)+0,#REF!,0)))),"No Post","")</f>
        <v/>
      </c>
    </row>
    <row r="27" spans="1:12" ht="20.25" customHeight="1" x14ac:dyDescent="0.35">
      <c r="A27" s="49"/>
      <c r="B27" s="49"/>
      <c r="C27" s="49"/>
      <c r="D27" s="49"/>
      <c r="E27" s="49" t="str">
        <f>"Remaning: "&amp;IFERROR(MID(A5, SEARCH("MAX", A5) + LEN("MAX"), SEARCH("PAX", A5) - SEARCH("MAX", A5) - LEN("MAX")), "")+0-SUM(G27:H27)</f>
        <v>Remaning: 4</v>
      </c>
      <c r="F27" s="50" t="s">
        <v>19</v>
      </c>
      <c r="G27" s="51">
        <f>SUM(G7:G26)</f>
        <v>16</v>
      </c>
      <c r="H27" s="51">
        <f>SUM(H17:H26)</f>
        <v>0</v>
      </c>
      <c r="I27" s="49"/>
      <c r="J27" s="49"/>
      <c r="K27" s="49"/>
    </row>
    <row r="28" spans="1:12" ht="20.25" customHeight="1" x14ac:dyDescent="0.35">
      <c r="D28" s="8" t="s">
        <v>5</v>
      </c>
      <c r="E28" s="8"/>
      <c r="F28" s="35"/>
      <c r="G28" s="8"/>
      <c r="H28" s="8"/>
      <c r="I28" s="8"/>
    </row>
    <row r="29" spans="1:12" ht="20.25" customHeight="1" x14ac:dyDescent="0.35">
      <c r="D29" s="15" t="s">
        <v>6</v>
      </c>
      <c r="E29" s="9"/>
      <c r="F29" s="36"/>
      <c r="G29" s="9"/>
      <c r="H29" s="9"/>
      <c r="I29" s="9"/>
    </row>
    <row r="30" spans="1:12" ht="20.25" customHeight="1" x14ac:dyDescent="0.35">
      <c r="D30" s="15" t="s">
        <v>7</v>
      </c>
      <c r="E30" s="9"/>
      <c r="F30" s="36"/>
      <c r="G30" s="9"/>
      <c r="H30" s="9"/>
      <c r="I30" s="9"/>
    </row>
    <row r="31" spans="1:12" ht="20.25" customHeight="1" x14ac:dyDescent="0.35">
      <c r="D31" s="15" t="s">
        <v>8</v>
      </c>
      <c r="E31" s="9"/>
      <c r="F31" s="36"/>
      <c r="G31" s="9"/>
      <c r="H31" s="9"/>
      <c r="I31" s="9"/>
    </row>
    <row r="32" spans="1:12" x14ac:dyDescent="0.35">
      <c r="D32" s="15" t="s">
        <v>9</v>
      </c>
      <c r="E32" s="9"/>
      <c r="F32" s="36"/>
      <c r="G32" s="9"/>
      <c r="H32" s="9"/>
      <c r="I32" s="9"/>
    </row>
    <row r="33" spans="4:9" x14ac:dyDescent="0.35">
      <c r="D33" s="15" t="s">
        <v>10</v>
      </c>
      <c r="E33" s="9"/>
      <c r="F33" s="36"/>
      <c r="G33" s="9"/>
      <c r="H33" s="9"/>
      <c r="I33" s="9"/>
    </row>
    <row r="34" spans="4:9" x14ac:dyDescent="0.35">
      <c r="D34" s="15" t="s">
        <v>11</v>
      </c>
      <c r="E34" s="9"/>
      <c r="F34" s="36"/>
      <c r="G34" s="9"/>
      <c r="H34" s="9"/>
      <c r="I34" s="9"/>
    </row>
    <row r="35" spans="4:9" s="11" customFormat="1" ht="15.6" x14ac:dyDescent="0.3">
      <c r="D35" s="16" t="s">
        <v>12</v>
      </c>
      <c r="E35" s="10"/>
      <c r="F35" s="37"/>
      <c r="G35" s="10"/>
      <c r="H35" s="10"/>
    </row>
    <row r="36" spans="4:9" s="11" customFormat="1" ht="15.6" x14ac:dyDescent="0.3">
      <c r="D36" s="16" t="s">
        <v>13</v>
      </c>
      <c r="E36" s="10"/>
      <c r="F36" s="37"/>
      <c r="G36" s="10"/>
      <c r="H36" s="10"/>
    </row>
    <row r="37" spans="4:9" s="13" customFormat="1" ht="20.25" customHeight="1" x14ac:dyDescent="0.35">
      <c r="D37" s="17" t="s">
        <v>14</v>
      </c>
      <c r="E37" s="12"/>
      <c r="F37" s="38"/>
    </row>
    <row r="38" spans="4:9" s="8" customFormat="1" ht="14.4" x14ac:dyDescent="0.3">
      <c r="D38" s="14"/>
      <c r="E38" s="9"/>
      <c r="F38" s="36"/>
      <c r="G38" s="9"/>
      <c r="H38" s="9"/>
      <c r="I38" s="9"/>
    </row>
    <row r="39" spans="4:9" x14ac:dyDescent="0.35">
      <c r="D39" s="9"/>
      <c r="E39" s="9"/>
      <c r="F39" s="36"/>
      <c r="G39" s="9"/>
      <c r="H39" s="9"/>
      <c r="I39" s="9"/>
    </row>
    <row r="40" spans="4:9" x14ac:dyDescent="0.35">
      <c r="D40" s="8"/>
      <c r="E40" s="8"/>
      <c r="F40" s="35"/>
      <c r="G40" s="8"/>
      <c r="H40" s="8"/>
      <c r="I40" s="8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9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5" spans="4:9" x14ac:dyDescent="0.35">
      <c r="D45" s="9"/>
      <c r="E45" s="9"/>
      <c r="F45" s="36"/>
      <c r="G45" s="9"/>
      <c r="H45" s="9"/>
      <c r="I45" s="9"/>
    </row>
    <row r="46" spans="4:9" x14ac:dyDescent="0.35">
      <c r="D46" s="9"/>
      <c r="E46" s="9"/>
      <c r="F46" s="36"/>
      <c r="G46" s="9"/>
      <c r="H46" s="9"/>
      <c r="I46" s="9"/>
    </row>
    <row r="47" spans="4:9" x14ac:dyDescent="0.35">
      <c r="D47" s="14"/>
      <c r="E47" s="9"/>
      <c r="F47" s="36"/>
      <c r="G47" s="9"/>
      <c r="H47" s="9"/>
      <c r="I47" s="9"/>
    </row>
    <row r="48" spans="4:9" x14ac:dyDescent="0.35">
      <c r="D48" s="9"/>
      <c r="E48" s="9"/>
      <c r="F48" s="36"/>
      <c r="G48" s="9"/>
      <c r="H48" s="9"/>
      <c r="I48" s="9"/>
    </row>
    <row r="50" spans="4:9" x14ac:dyDescent="0.35">
      <c r="D50" s="1"/>
      <c r="E50" s="1"/>
      <c r="F50" s="33"/>
      <c r="G50" s="1"/>
      <c r="H50" s="1"/>
      <c r="I50" s="1"/>
    </row>
    <row r="65" spans="4:9" x14ac:dyDescent="0.35">
      <c r="D65" s="9"/>
      <c r="E65" s="9"/>
      <c r="F65" s="36"/>
      <c r="G65" s="9"/>
      <c r="H65" s="9"/>
      <c r="I65" s="9"/>
    </row>
    <row r="66" spans="4:9" x14ac:dyDescent="0.35">
      <c r="D66" s="9"/>
      <c r="E66" s="9"/>
      <c r="F66" s="36"/>
      <c r="G66" s="9"/>
      <c r="H66" s="9"/>
      <c r="I66" s="9"/>
    </row>
    <row r="67" spans="4:9" x14ac:dyDescent="0.35">
      <c r="D67" s="9"/>
      <c r="E67" s="9"/>
      <c r="F67" s="36"/>
      <c r="G67" s="9"/>
      <c r="H67" s="9"/>
      <c r="I67" s="9"/>
    </row>
    <row r="68" spans="4:9" x14ac:dyDescent="0.35">
      <c r="D68" s="14"/>
      <c r="E68" s="9"/>
      <c r="F68" s="36"/>
      <c r="G68" s="9"/>
      <c r="H68" s="9"/>
      <c r="I68" s="9"/>
    </row>
    <row r="69" spans="4:9" x14ac:dyDescent="0.35">
      <c r="D69" s="9"/>
      <c r="E69" s="9"/>
      <c r="F69" s="36"/>
      <c r="G69" s="9"/>
      <c r="H69" s="9"/>
      <c r="I69" s="9"/>
    </row>
  </sheetData>
  <customSheetViews>
    <customSheetView guid="{744BB052-D863-41D2-951C-2AB325855A97}" showPageBreaks="1" printArea="1" topLeftCell="A4">
      <selection activeCell="E13" sqref="E13"/>
      <rowBreaks count="1" manualBreakCount="1">
        <brk id="37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K15" sqref="K15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K15" sqref="K15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K15" sqref="K15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K15" sqref="K15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6">
    <cfRule type="containsText" dxfId="24" priority="1" operator="containsText" text="No Post">
      <formula>NOT(ISERROR(SEARCH("No Post",L7)))</formula>
    </cfRule>
  </conditionalFormatting>
  <pageMargins left="0.17" right="0.17" top="0.75" bottom="0.75" header="0.3" footer="0.3"/>
  <pageSetup scale="64" orientation="landscape" r:id="rId6"/>
  <rowBreaks count="1" manualBreakCount="1">
    <brk id="37" min="3" max="10" man="1"/>
  </rowBreaks>
  <colBreaks count="1" manualBreakCount="1">
    <brk id="13" max="30" man="1"/>
  </colBrea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71"/>
  <sheetViews>
    <sheetView topLeftCell="A4" zoomScale="76" zoomScaleNormal="76" zoomScaleSheetLayoutView="100" workbookViewId="0">
      <selection activeCell="J27" sqref="J27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4" thickBot="1" x14ac:dyDescent="0.5">
      <c r="A5" s="377" t="s">
        <v>15</v>
      </c>
      <c r="B5" s="378"/>
      <c r="C5" s="378"/>
      <c r="D5" s="378"/>
      <c r="E5" s="378"/>
      <c r="F5" s="378"/>
      <c r="G5" s="378"/>
      <c r="H5" s="378"/>
      <c r="I5" s="378"/>
      <c r="J5" s="6" t="s">
        <v>18</v>
      </c>
      <c r="K5" s="3" t="str">
        <f ca="1">CONCATENATE((MID(CELL("filename",K5),FIND("]",CELL("filename",K5))+1,255)),"/04/2026")</f>
        <v>7/04/2026</v>
      </c>
    </row>
    <row r="6" spans="1:12" x14ac:dyDescent="0.35">
      <c r="A6" s="135"/>
      <c r="B6" s="145"/>
      <c r="C6" s="145"/>
      <c r="D6" s="89" t="s">
        <v>1</v>
      </c>
      <c r="E6" s="89" t="s">
        <v>2</v>
      </c>
      <c r="F6" s="90" t="s">
        <v>21</v>
      </c>
      <c r="G6" s="89" t="s">
        <v>16</v>
      </c>
      <c r="H6" s="89" t="s">
        <v>17</v>
      </c>
      <c r="I6" s="89" t="s">
        <v>3</v>
      </c>
      <c r="J6" s="91" t="s">
        <v>20</v>
      </c>
      <c r="K6" s="92" t="s">
        <v>4</v>
      </c>
    </row>
    <row r="7" spans="1:12" x14ac:dyDescent="0.35">
      <c r="A7" s="180"/>
      <c r="B7" s="184"/>
      <c r="C7" s="184"/>
      <c r="D7" s="181"/>
      <c r="E7" s="182" t="s">
        <v>267</v>
      </c>
      <c r="F7" s="183" t="s">
        <v>268</v>
      </c>
      <c r="G7" s="181"/>
      <c r="H7" s="181"/>
      <c r="I7" s="181"/>
      <c r="J7" s="184"/>
      <c r="K7" s="185"/>
    </row>
    <row r="8" spans="1:12" x14ac:dyDescent="0.35">
      <c r="A8" s="43">
        <v>1</v>
      </c>
      <c r="B8" s="190"/>
      <c r="C8" s="190"/>
      <c r="D8" s="97" t="s">
        <v>272</v>
      </c>
      <c r="E8" s="46" t="s">
        <v>242</v>
      </c>
      <c r="F8" s="48">
        <v>46119</v>
      </c>
      <c r="G8" s="46">
        <v>2</v>
      </c>
      <c r="H8" s="46"/>
      <c r="I8" s="46"/>
      <c r="J8" s="97" t="s">
        <v>124</v>
      </c>
      <c r="K8" s="46" t="s">
        <v>213</v>
      </c>
      <c r="L8" s="79" t="str">
        <f>IF(OR(NOT(ISERROR(MATCH(RIGHT(D27,3)+0,#REF!,0))),NOT(ISERROR(MATCH(LEFT(D27,3)+0,#REF!,0)))),"No Post","")</f>
        <v/>
      </c>
    </row>
    <row r="9" spans="1:12" x14ac:dyDescent="0.35">
      <c r="A9" s="54">
        <v>2</v>
      </c>
      <c r="B9" s="189"/>
      <c r="C9" s="189"/>
      <c r="D9" s="97">
        <v>302</v>
      </c>
      <c r="E9" s="46" t="s">
        <v>255</v>
      </c>
      <c r="F9" s="48">
        <v>46123</v>
      </c>
      <c r="G9" s="46">
        <v>2</v>
      </c>
      <c r="H9" s="46"/>
      <c r="I9" s="46"/>
      <c r="J9" s="97" t="s">
        <v>124</v>
      </c>
      <c r="K9" s="46" t="s">
        <v>256</v>
      </c>
      <c r="L9" s="79" t="s">
        <v>273</v>
      </c>
    </row>
    <row r="10" spans="1:12" x14ac:dyDescent="0.35">
      <c r="A10" s="54">
        <v>3</v>
      </c>
      <c r="B10" s="54"/>
      <c r="C10" s="54"/>
      <c r="D10" s="98">
        <v>307</v>
      </c>
      <c r="E10" s="46" t="s">
        <v>233</v>
      </c>
      <c r="F10" s="48">
        <v>46120</v>
      </c>
      <c r="G10" s="46">
        <v>2</v>
      </c>
      <c r="H10" s="46"/>
      <c r="I10" s="46"/>
      <c r="J10" s="98" t="s">
        <v>106</v>
      </c>
      <c r="K10" s="46" t="s">
        <v>231</v>
      </c>
      <c r="L10" s="79" t="str">
        <f>IF(OR(NOT(ISERROR(MATCH(RIGHT(D10,3)+0,#REF!,0))),NOT(ISERROR(MATCH(LEFT(D10,3)+0,#REF!,0)))),"No Post","")</f>
        <v/>
      </c>
    </row>
    <row r="11" spans="1:12" x14ac:dyDescent="0.35">
      <c r="A11" s="54">
        <v>4</v>
      </c>
      <c r="B11" s="54"/>
      <c r="C11" s="54"/>
      <c r="D11" s="97">
        <v>308</v>
      </c>
      <c r="E11" s="46" t="s">
        <v>40</v>
      </c>
      <c r="F11" s="48">
        <v>46123</v>
      </c>
      <c r="G11" s="46" t="s">
        <v>252</v>
      </c>
      <c r="H11" s="46"/>
      <c r="I11" s="46"/>
      <c r="J11" s="97" t="s">
        <v>124</v>
      </c>
      <c r="K11" s="46" t="s">
        <v>243</v>
      </c>
      <c r="L11" s="79" t="s">
        <v>273</v>
      </c>
    </row>
    <row r="12" spans="1:12" x14ac:dyDescent="0.35">
      <c r="A12" s="54">
        <v>5</v>
      </c>
      <c r="B12" s="189"/>
      <c r="C12" s="189"/>
      <c r="D12" s="188">
        <v>316</v>
      </c>
      <c r="E12" s="177" t="s">
        <v>134</v>
      </c>
      <c r="F12" s="178">
        <v>46123</v>
      </c>
      <c r="G12" s="177">
        <v>2</v>
      </c>
      <c r="H12" s="177"/>
      <c r="I12" s="177"/>
      <c r="J12" s="188" t="s">
        <v>124</v>
      </c>
      <c r="K12" s="177" t="s">
        <v>135</v>
      </c>
      <c r="L12" s="79" t="str">
        <f>IF(OR(NOT(ISERROR(MATCH(RIGHT(D12,3)+0,#REF!,0))),NOT(ISERROR(MATCH(LEFT(D12,3)+0,#REF!,0)))),"No Post","")</f>
        <v/>
      </c>
    </row>
    <row r="13" spans="1:12" x14ac:dyDescent="0.35">
      <c r="A13" s="82">
        <v>6</v>
      </c>
      <c r="B13" s="191"/>
      <c r="C13" s="191"/>
      <c r="D13" s="98">
        <v>317</v>
      </c>
      <c r="E13" s="46" t="s">
        <v>42</v>
      </c>
      <c r="F13" s="48">
        <v>46121</v>
      </c>
      <c r="G13" s="46">
        <v>2</v>
      </c>
      <c r="H13" s="46"/>
      <c r="I13" s="46"/>
      <c r="J13" s="98" t="s">
        <v>106</v>
      </c>
      <c r="K13" s="46" t="s">
        <v>24</v>
      </c>
      <c r="L13" s="79" t="str">
        <f>IF(OR(NOT(ISERROR(MATCH(RIGHT(D13,3)+0,#REF!,0))),NOT(ISERROR(MATCH(LEFT(D13,3)+0,#REF!,0)))),"No Post","")</f>
        <v/>
      </c>
    </row>
    <row r="14" spans="1:12" x14ac:dyDescent="0.35">
      <c r="A14" s="180"/>
      <c r="B14" s="184"/>
      <c r="C14" s="184"/>
      <c r="D14" s="184"/>
      <c r="E14" s="186" t="s">
        <v>269</v>
      </c>
      <c r="F14" s="187" t="s">
        <v>270</v>
      </c>
      <c r="G14" s="184"/>
      <c r="H14" s="184"/>
      <c r="I14" s="184"/>
      <c r="J14" s="184"/>
      <c r="K14" s="185"/>
      <c r="L14" s="79"/>
    </row>
    <row r="15" spans="1:12" x14ac:dyDescent="0.35">
      <c r="A15" s="43">
        <v>7</v>
      </c>
      <c r="B15" s="190"/>
      <c r="C15" s="190"/>
      <c r="D15" s="97">
        <v>331</v>
      </c>
      <c r="E15" s="46" t="s">
        <v>265</v>
      </c>
      <c r="F15" s="48">
        <v>46121</v>
      </c>
      <c r="G15" s="46">
        <v>2</v>
      </c>
      <c r="H15" s="46"/>
      <c r="I15" s="46"/>
      <c r="J15" s="97" t="s">
        <v>274</v>
      </c>
      <c r="K15" s="46" t="s">
        <v>117</v>
      </c>
      <c r="L15" s="79" t="str">
        <f>IF(OR(NOT(ISERROR(MATCH(RIGHT(D15,3)+0,#REF!,0))),NOT(ISERROR(MATCH(LEFT(D15,3)+0,#REF!,0)))),"No Post","")</f>
        <v/>
      </c>
    </row>
    <row r="16" spans="1:12" x14ac:dyDescent="0.35">
      <c r="A16" s="54">
        <v>8</v>
      </c>
      <c r="B16" s="189"/>
      <c r="C16" s="189"/>
      <c r="D16" s="97">
        <v>615</v>
      </c>
      <c r="E16" s="46" t="s">
        <v>262</v>
      </c>
      <c r="F16" s="48">
        <v>46120</v>
      </c>
      <c r="G16" s="46">
        <v>2</v>
      </c>
      <c r="H16" s="46"/>
      <c r="I16" s="46"/>
      <c r="J16" s="97" t="s">
        <v>124</v>
      </c>
      <c r="K16" s="46" t="s">
        <v>245</v>
      </c>
      <c r="L16" s="79" t="str">
        <f>IF(OR(NOT(ISERROR(MATCH(RIGHT(D16,3)+0,#REF!,0))),NOT(ISERROR(MATCH(LEFT(D16,3)+0,#REF!,0)))),"No Post","")</f>
        <v/>
      </c>
    </row>
    <row r="17" spans="1:13" x14ac:dyDescent="0.35">
      <c r="A17" s="54">
        <v>9</v>
      </c>
      <c r="B17" s="189"/>
      <c r="C17" s="189"/>
      <c r="D17" s="100">
        <v>650</v>
      </c>
      <c r="E17" s="46" t="s">
        <v>244</v>
      </c>
      <c r="F17" s="48">
        <v>46122</v>
      </c>
      <c r="G17" s="46">
        <v>2</v>
      </c>
      <c r="H17" s="46"/>
      <c r="I17" s="46"/>
      <c r="J17" s="100" t="s">
        <v>132</v>
      </c>
      <c r="K17" s="46" t="s">
        <v>239</v>
      </c>
      <c r="L17" s="79" t="str">
        <f>IF(OR(NOT(ISERROR(MATCH(RIGHT(D17,3)+0,#REF!,0))),NOT(ISERROR(MATCH(LEFT(D17,3)+0,#REF!,0)))),"No Post","")</f>
        <v/>
      </c>
    </row>
    <row r="18" spans="1:13" x14ac:dyDescent="0.35">
      <c r="A18" s="54">
        <v>10</v>
      </c>
      <c r="B18" s="189"/>
      <c r="C18" s="189"/>
      <c r="D18" s="99">
        <v>676</v>
      </c>
      <c r="E18" s="46" t="s">
        <v>246</v>
      </c>
      <c r="F18" s="48">
        <v>46120</v>
      </c>
      <c r="G18" s="46">
        <v>2</v>
      </c>
      <c r="H18" s="46"/>
      <c r="I18" s="46"/>
      <c r="J18" s="99" t="s">
        <v>283</v>
      </c>
      <c r="K18" s="46" t="s">
        <v>231</v>
      </c>
      <c r="L18" s="79" t="str">
        <f>IF(OR(NOT(ISERROR(MATCH(RIGHT(D28,3)+0,#REF!,0))),NOT(ISERROR(MATCH(LEFT(D28,3)+0,#REF!,0)))),"No Post","")</f>
        <v/>
      </c>
      <c r="M18" s="4" t="s">
        <v>284</v>
      </c>
    </row>
    <row r="19" spans="1:13" ht="18.600000000000001" customHeight="1" x14ac:dyDescent="0.35">
      <c r="A19" s="54">
        <v>11</v>
      </c>
      <c r="B19" s="189"/>
      <c r="C19" s="189"/>
      <c r="D19" s="117">
        <v>843</v>
      </c>
      <c r="E19" s="21" t="s">
        <v>109</v>
      </c>
      <c r="F19" s="48">
        <v>46120</v>
      </c>
      <c r="G19" s="46">
        <v>2</v>
      </c>
      <c r="H19" s="46"/>
      <c r="I19" s="46"/>
      <c r="J19" s="117" t="s">
        <v>279</v>
      </c>
      <c r="K19" s="46" t="s">
        <v>90</v>
      </c>
      <c r="L19" s="79" t="str">
        <f>IF(OR(NOT(ISERROR(MATCH(RIGHT(D19,3)+0,#REF!,0))),NOT(ISERROR(MATCH(LEFT(D19,3)+0,#REF!,0)))),"No Post","")</f>
        <v/>
      </c>
    </row>
    <row r="20" spans="1:13" ht="18.600000000000001" customHeight="1" x14ac:dyDescent="0.35">
      <c r="A20" s="54">
        <v>12</v>
      </c>
      <c r="B20" s="189"/>
      <c r="C20" s="189"/>
      <c r="D20" s="97">
        <v>852</v>
      </c>
      <c r="E20" s="46" t="s">
        <v>260</v>
      </c>
      <c r="F20" s="48">
        <v>46124</v>
      </c>
      <c r="G20" s="46">
        <v>3</v>
      </c>
      <c r="H20" s="46"/>
      <c r="I20" s="46"/>
      <c r="J20" s="97" t="s">
        <v>124</v>
      </c>
      <c r="K20" s="46" t="s">
        <v>117</v>
      </c>
      <c r="L20" s="79" t="s">
        <v>273</v>
      </c>
    </row>
    <row r="21" spans="1:13" ht="18.600000000000001" customHeight="1" x14ac:dyDescent="0.35">
      <c r="A21" s="54">
        <v>13</v>
      </c>
      <c r="B21" s="189"/>
      <c r="C21" s="189"/>
      <c r="D21" s="100">
        <v>880</v>
      </c>
      <c r="E21" s="46" t="s">
        <v>181</v>
      </c>
      <c r="F21" s="48">
        <v>46122</v>
      </c>
      <c r="G21" s="46">
        <v>2</v>
      </c>
      <c r="H21" s="46"/>
      <c r="I21" s="46"/>
      <c r="J21" s="100" t="s">
        <v>132</v>
      </c>
      <c r="K21" s="46" t="s">
        <v>135</v>
      </c>
      <c r="L21" s="79" t="str">
        <f>IF(OR(NOT(ISERROR(MATCH(RIGHT(D21,3)+0,#REF!,0))),NOT(ISERROR(MATCH(LEFT(D21,3)+0,#REF!,0)))),"No Post","")</f>
        <v/>
      </c>
    </row>
    <row r="22" spans="1:13" ht="18.600000000000001" customHeight="1" x14ac:dyDescent="0.35">
      <c r="A22" s="54">
        <v>14</v>
      </c>
      <c r="B22" s="189"/>
      <c r="C22" s="189"/>
      <c r="D22" s="98">
        <v>889</v>
      </c>
      <c r="E22" s="179" t="s">
        <v>136</v>
      </c>
      <c r="F22" s="48">
        <v>46121</v>
      </c>
      <c r="G22" s="46">
        <v>2</v>
      </c>
      <c r="H22" s="46"/>
      <c r="I22" s="46"/>
      <c r="J22" s="98" t="s">
        <v>106</v>
      </c>
      <c r="K22" s="46" t="s">
        <v>44</v>
      </c>
      <c r="L22" s="79" t="str">
        <f>IF(OR(NOT(ISERROR(MATCH(RIGHT(D22,3)+0,#REF!,0))),NOT(ISERROR(MATCH(LEFT(D22,3)+0,#REF!,0)))),"No Post","")</f>
        <v/>
      </c>
    </row>
    <row r="23" spans="1:13" ht="18.600000000000001" customHeight="1" x14ac:dyDescent="0.35">
      <c r="A23" s="54">
        <v>15</v>
      </c>
      <c r="B23" s="189"/>
      <c r="C23" s="189"/>
      <c r="D23" s="98">
        <v>895</v>
      </c>
      <c r="E23" s="179" t="s">
        <v>149</v>
      </c>
      <c r="F23" s="48">
        <v>46121</v>
      </c>
      <c r="G23" s="46">
        <v>2</v>
      </c>
      <c r="H23" s="46"/>
      <c r="I23" s="46"/>
      <c r="J23" s="98" t="s">
        <v>106</v>
      </c>
      <c r="K23" s="46" t="s">
        <v>150</v>
      </c>
      <c r="L23" s="79" t="str">
        <f>IF(OR(NOT(ISERROR(MATCH(RIGHT(D23,3)+0,#REF!,0))),NOT(ISERROR(MATCH(LEFT(D23,3)+0,#REF!,0)))),"No Post","")</f>
        <v/>
      </c>
    </row>
    <row r="24" spans="1:13" ht="18.600000000000001" customHeight="1" x14ac:dyDescent="0.35">
      <c r="A24" s="54">
        <v>16</v>
      </c>
      <c r="B24" s="54"/>
      <c r="C24" s="54"/>
      <c r="D24" s="144">
        <v>201</v>
      </c>
      <c r="E24" s="46" t="s">
        <v>261</v>
      </c>
      <c r="F24" s="48">
        <v>46125</v>
      </c>
      <c r="G24" s="144" t="s">
        <v>208</v>
      </c>
      <c r="H24" s="144" t="s">
        <v>208</v>
      </c>
      <c r="I24" s="46"/>
      <c r="J24" s="46"/>
      <c r="K24" s="46"/>
      <c r="L24" s="79" t="str">
        <f>IF(OR(NOT(ISERROR(MATCH(RIGHT(D24,3)+0,#REF!,0))),NOT(ISERROR(MATCH(LEFT(D24,3)+0,#REF!,0)))),"No Post","")</f>
        <v/>
      </c>
    </row>
    <row r="25" spans="1:13" ht="18.600000000000001" customHeight="1" x14ac:dyDescent="0.35">
      <c r="A25" s="54">
        <v>17</v>
      </c>
      <c r="B25" s="54"/>
      <c r="C25" s="54"/>
      <c r="D25" s="144">
        <v>624</v>
      </c>
      <c r="E25" s="110" t="s">
        <v>55</v>
      </c>
      <c r="F25" s="48">
        <v>46121</v>
      </c>
      <c r="G25" s="144" t="s">
        <v>122</v>
      </c>
      <c r="H25" s="144"/>
      <c r="I25" s="46"/>
      <c r="J25" s="163" t="s">
        <v>253</v>
      </c>
      <c r="K25" s="46" t="s">
        <v>44</v>
      </c>
      <c r="L25" s="79" t="str">
        <f>IF(OR(NOT(ISERROR(MATCH(RIGHT(D25,3)+0,#REF!,0))),NOT(ISERROR(MATCH(LEFT(D25,3)+0,#REF!,0)))),"No Post","")</f>
        <v/>
      </c>
    </row>
    <row r="26" spans="1:13" ht="18.600000000000001" customHeight="1" x14ac:dyDescent="0.35">
      <c r="A26" s="54">
        <v>18</v>
      </c>
      <c r="B26" s="54"/>
      <c r="C26" s="54"/>
      <c r="D26" s="144">
        <v>820</v>
      </c>
      <c r="E26" s="46" t="s">
        <v>95</v>
      </c>
      <c r="F26" s="48">
        <v>46121</v>
      </c>
      <c r="G26" s="144" t="s">
        <v>266</v>
      </c>
      <c r="H26" s="144"/>
      <c r="I26" s="46"/>
      <c r="J26" s="46">
        <v>3170180</v>
      </c>
      <c r="K26" s="46" t="s">
        <v>24</v>
      </c>
      <c r="L26" s="79" t="str">
        <f>IF(OR(NOT(ISERROR(MATCH(RIGHT(D26,3)+0,#REF!,0))),NOT(ISERROR(MATCH(LEFT(D26,3)+0,#REF!,0)))),"No Post","")</f>
        <v/>
      </c>
    </row>
    <row r="27" spans="1:13" ht="18.600000000000001" customHeight="1" x14ac:dyDescent="0.35">
      <c r="A27" s="54">
        <v>19</v>
      </c>
      <c r="B27" s="54"/>
      <c r="C27" s="54"/>
      <c r="D27" s="46"/>
      <c r="E27" s="46"/>
      <c r="F27" s="48"/>
      <c r="G27" s="46"/>
      <c r="H27" s="46"/>
      <c r="I27" s="46"/>
      <c r="J27" s="46"/>
      <c r="K27" s="46"/>
      <c r="L27" s="79" t="str">
        <f>IF(OR(NOT(ISERROR(MATCH(RIGHT(#REF!,3)+0,#REF!,0))),NOT(ISERROR(MATCH(LEFT(#REF!,3)+0,#REF!,0)))),"No Post","")</f>
        <v/>
      </c>
    </row>
    <row r="28" spans="1:13" s="26" customFormat="1" ht="18.600000000000001" customHeight="1" x14ac:dyDescent="0.4">
      <c r="A28" s="54">
        <v>20</v>
      </c>
      <c r="B28" s="54"/>
      <c r="C28" s="54"/>
      <c r="D28" s="46"/>
      <c r="E28" s="110"/>
      <c r="F28" s="48"/>
      <c r="G28" s="46"/>
      <c r="H28" s="46"/>
      <c r="I28" s="46"/>
      <c r="J28" s="165"/>
      <c r="K28" s="46"/>
      <c r="L28" s="79" t="str">
        <f>IF(OR(NOT(ISERROR(MATCH(RIGHT(#REF!,3)+0,#REF!,0))),NOT(ISERROR(MATCH(LEFT(#REF!,3)+0,#REF!,0)))),"No Post","")</f>
        <v/>
      </c>
    </row>
    <row r="29" spans="1:13" ht="20.25" customHeight="1" x14ac:dyDescent="0.35">
      <c r="A29" s="49"/>
      <c r="B29" s="49"/>
      <c r="C29" s="49"/>
      <c r="D29" s="49"/>
      <c r="E29" s="49" t="str">
        <f>"Remaning: "&amp;IFERROR(MID(A5, SEARCH("MAX", A5) + LEN("MAX"), SEARCH("PAX", A5) - SEARCH("MAX", A5) - LEN("MAX")), "")+0-SUM(G29:H29)</f>
        <v>Remaning: -9</v>
      </c>
      <c r="F29" s="50" t="s">
        <v>19</v>
      </c>
      <c r="G29" s="51">
        <f>SUM(G8:G28)</f>
        <v>29</v>
      </c>
      <c r="H29" s="51">
        <f>SUM(H15:H28)</f>
        <v>0</v>
      </c>
      <c r="I29" s="49"/>
      <c r="J29" s="49"/>
      <c r="K29" s="49"/>
    </row>
    <row r="30" spans="1:13" ht="20.25" customHeight="1" x14ac:dyDescent="0.35">
      <c r="D30" s="8" t="s">
        <v>5</v>
      </c>
      <c r="E30" s="8"/>
      <c r="F30" s="35"/>
      <c r="G30" s="8"/>
      <c r="H30" s="8"/>
      <c r="I30" s="8"/>
    </row>
    <row r="31" spans="1:13" ht="20.25" customHeight="1" x14ac:dyDescent="0.35">
      <c r="D31" s="15" t="s">
        <v>6</v>
      </c>
      <c r="E31" s="9"/>
      <c r="F31" s="36"/>
      <c r="G31" s="9"/>
      <c r="H31" s="9"/>
      <c r="I31" s="9"/>
    </row>
    <row r="32" spans="1:13" ht="20.25" customHeight="1" x14ac:dyDescent="0.35">
      <c r="D32" s="15" t="s">
        <v>7</v>
      </c>
      <c r="E32" s="9"/>
      <c r="F32" s="36"/>
      <c r="G32" s="9"/>
      <c r="H32" s="9"/>
      <c r="I32" s="9"/>
    </row>
    <row r="33" spans="4:9" ht="20.25" customHeight="1" x14ac:dyDescent="0.35">
      <c r="D33" s="15" t="s">
        <v>8</v>
      </c>
      <c r="E33" s="9"/>
      <c r="F33" s="36"/>
      <c r="G33" s="9"/>
      <c r="H33" s="9"/>
      <c r="I33" s="9"/>
    </row>
    <row r="34" spans="4:9" x14ac:dyDescent="0.35">
      <c r="D34" s="15" t="s">
        <v>9</v>
      </c>
      <c r="E34" s="9"/>
      <c r="F34" s="36"/>
      <c r="G34" s="9"/>
      <c r="H34" s="9"/>
      <c r="I34" s="9"/>
    </row>
    <row r="35" spans="4:9" x14ac:dyDescent="0.35">
      <c r="D35" s="15" t="s">
        <v>10</v>
      </c>
      <c r="E35" s="9"/>
      <c r="F35" s="36"/>
      <c r="G35" s="9"/>
      <c r="H35" s="9"/>
      <c r="I35" s="9"/>
    </row>
    <row r="36" spans="4:9" x14ac:dyDescent="0.35">
      <c r="D36" s="15" t="s">
        <v>11</v>
      </c>
      <c r="E36" s="9"/>
      <c r="F36" s="36"/>
      <c r="G36" s="9"/>
      <c r="H36" s="9"/>
      <c r="I36" s="9"/>
    </row>
    <row r="37" spans="4:9" s="11" customFormat="1" ht="15.6" x14ac:dyDescent="0.3">
      <c r="D37" s="16" t="s">
        <v>12</v>
      </c>
      <c r="E37" s="10"/>
      <c r="F37" s="37"/>
      <c r="G37" s="10"/>
      <c r="H37" s="10"/>
    </row>
    <row r="38" spans="4:9" s="11" customFormat="1" ht="15.6" x14ac:dyDescent="0.3">
      <c r="D38" s="16" t="s">
        <v>13</v>
      </c>
      <c r="E38" s="10"/>
      <c r="F38" s="37"/>
      <c r="G38" s="10"/>
      <c r="H38" s="10"/>
    </row>
    <row r="39" spans="4:9" s="13" customFormat="1" ht="20.25" customHeight="1" x14ac:dyDescent="0.35">
      <c r="D39" s="17" t="s">
        <v>14</v>
      </c>
      <c r="E39" s="12"/>
      <c r="F39" s="38"/>
    </row>
    <row r="40" spans="4:9" s="8" customFormat="1" ht="14.4" x14ac:dyDescent="0.3">
      <c r="D40" s="14"/>
      <c r="E40" s="9"/>
      <c r="F40" s="36"/>
      <c r="G40" s="9"/>
      <c r="H40" s="9"/>
      <c r="I40" s="9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8"/>
      <c r="E42" s="8"/>
      <c r="F42" s="35"/>
      <c r="G42" s="8"/>
      <c r="H42" s="8"/>
      <c r="I42" s="8"/>
    </row>
    <row r="43" spans="4:9" x14ac:dyDescent="0.35">
      <c r="D43" s="9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5" spans="4:9" x14ac:dyDescent="0.35">
      <c r="D45" s="9"/>
      <c r="E45" s="9"/>
      <c r="F45" s="36"/>
      <c r="G45" s="9"/>
      <c r="H45" s="9"/>
      <c r="I45" s="9"/>
    </row>
    <row r="46" spans="4:9" x14ac:dyDescent="0.35">
      <c r="D46" s="9"/>
      <c r="E46" s="9"/>
      <c r="F46" s="36"/>
      <c r="G46" s="9"/>
      <c r="H46" s="9"/>
      <c r="I46" s="9"/>
    </row>
    <row r="47" spans="4:9" x14ac:dyDescent="0.35">
      <c r="D47" s="9"/>
      <c r="E47" s="9"/>
      <c r="F47" s="36"/>
      <c r="G47" s="9"/>
      <c r="H47" s="9"/>
      <c r="I47" s="9"/>
    </row>
    <row r="48" spans="4:9" x14ac:dyDescent="0.35">
      <c r="D48" s="9"/>
      <c r="E48" s="9"/>
      <c r="F48" s="36"/>
      <c r="G48" s="9"/>
      <c r="H48" s="9"/>
      <c r="I48" s="9"/>
    </row>
    <row r="49" spans="4:9" x14ac:dyDescent="0.35">
      <c r="D49" s="14"/>
      <c r="E49" s="9"/>
      <c r="F49" s="36"/>
      <c r="G49" s="9"/>
      <c r="H49" s="9"/>
      <c r="I49" s="9"/>
    </row>
    <row r="50" spans="4:9" x14ac:dyDescent="0.35">
      <c r="D50" s="9"/>
      <c r="E50" s="9"/>
      <c r="F50" s="36"/>
      <c r="G50" s="9"/>
      <c r="H50" s="9"/>
      <c r="I50" s="9"/>
    </row>
    <row r="52" spans="4:9" x14ac:dyDescent="0.35">
      <c r="D52" s="1"/>
      <c r="E52" s="1"/>
      <c r="F52" s="33"/>
      <c r="G52" s="1"/>
      <c r="H52" s="1"/>
      <c r="I52" s="1"/>
    </row>
    <row r="67" spans="4:9" x14ac:dyDescent="0.35">
      <c r="D67" s="9"/>
      <c r="E67" s="9"/>
      <c r="F67" s="36"/>
      <c r="G67" s="9"/>
      <c r="H67" s="9"/>
      <c r="I67" s="9"/>
    </row>
    <row r="68" spans="4:9" x14ac:dyDescent="0.35">
      <c r="D68" s="9"/>
      <c r="E68" s="9"/>
      <c r="F68" s="36"/>
      <c r="G68" s="9"/>
      <c r="H68" s="9"/>
      <c r="I68" s="9"/>
    </row>
    <row r="69" spans="4:9" x14ac:dyDescent="0.35">
      <c r="D69" s="9"/>
      <c r="E69" s="9"/>
      <c r="F69" s="36"/>
      <c r="G69" s="9"/>
      <c r="H69" s="9"/>
      <c r="I69" s="9"/>
    </row>
    <row r="70" spans="4:9" x14ac:dyDescent="0.35">
      <c r="D70" s="14"/>
      <c r="E70" s="9"/>
      <c r="F70" s="36"/>
      <c r="G70" s="9"/>
      <c r="H70" s="9"/>
      <c r="I70" s="9"/>
    </row>
    <row r="71" spans="4:9" x14ac:dyDescent="0.35">
      <c r="D71" s="9"/>
      <c r="E71" s="9"/>
      <c r="F71" s="36"/>
      <c r="G71" s="9"/>
      <c r="H71" s="9"/>
      <c r="I71" s="9"/>
    </row>
  </sheetData>
  <sortState ref="D7:K24">
    <sortCondition ref="D7"/>
  </sortState>
  <customSheetViews>
    <customSheetView guid="{744BB052-D863-41D2-951C-2AB325855A97}" scale="76" showPageBreaks="1" fitToPage="1" printArea="1" topLeftCell="A4">
      <selection activeCell="J27" sqref="J27"/>
      <rowBreaks count="1" manualBreakCount="1">
        <brk id="39" min="3" max="10" man="1"/>
      </rowBreaks>
      <colBreaks count="1" manualBreakCount="1">
        <brk id="13" max="30" man="1"/>
      </colBreaks>
      <pageMargins left="0.17" right="0.17" top="0.75" bottom="0.75" header="0.3" footer="0.3"/>
      <pageSetup scale="69" orientation="landscape" r:id="rId1"/>
    </customSheetView>
    <customSheetView guid="{E646B2A6-D876-4850-BD6A-9EDE7D7D90A5}">
      <selection activeCell="B7" sqref="B7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B7" sqref="B7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B9" sqref="B9:I9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cale="76" showPageBreaks="1" printArea="1">
      <selection activeCell="E9" sqref="E9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8:L28">
    <cfRule type="containsText" dxfId="23" priority="1" operator="containsText" text="No Post">
      <formula>NOT(ISERROR(SEARCH("No Post",L8)))</formula>
    </cfRule>
  </conditionalFormatting>
  <pageMargins left="0.17" right="0.17" top="0.75" bottom="0.75" header="0.3" footer="0.3"/>
  <pageSetup scale="69" orientation="landscape" r:id="rId6"/>
  <rowBreaks count="1" manualBreakCount="1">
    <brk id="39" min="3" max="10" man="1"/>
  </rowBreaks>
  <colBreaks count="1" manualBreakCount="1">
    <brk id="13" max="30" man="1"/>
  </colBrea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4"/>
  <sheetViews>
    <sheetView topLeftCell="A4" zoomScaleNormal="100" zoomScaleSheetLayoutView="100" workbookViewId="0">
      <selection activeCell="F16" sqref="F16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4" thickBot="1" x14ac:dyDescent="0.5">
      <c r="A5" s="377" t="s">
        <v>15</v>
      </c>
      <c r="B5" s="378"/>
      <c r="C5" s="378"/>
      <c r="D5" s="378"/>
      <c r="E5" s="378"/>
      <c r="F5" s="378"/>
      <c r="G5" s="378"/>
      <c r="H5" s="378"/>
      <c r="I5" s="378"/>
      <c r="J5" s="6" t="s">
        <v>18</v>
      </c>
      <c r="K5" s="3" t="str">
        <f ca="1">CONCATENATE((MID(CELL("filename",K5),FIND("]",CELL("filename",K5))+1,255)),"/04/2026")</f>
        <v>8/04/2026</v>
      </c>
    </row>
    <row r="6" spans="1:12" x14ac:dyDescent="0.35">
      <c r="A6" s="40"/>
      <c r="B6" s="112"/>
      <c r="C6" s="112"/>
      <c r="D6" s="41" t="s">
        <v>1</v>
      </c>
      <c r="E6" s="41" t="s">
        <v>2</v>
      </c>
      <c r="F6" s="42" t="s">
        <v>21</v>
      </c>
      <c r="G6" s="41" t="s">
        <v>16</v>
      </c>
      <c r="H6" s="41" t="s">
        <v>17</v>
      </c>
      <c r="I6" s="41" t="s">
        <v>3</v>
      </c>
      <c r="J6" s="43" t="s">
        <v>20</v>
      </c>
      <c r="K6" s="44" t="s">
        <v>4</v>
      </c>
    </row>
    <row r="7" spans="1:12" x14ac:dyDescent="0.35">
      <c r="A7" s="54">
        <v>1</v>
      </c>
      <c r="B7" s="54"/>
      <c r="C7" s="54"/>
      <c r="D7" s="97">
        <v>125</v>
      </c>
      <c r="E7" s="46" t="s">
        <v>263</v>
      </c>
      <c r="F7" s="48">
        <v>46125</v>
      </c>
      <c r="G7" s="46">
        <v>2</v>
      </c>
      <c r="H7" s="46"/>
      <c r="I7" s="46"/>
      <c r="J7" s="97" t="s">
        <v>124</v>
      </c>
      <c r="K7" s="46" t="s">
        <v>117</v>
      </c>
      <c r="L7" s="79" t="str">
        <f>IF(OR(NOT(ISERROR(MATCH(RIGHT(D7,3)+0,#REF!,0))),NOT(ISERROR(MATCH(LEFT(D7,3)+0,#REF!,0)))),"No Post","")</f>
        <v/>
      </c>
    </row>
    <row r="8" spans="1:12" x14ac:dyDescent="0.35">
      <c r="A8" s="54">
        <v>2</v>
      </c>
      <c r="B8" s="130"/>
      <c r="C8" s="130"/>
      <c r="D8" s="98">
        <v>201</v>
      </c>
      <c r="E8" s="46" t="s">
        <v>261</v>
      </c>
      <c r="F8" s="48">
        <v>46125</v>
      </c>
      <c r="G8" s="46">
        <v>2</v>
      </c>
      <c r="H8" s="46">
        <v>2</v>
      </c>
      <c r="I8" s="46"/>
      <c r="J8" s="98" t="s">
        <v>106</v>
      </c>
      <c r="K8" s="46" t="s">
        <v>264</v>
      </c>
      <c r="L8" s="79" t="str">
        <f>IF(OR(NOT(ISERROR(MATCH(RIGHT(D8,3)+0,#REF!,0))),NOT(ISERROR(MATCH(LEFT(D8,3)+0,#REF!,0)))),"No Post","")</f>
        <v/>
      </c>
    </row>
    <row r="9" spans="1:12" x14ac:dyDescent="0.35">
      <c r="A9" s="54">
        <v>3</v>
      </c>
      <c r="B9" s="130"/>
      <c r="C9" s="130"/>
      <c r="D9" s="98">
        <v>318</v>
      </c>
      <c r="E9" s="46" t="s">
        <v>275</v>
      </c>
      <c r="F9" s="48">
        <v>46123</v>
      </c>
      <c r="G9" s="46">
        <v>2</v>
      </c>
      <c r="H9" s="46"/>
      <c r="I9" s="46"/>
      <c r="J9" s="98" t="s">
        <v>106</v>
      </c>
      <c r="K9" s="46"/>
      <c r="L9" s="79" t="str">
        <f>IF(OR(NOT(ISERROR(MATCH(RIGHT(D9,3)+0,#REF!,0))),NOT(ISERROR(MATCH(LEFT(D9,3)+0,#REF!,0)))),"No Post","")</f>
        <v/>
      </c>
    </row>
    <row r="10" spans="1:12" x14ac:dyDescent="0.35">
      <c r="A10" s="54">
        <v>4</v>
      </c>
      <c r="B10" s="130"/>
      <c r="C10" s="130"/>
      <c r="D10" s="98">
        <v>324</v>
      </c>
      <c r="E10" s="46" t="s">
        <v>298</v>
      </c>
      <c r="F10" s="48">
        <v>46123</v>
      </c>
      <c r="G10" s="46">
        <v>2</v>
      </c>
      <c r="H10" s="46"/>
      <c r="I10" s="46"/>
      <c r="J10" s="98" t="s">
        <v>106</v>
      </c>
      <c r="K10" s="46" t="s">
        <v>164</v>
      </c>
      <c r="L10" s="79" t="str">
        <f>IF(OR(NOT(ISERROR(MATCH(RIGHT(D19,3)+0,#REF!,0))),NOT(ISERROR(MATCH(LEFT(D19,3)+0,#REF!,0)))),"No Post","")</f>
        <v/>
      </c>
    </row>
    <row r="11" spans="1:12" x14ac:dyDescent="0.35">
      <c r="A11" s="54">
        <v>5</v>
      </c>
      <c r="B11" s="130"/>
      <c r="C11" s="130"/>
      <c r="D11" s="100">
        <v>600</v>
      </c>
      <c r="E11" s="192" t="s">
        <v>287</v>
      </c>
      <c r="F11" s="48">
        <v>46123</v>
      </c>
      <c r="G11" s="46">
        <v>2</v>
      </c>
      <c r="H11" s="46">
        <v>2</v>
      </c>
      <c r="I11" s="46"/>
      <c r="J11" s="100" t="s">
        <v>132</v>
      </c>
      <c r="K11" s="46" t="s">
        <v>281</v>
      </c>
      <c r="L11" s="79" t="str">
        <f>IF(OR(NOT(ISERROR(MATCH(RIGHT(D11,3)+0,#REF!,0))),NOT(ISERROR(MATCH(LEFT(D11,3)+0,#REF!,0)))),"No Post","")</f>
        <v/>
      </c>
    </row>
    <row r="12" spans="1:12" x14ac:dyDescent="0.35">
      <c r="A12" s="54">
        <v>6</v>
      </c>
      <c r="B12" s="130"/>
      <c r="C12" s="130"/>
      <c r="D12" s="100">
        <v>636</v>
      </c>
      <c r="E12" s="46" t="s">
        <v>286</v>
      </c>
      <c r="F12" s="48">
        <v>46126</v>
      </c>
      <c r="G12" s="46">
        <v>2</v>
      </c>
      <c r="H12" s="46"/>
      <c r="I12" s="46"/>
      <c r="J12" s="100" t="s">
        <v>132</v>
      </c>
      <c r="K12" s="46" t="s">
        <v>285</v>
      </c>
      <c r="L12" s="79" t="str">
        <f>IF(OR(NOT(ISERROR(MATCH(RIGHT(D12,3)+0,#REF!,0))),NOT(ISERROR(MATCH(LEFT(D12,3)+0,#REF!,0)))),"No Post","")</f>
        <v/>
      </c>
    </row>
    <row r="13" spans="1:12" x14ac:dyDescent="0.35">
      <c r="A13" s="54">
        <v>7</v>
      </c>
      <c r="B13" s="130"/>
      <c r="C13" s="130"/>
      <c r="D13" s="100">
        <v>666</v>
      </c>
      <c r="E13" s="46" t="s">
        <v>254</v>
      </c>
      <c r="F13" s="48">
        <v>46123</v>
      </c>
      <c r="G13" s="46">
        <v>2</v>
      </c>
      <c r="H13" s="46">
        <v>1</v>
      </c>
      <c r="I13" s="46"/>
      <c r="J13" s="100" t="s">
        <v>132</v>
      </c>
      <c r="K13" s="46" t="s">
        <v>130</v>
      </c>
      <c r="L13" s="79" t="str">
        <f>IF(OR(NOT(ISERROR(MATCH(RIGHT(D13,3)+0,#REF!,0))),NOT(ISERROR(MATCH(LEFT(D13,3)+0,#REF!,0)))),"No Post","")</f>
        <v/>
      </c>
    </row>
    <row r="14" spans="1:12" x14ac:dyDescent="0.35">
      <c r="A14" s="54">
        <v>8</v>
      </c>
      <c r="B14" s="130"/>
      <c r="C14" s="130"/>
      <c r="D14" s="99">
        <v>680</v>
      </c>
      <c r="E14" s="46" t="s">
        <v>302</v>
      </c>
      <c r="F14" s="48">
        <v>46121</v>
      </c>
      <c r="G14" s="46">
        <v>2</v>
      </c>
      <c r="H14" s="46"/>
      <c r="I14" s="46"/>
      <c r="J14" s="99" t="s">
        <v>125</v>
      </c>
      <c r="K14" s="46" t="s">
        <v>300</v>
      </c>
      <c r="L14" s="79" t="str">
        <f>IF(OR(NOT(ISERROR(MATCH(RIGHT(D14,3)+0,#REF!,0))),NOT(ISERROR(MATCH(LEFT(D14,3)+0,#REF!,0)))),"No Post","")</f>
        <v/>
      </c>
    </row>
    <row r="15" spans="1:12" x14ac:dyDescent="0.35">
      <c r="A15" s="54">
        <v>9</v>
      </c>
      <c r="B15" s="54"/>
      <c r="C15" s="54"/>
      <c r="D15" s="99">
        <v>847</v>
      </c>
      <c r="E15" s="46" t="s">
        <v>271</v>
      </c>
      <c r="F15" s="48">
        <v>46123</v>
      </c>
      <c r="G15" s="46">
        <v>2</v>
      </c>
      <c r="H15" s="46"/>
      <c r="I15" s="46"/>
      <c r="J15" s="99" t="s">
        <v>125</v>
      </c>
      <c r="K15" s="46" t="s">
        <v>163</v>
      </c>
      <c r="L15" s="79" t="str">
        <f>IF(OR(NOT(ISERROR(MATCH(RIGHT(D15,3)+0,#REF!,0))),NOT(ISERROR(MATCH(LEFT(D15,3)+0,#REF!,0)))),"No Post","")</f>
        <v/>
      </c>
    </row>
    <row r="16" spans="1:12" x14ac:dyDescent="0.35">
      <c r="A16" s="54">
        <v>10</v>
      </c>
      <c r="B16" s="130"/>
      <c r="C16" s="130"/>
      <c r="D16" s="98">
        <v>876</v>
      </c>
      <c r="E16" s="46" t="s">
        <v>247</v>
      </c>
      <c r="F16" s="48">
        <v>46122</v>
      </c>
      <c r="G16" s="46">
        <v>2</v>
      </c>
      <c r="H16" s="46"/>
      <c r="I16" s="46"/>
      <c r="J16" s="98" t="s">
        <v>106</v>
      </c>
      <c r="K16" s="46" t="s">
        <v>117</v>
      </c>
      <c r="L16" s="79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54">
        <v>11</v>
      </c>
      <c r="B17" s="130"/>
      <c r="C17" s="130"/>
      <c r="D17" s="97">
        <v>894</v>
      </c>
      <c r="E17" s="46" t="s">
        <v>314</v>
      </c>
      <c r="F17" s="48">
        <v>46123</v>
      </c>
      <c r="G17" s="46">
        <v>2</v>
      </c>
      <c r="H17" s="46"/>
      <c r="I17" s="46"/>
      <c r="J17" s="97" t="s">
        <v>124</v>
      </c>
      <c r="K17" s="46" t="s">
        <v>256</v>
      </c>
      <c r="L17" s="79" t="str">
        <f>IF(OR(NOT(ISERROR(MATCH(RIGHT(D17,3)+0,#REF!,0))),NOT(ISERROR(MATCH(LEFT(D17,3)+0,#REF!,0)))),"No Post","")</f>
        <v/>
      </c>
    </row>
    <row r="18" spans="1:12" ht="18.600000000000001" customHeight="1" x14ac:dyDescent="0.35">
      <c r="A18" s="54">
        <v>12</v>
      </c>
      <c r="B18" s="54"/>
      <c r="C18" s="54"/>
      <c r="D18" s="144">
        <v>619</v>
      </c>
      <c r="E18" s="144" t="s">
        <v>259</v>
      </c>
      <c r="F18" s="193">
        <v>46130</v>
      </c>
      <c r="G18" s="144" t="s">
        <v>166</v>
      </c>
      <c r="H18" s="144" t="s">
        <v>166</v>
      </c>
      <c r="I18" s="46"/>
      <c r="J18" s="94"/>
      <c r="K18" s="46"/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13</v>
      </c>
      <c r="B19" s="54"/>
      <c r="C19" s="54"/>
      <c r="D19" s="54"/>
      <c r="E19" s="54"/>
      <c r="F19" s="62"/>
      <c r="G19" s="54"/>
      <c r="H19" s="54"/>
      <c r="I19" s="54"/>
      <c r="J19" s="54"/>
      <c r="K19" s="54"/>
      <c r="L19" s="79" t="str">
        <f>IF(OR(NOT(ISERROR(MATCH(RIGHT(#REF!,3)+0,#REF!,0))),NOT(ISERROR(MATCH(LEFT(#REF!,3)+0,#REF!,0)))),"No Post","")</f>
        <v/>
      </c>
    </row>
    <row r="20" spans="1:12" ht="18.600000000000001" customHeight="1" x14ac:dyDescent="0.35">
      <c r="A20" s="54">
        <v>14</v>
      </c>
      <c r="B20" s="54"/>
      <c r="C20" s="54"/>
      <c r="D20" s="46"/>
      <c r="E20" s="47"/>
      <c r="F20" s="48"/>
      <c r="G20" s="46"/>
      <c r="H20" s="46"/>
      <c r="I20" s="46"/>
      <c r="J20" s="47"/>
      <c r="K20" s="47"/>
      <c r="L20" s="79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4">
        <v>15</v>
      </c>
      <c r="B21" s="54"/>
      <c r="C21" s="54"/>
      <c r="D21" s="46"/>
      <c r="E21" s="47"/>
      <c r="F21" s="48"/>
      <c r="G21" s="46"/>
      <c r="H21" s="46"/>
      <c r="I21" s="46"/>
      <c r="J21" s="47"/>
      <c r="K21" s="47"/>
      <c r="L21" s="79" t="str">
        <f>IF(OR(NOT(ISERROR(MATCH(RIGHT(D21,3)+0,#REF!,0))),NOT(ISERROR(MATCH(LEFT(D21,3)+0,#REF!,0)))),"No Post","")</f>
        <v/>
      </c>
    </row>
    <row r="22" spans="1:12" ht="20.25" customHeight="1" x14ac:dyDescent="0.35">
      <c r="A22" s="49"/>
      <c r="B22" s="49"/>
      <c r="C22" s="49"/>
      <c r="D22" s="49"/>
      <c r="E22" s="49" t="str">
        <f>"Remaning: "&amp;IFERROR(MID(A5, SEARCH("MAX", A5) + LEN("MAX"), SEARCH("PAX", A5) - SEARCH("MAX", A5) - LEN("MAX")), "")+0-SUM(G22:H22)</f>
        <v>Remaning: -7</v>
      </c>
      <c r="F22" s="50" t="s">
        <v>19</v>
      </c>
      <c r="G22" s="51">
        <f>SUM(G7:G21)</f>
        <v>22</v>
      </c>
      <c r="H22" s="51">
        <f>SUM(H7:H21)</f>
        <v>5</v>
      </c>
      <c r="I22" s="49"/>
      <c r="J22" s="49"/>
      <c r="K22" s="49"/>
    </row>
    <row r="23" spans="1:12" ht="20.25" customHeight="1" x14ac:dyDescent="0.35">
      <c r="D23" s="8" t="s">
        <v>5</v>
      </c>
      <c r="E23" s="8"/>
      <c r="F23" s="35"/>
      <c r="G23" s="8"/>
      <c r="H23" s="8"/>
      <c r="I23" s="8"/>
    </row>
    <row r="24" spans="1:12" ht="20.25" customHeight="1" x14ac:dyDescent="0.35">
      <c r="D24" s="15" t="s">
        <v>6</v>
      </c>
      <c r="E24" s="9"/>
      <c r="F24" s="36"/>
      <c r="G24" s="9"/>
      <c r="H24" s="9"/>
      <c r="I24" s="9"/>
    </row>
    <row r="25" spans="1:12" ht="20.25" customHeight="1" x14ac:dyDescent="0.35">
      <c r="D25" s="15" t="s">
        <v>7</v>
      </c>
      <c r="E25" s="9"/>
      <c r="F25" s="36"/>
      <c r="G25" s="9"/>
      <c r="H25" s="9"/>
      <c r="I25" s="9"/>
    </row>
    <row r="26" spans="1:12" ht="20.25" customHeight="1" x14ac:dyDescent="0.35">
      <c r="D26" s="15" t="s">
        <v>8</v>
      </c>
      <c r="E26" s="9"/>
      <c r="F26" s="36"/>
      <c r="G26" s="9"/>
      <c r="H26" s="9"/>
      <c r="I26" s="9"/>
    </row>
    <row r="27" spans="1:12" x14ac:dyDescent="0.35">
      <c r="D27" s="15" t="s">
        <v>9</v>
      </c>
      <c r="E27" s="9"/>
      <c r="F27" s="36"/>
      <c r="G27" s="9"/>
      <c r="H27" s="9"/>
      <c r="I27" s="9"/>
    </row>
    <row r="28" spans="1:12" x14ac:dyDescent="0.35">
      <c r="D28" s="15" t="s">
        <v>10</v>
      </c>
      <c r="E28" s="9"/>
      <c r="F28" s="36"/>
      <c r="G28" s="9"/>
      <c r="H28" s="9"/>
      <c r="I28" s="9"/>
    </row>
    <row r="29" spans="1:12" x14ac:dyDescent="0.35">
      <c r="D29" s="15" t="s">
        <v>11</v>
      </c>
      <c r="E29" s="9"/>
      <c r="F29" s="36"/>
      <c r="G29" s="9"/>
      <c r="H29" s="9"/>
      <c r="I29" s="9"/>
    </row>
    <row r="30" spans="1:12" s="11" customFormat="1" ht="15.6" x14ac:dyDescent="0.3">
      <c r="D30" s="16" t="s">
        <v>12</v>
      </c>
      <c r="E30" s="10"/>
      <c r="F30" s="37"/>
      <c r="G30" s="10"/>
      <c r="H30" s="10"/>
    </row>
    <row r="31" spans="1:12" s="11" customFormat="1" ht="15.6" x14ac:dyDescent="0.3">
      <c r="D31" s="16" t="s">
        <v>13</v>
      </c>
      <c r="E31" s="10"/>
      <c r="F31" s="37"/>
      <c r="G31" s="10"/>
      <c r="H31" s="10"/>
    </row>
    <row r="32" spans="1:12" s="13" customFormat="1" ht="20.25" customHeight="1" x14ac:dyDescent="0.35">
      <c r="D32" s="17" t="s">
        <v>14</v>
      </c>
      <c r="E32" s="12"/>
      <c r="F32" s="38"/>
    </row>
    <row r="33" spans="4:9" s="8" customFormat="1" ht="14.4" x14ac:dyDescent="0.3">
      <c r="D33" s="14"/>
      <c r="E33" s="9"/>
      <c r="F33" s="36"/>
      <c r="G33" s="9"/>
      <c r="H33" s="9"/>
      <c r="I33" s="9"/>
    </row>
    <row r="34" spans="4:9" x14ac:dyDescent="0.35">
      <c r="D34" s="9"/>
      <c r="E34" s="9"/>
      <c r="F34" s="36"/>
      <c r="G34" s="9"/>
      <c r="H34" s="9"/>
      <c r="I34" s="9"/>
    </row>
    <row r="35" spans="4:9" x14ac:dyDescent="0.35">
      <c r="D35" s="8"/>
      <c r="E35" s="8"/>
      <c r="F35" s="35"/>
      <c r="G35" s="8"/>
      <c r="H35" s="8"/>
      <c r="I35" s="8"/>
    </row>
    <row r="36" spans="4:9" x14ac:dyDescent="0.35">
      <c r="D36" s="9"/>
      <c r="E36" s="9"/>
      <c r="F36" s="36"/>
      <c r="G36" s="9"/>
      <c r="H36" s="9"/>
      <c r="I36" s="9"/>
    </row>
    <row r="37" spans="4:9" x14ac:dyDescent="0.35">
      <c r="D37" s="9"/>
      <c r="E37" s="9"/>
      <c r="F37" s="36"/>
      <c r="G37" s="9"/>
      <c r="H37" s="9"/>
      <c r="I37" s="9"/>
    </row>
    <row r="38" spans="4:9" x14ac:dyDescent="0.35">
      <c r="D38" s="9"/>
      <c r="E38" s="9"/>
      <c r="F38" s="36"/>
      <c r="G38" s="9"/>
      <c r="H38" s="9"/>
      <c r="I38" s="9"/>
    </row>
    <row r="39" spans="4:9" x14ac:dyDescent="0.35">
      <c r="D39" s="9"/>
      <c r="E39" s="9"/>
      <c r="F39" s="36"/>
      <c r="G39" s="9"/>
      <c r="H39" s="9"/>
      <c r="I39" s="9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14"/>
      <c r="E42" s="9"/>
      <c r="F42" s="36"/>
      <c r="G42" s="9"/>
      <c r="H42" s="9"/>
      <c r="I42" s="9"/>
    </row>
    <row r="43" spans="4:9" x14ac:dyDescent="0.35">
      <c r="D43" s="9"/>
      <c r="E43" s="9"/>
      <c r="F43" s="36"/>
      <c r="G43" s="9"/>
      <c r="H43" s="9"/>
      <c r="I43" s="9"/>
    </row>
    <row r="45" spans="4:9" x14ac:dyDescent="0.35">
      <c r="D45" s="1"/>
      <c r="E45" s="1"/>
      <c r="F45" s="33"/>
      <c r="G45" s="1"/>
      <c r="H45" s="1"/>
      <c r="I45" s="1"/>
    </row>
    <row r="60" spans="4:9" x14ac:dyDescent="0.35">
      <c r="D60" s="9"/>
      <c r="E60" s="9"/>
      <c r="F60" s="36"/>
      <c r="G60" s="9"/>
      <c r="H60" s="9"/>
      <c r="I60" s="9"/>
    </row>
    <row r="61" spans="4:9" x14ac:dyDescent="0.35">
      <c r="D61" s="9"/>
      <c r="E61" s="9"/>
      <c r="F61" s="36"/>
      <c r="G61" s="9"/>
      <c r="H61" s="9"/>
      <c r="I61" s="9"/>
    </row>
    <row r="62" spans="4:9" x14ac:dyDescent="0.35">
      <c r="D62" s="9"/>
      <c r="E62" s="9"/>
      <c r="F62" s="36"/>
      <c r="G62" s="9"/>
      <c r="H62" s="9"/>
      <c r="I62" s="9"/>
    </row>
    <row r="63" spans="4:9" x14ac:dyDescent="0.35">
      <c r="D63" s="14"/>
      <c r="E63" s="9"/>
      <c r="F63" s="36"/>
      <c r="G63" s="9"/>
      <c r="H63" s="9"/>
      <c r="I63" s="9"/>
    </row>
    <row r="64" spans="4:9" x14ac:dyDescent="0.35">
      <c r="D64" s="9"/>
      <c r="E64" s="9"/>
      <c r="F64" s="36"/>
      <c r="G64" s="9"/>
      <c r="H64" s="9"/>
      <c r="I64" s="9"/>
    </row>
  </sheetData>
  <sortState ref="D7:K17">
    <sortCondition ref="D7"/>
  </sortState>
  <customSheetViews>
    <customSheetView guid="{744BB052-D863-41D2-951C-2AB325855A97}" showPageBreaks="1" printArea="1" topLeftCell="A4">
      <selection activeCell="F16" sqref="F16"/>
      <rowBreaks count="1" manualBreakCount="1">
        <brk id="37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B7" sqref="B7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B7" sqref="B7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B7" sqref="B7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B7" sqref="B7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1">
    <cfRule type="containsText" dxfId="22" priority="1" operator="containsText" text="No Post">
      <formula>NOT(ISERROR(SEARCH("No Post",L7)))</formula>
    </cfRule>
  </conditionalFormatting>
  <pageMargins left="0.17" right="0.17" top="0.75" bottom="0.75" header="0.3" footer="0.3"/>
  <pageSetup scale="64" orientation="landscape" r:id="rId6"/>
  <rowBreaks count="1" manualBreakCount="1">
    <brk id="37" min="3" max="10" man="1"/>
  </rowBreaks>
  <colBreaks count="1" manualBreakCount="1">
    <brk id="13" max="30" man="1"/>
  </colBreaks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78"/>
  <sheetViews>
    <sheetView topLeftCell="A4" zoomScaleNormal="100" zoomScaleSheetLayoutView="100" workbookViewId="0">
      <selection activeCell="I24" sqref="I24:J24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3" x14ac:dyDescent="0.35">
      <c r="E2" s="18" t="s">
        <v>0</v>
      </c>
      <c r="F2" s="32"/>
      <c r="G2" s="5"/>
      <c r="H2" s="5"/>
    </row>
    <row r="4" spans="1:13" s="1" customFormat="1" thickBot="1" x14ac:dyDescent="0.4">
      <c r="F4" s="33"/>
    </row>
    <row r="5" spans="1:13" s="2" customFormat="1" ht="24" thickBot="1" x14ac:dyDescent="0.5">
      <c r="A5" s="377" t="s">
        <v>310</v>
      </c>
      <c r="B5" s="378"/>
      <c r="C5" s="378"/>
      <c r="D5" s="378"/>
      <c r="E5" s="378"/>
      <c r="F5" s="378"/>
      <c r="G5" s="378"/>
      <c r="H5" s="378"/>
      <c r="I5" s="378"/>
      <c r="J5" s="6" t="s">
        <v>18</v>
      </c>
      <c r="K5" s="3" t="str">
        <f ca="1">CONCATENATE((MID(CELL("filename",K5),FIND("]",CELL("filename",K5))+1,255)),"/04/2026")</f>
        <v>9/04/2026</v>
      </c>
    </row>
    <row r="6" spans="1:13" x14ac:dyDescent="0.35">
      <c r="A6" s="40"/>
      <c r="B6" s="112"/>
      <c r="C6" s="112"/>
      <c r="D6" s="41" t="s">
        <v>1</v>
      </c>
      <c r="E6" s="41" t="s">
        <v>2</v>
      </c>
      <c r="F6" s="42" t="s">
        <v>21</v>
      </c>
      <c r="G6" s="41" t="s">
        <v>16</v>
      </c>
      <c r="H6" s="41" t="s">
        <v>17</v>
      </c>
      <c r="I6" s="41" t="s">
        <v>3</v>
      </c>
      <c r="J6" s="43" t="s">
        <v>20</v>
      </c>
      <c r="K6" s="44" t="s">
        <v>4</v>
      </c>
    </row>
    <row r="7" spans="1:13" x14ac:dyDescent="0.35">
      <c r="A7" s="203"/>
      <c r="B7" s="203"/>
      <c r="C7" s="203"/>
      <c r="D7" s="204"/>
      <c r="E7" s="208" t="s">
        <v>344</v>
      </c>
      <c r="F7" s="205"/>
      <c r="G7" s="204"/>
      <c r="H7" s="204"/>
      <c r="I7" s="204"/>
      <c r="J7" s="206"/>
      <c r="K7" s="207"/>
    </row>
    <row r="8" spans="1:13" x14ac:dyDescent="0.35">
      <c r="A8" s="54">
        <v>1</v>
      </c>
      <c r="B8" s="176"/>
      <c r="C8" s="176"/>
      <c r="D8" s="97">
        <v>125</v>
      </c>
      <c r="E8" s="46" t="s">
        <v>263</v>
      </c>
      <c r="F8" s="48">
        <v>46125</v>
      </c>
      <c r="G8" s="46">
        <v>2</v>
      </c>
      <c r="H8" s="46"/>
      <c r="I8" s="46"/>
      <c r="J8" s="97" t="s">
        <v>124</v>
      </c>
      <c r="K8" s="47"/>
      <c r="L8" s="210" t="s">
        <v>67</v>
      </c>
      <c r="M8" s="209" t="s">
        <v>346</v>
      </c>
    </row>
    <row r="9" spans="1:13" x14ac:dyDescent="0.35">
      <c r="A9" s="54">
        <v>2</v>
      </c>
      <c r="B9" s="176"/>
      <c r="C9" s="176"/>
      <c r="D9" s="98">
        <v>301</v>
      </c>
      <c r="E9" s="46" t="s">
        <v>280</v>
      </c>
      <c r="F9" s="48">
        <v>46124</v>
      </c>
      <c r="G9" s="46">
        <v>2</v>
      </c>
      <c r="H9" s="46"/>
      <c r="I9" s="46"/>
      <c r="J9" s="98" t="s">
        <v>170</v>
      </c>
      <c r="K9" s="46" t="s">
        <v>50</v>
      </c>
      <c r="L9" s="79" t="str">
        <f>IF(OR(NOT(ISERROR(MATCH(RIGHT(D9,3)+0,#REF!,0))),NOT(ISERROR(MATCH(LEFT(D9,3)+0,#REF!,0)))),"No Post","")</f>
        <v/>
      </c>
    </row>
    <row r="10" spans="1:13" x14ac:dyDescent="0.35">
      <c r="A10" s="54">
        <v>3</v>
      </c>
      <c r="B10" s="176"/>
      <c r="C10" s="176"/>
      <c r="D10" s="196">
        <v>310</v>
      </c>
      <c r="E10" s="54" t="s">
        <v>258</v>
      </c>
      <c r="F10" s="62">
        <v>46123</v>
      </c>
      <c r="G10" s="54">
        <v>2</v>
      </c>
      <c r="H10" s="54"/>
      <c r="I10" s="54"/>
      <c r="J10" s="196" t="s">
        <v>132</v>
      </c>
      <c r="K10" s="54" t="s">
        <v>257</v>
      </c>
      <c r="L10" s="79" t="str">
        <f>IF(OR(NOT(ISERROR(MATCH(RIGHT(D10,3)+0,#REF!,0))),NOT(ISERROR(MATCH(LEFT(D10,3)+0,#REF!,0)))),"No Post","")</f>
        <v/>
      </c>
    </row>
    <row r="11" spans="1:13" x14ac:dyDescent="0.35">
      <c r="A11" s="54">
        <v>4</v>
      </c>
      <c r="B11" s="54"/>
      <c r="C11" s="54"/>
      <c r="D11" s="98">
        <v>324</v>
      </c>
      <c r="E11" s="46" t="s">
        <v>298</v>
      </c>
      <c r="F11" s="48">
        <v>46123</v>
      </c>
      <c r="G11" s="46" t="s">
        <v>304</v>
      </c>
      <c r="H11" s="46"/>
      <c r="I11" s="46"/>
      <c r="J11" s="98" t="s">
        <v>170</v>
      </c>
      <c r="K11" s="46" t="s">
        <v>167</v>
      </c>
      <c r="L11" s="79" t="str">
        <f>IF(OR(NOT(ISERROR(MATCH(RIGHT(D11,3)+0,#REF!,0))),NOT(ISERROR(MATCH(LEFT(D11,3)+0,#REF!,0)))),"No Post","")</f>
        <v/>
      </c>
    </row>
    <row r="12" spans="1:13" x14ac:dyDescent="0.35">
      <c r="A12" s="54">
        <v>5</v>
      </c>
      <c r="B12" s="176"/>
      <c r="C12" s="176"/>
      <c r="D12" s="98" t="s">
        <v>338</v>
      </c>
      <c r="E12" s="46" t="s">
        <v>299</v>
      </c>
      <c r="F12" s="48">
        <v>46121</v>
      </c>
      <c r="G12" s="46">
        <v>2</v>
      </c>
      <c r="H12" s="46"/>
      <c r="I12" s="46"/>
      <c r="J12" s="98" t="s">
        <v>170</v>
      </c>
      <c r="K12" s="46" t="s">
        <v>167</v>
      </c>
      <c r="L12" s="79" t="str">
        <f>IF(OR(NOT(ISERROR(MATCH(RIGHT(D12,3)+0,#REF!,0))),NOT(ISERROR(MATCH(LEFT(D12,3)+0,#REF!,0)))),"No Post","")</f>
        <v/>
      </c>
    </row>
    <row r="13" spans="1:13" x14ac:dyDescent="0.35">
      <c r="A13" s="54">
        <v>6</v>
      </c>
      <c r="B13" s="176"/>
      <c r="C13" s="176"/>
      <c r="D13" s="105">
        <v>331</v>
      </c>
      <c r="E13" s="54" t="s">
        <v>277</v>
      </c>
      <c r="F13" s="62">
        <v>46123</v>
      </c>
      <c r="G13" s="54">
        <v>2</v>
      </c>
      <c r="H13" s="54"/>
      <c r="I13" s="54"/>
      <c r="J13" s="105" t="s">
        <v>328</v>
      </c>
      <c r="K13" s="54" t="s">
        <v>276</v>
      </c>
      <c r="L13" s="79" t="str">
        <f>IF(OR(NOT(ISERROR(MATCH(RIGHT(D13,3)+0,#REF!,0))),NOT(ISERROR(MATCH(LEFT(D13,3)+0,#REF!,0)))),"No Post","")</f>
        <v/>
      </c>
      <c r="M13" s="209" t="s">
        <v>346</v>
      </c>
    </row>
    <row r="14" spans="1:13" x14ac:dyDescent="0.35">
      <c r="A14" s="54"/>
      <c r="B14" s="176"/>
      <c r="C14" s="176"/>
      <c r="D14" s="130">
        <v>205</v>
      </c>
      <c r="E14" s="54"/>
      <c r="F14" s="62"/>
      <c r="G14" s="54">
        <v>2</v>
      </c>
      <c r="H14" s="54"/>
      <c r="I14" s="54"/>
      <c r="J14" s="98" t="s">
        <v>170</v>
      </c>
      <c r="K14" s="54"/>
      <c r="L14" s="79" t="str">
        <f>IF(OR(NOT(ISERROR(MATCH(RIGHT(D14,3)+0,#REF!,0))),NOT(ISERROR(MATCH(LEFT(D14,3)+0,#REF!,0)))),"No Post","")</f>
        <v/>
      </c>
      <c r="M14" s="209"/>
    </row>
    <row r="15" spans="1:13" x14ac:dyDescent="0.35">
      <c r="A15" s="54">
        <v>7</v>
      </c>
      <c r="B15" s="176"/>
      <c r="C15" s="176"/>
      <c r="D15" s="98">
        <v>336</v>
      </c>
      <c r="E15" s="46" t="s">
        <v>308</v>
      </c>
      <c r="F15" s="48">
        <v>46121</v>
      </c>
      <c r="G15" s="46">
        <v>2</v>
      </c>
      <c r="H15" s="46"/>
      <c r="I15" s="46"/>
      <c r="J15" s="98" t="s">
        <v>170</v>
      </c>
      <c r="K15" s="46" t="s">
        <v>164</v>
      </c>
      <c r="L15" s="79" t="str">
        <f>IF(OR(NOT(ISERROR(MATCH(RIGHT(D15,3)+0,#REF!,0))),NOT(ISERROR(MATCH(LEFT(D15,3)+0,#REF!,0)))),"No Post","")</f>
        <v/>
      </c>
    </row>
    <row r="16" spans="1:13" x14ac:dyDescent="0.35">
      <c r="A16" s="54">
        <v>8</v>
      </c>
      <c r="B16" s="176"/>
      <c r="C16" s="176"/>
      <c r="D16" s="196">
        <v>341</v>
      </c>
      <c r="E16" s="54" t="s">
        <v>119</v>
      </c>
      <c r="F16" s="62">
        <v>46123</v>
      </c>
      <c r="G16" s="54">
        <v>2</v>
      </c>
      <c r="H16" s="54"/>
      <c r="I16" s="54"/>
      <c r="J16" s="196" t="s">
        <v>132</v>
      </c>
      <c r="K16" s="46" t="s">
        <v>24</v>
      </c>
      <c r="L16" s="79" t="str">
        <f>IF(OR(NOT(ISERROR(MATCH(RIGHT(D16,3)+0,#REF!,0))),NOT(ISERROR(MATCH(LEFT(D16,3)+0,#REF!,0)))),"No Post","")</f>
        <v/>
      </c>
    </row>
    <row r="17" spans="1:13" x14ac:dyDescent="0.35">
      <c r="A17" s="54">
        <v>9</v>
      </c>
      <c r="B17" s="176"/>
      <c r="C17" s="176"/>
      <c r="D17" s="196">
        <v>614</v>
      </c>
      <c r="E17" s="46" t="s">
        <v>296</v>
      </c>
      <c r="F17" s="48">
        <v>46126</v>
      </c>
      <c r="G17" s="46">
        <v>2</v>
      </c>
      <c r="H17" s="46"/>
      <c r="I17" s="46"/>
      <c r="J17" s="196" t="s">
        <v>132</v>
      </c>
      <c r="K17" s="46" t="s">
        <v>297</v>
      </c>
      <c r="L17" s="79" t="str">
        <f>IF(OR(NOT(ISERROR(MATCH(RIGHT(D17,3)+0,#REF!,0))),NOT(ISERROR(MATCH(LEFT(D17,3)+0,#REF!,0)))),"No Post","")</f>
        <v/>
      </c>
    </row>
    <row r="18" spans="1:13" x14ac:dyDescent="0.35">
      <c r="A18" s="54">
        <v>10</v>
      </c>
      <c r="B18" s="176"/>
      <c r="C18" s="176"/>
      <c r="D18" s="100">
        <v>620</v>
      </c>
      <c r="E18" s="46" t="s">
        <v>295</v>
      </c>
      <c r="F18" s="48">
        <v>46126</v>
      </c>
      <c r="G18" s="46">
        <v>2</v>
      </c>
      <c r="H18" s="46"/>
      <c r="I18" s="46"/>
      <c r="J18" s="100" t="s">
        <v>132</v>
      </c>
      <c r="K18" s="46" t="s">
        <v>297</v>
      </c>
      <c r="L18" s="79" t="str">
        <f>IF(OR(NOT(ISERROR(MATCH(RIGHT(D18,3)+0,#REF!,0))),NOT(ISERROR(MATCH(LEFT(D18,3)+0,#REF!,0)))),"No Post","")</f>
        <v/>
      </c>
    </row>
    <row r="19" spans="1:13" ht="18.600000000000001" customHeight="1" x14ac:dyDescent="0.35">
      <c r="A19" s="54">
        <v>11</v>
      </c>
      <c r="B19" s="176"/>
      <c r="C19" s="176"/>
      <c r="D19" s="100">
        <v>653</v>
      </c>
      <c r="E19" s="46" t="s">
        <v>116</v>
      </c>
      <c r="F19" s="48">
        <v>46132</v>
      </c>
      <c r="G19" s="46">
        <v>2</v>
      </c>
      <c r="H19" s="46">
        <v>2</v>
      </c>
      <c r="I19" s="46"/>
      <c r="J19" s="100" t="s">
        <v>132</v>
      </c>
      <c r="K19" s="46" t="s">
        <v>24</v>
      </c>
      <c r="L19" s="79" t="str">
        <f>IF(OR(NOT(ISERROR(MATCH(RIGHT(D19,3)+0,#REF!,0))),NOT(ISERROR(MATCH(LEFT(D19,3)+0,#REF!,0)))),"No Post","")</f>
        <v/>
      </c>
    </row>
    <row r="20" spans="1:13" ht="18.600000000000001" customHeight="1" x14ac:dyDescent="0.35">
      <c r="A20" s="54">
        <v>12</v>
      </c>
      <c r="B20" s="176"/>
      <c r="C20" s="176"/>
      <c r="D20" s="201">
        <v>664</v>
      </c>
      <c r="E20" s="46" t="s">
        <v>312</v>
      </c>
      <c r="F20" s="48">
        <v>46125</v>
      </c>
      <c r="G20" s="46">
        <v>2</v>
      </c>
      <c r="H20" s="46">
        <v>2</v>
      </c>
      <c r="I20" s="46"/>
      <c r="J20" s="200" t="s">
        <v>124</v>
      </c>
      <c r="K20" s="46" t="s">
        <v>311</v>
      </c>
      <c r="L20" s="210" t="str">
        <f>IF(OR(NOT(ISERROR(MATCH(RIGHT(D34,3)+0,#REF!,0))),NOT(ISERROR(MATCH(LEFT(D34,3)+0,#REF!,0)))),"No Post","")</f>
        <v/>
      </c>
      <c r="M20" s="209" t="s">
        <v>346</v>
      </c>
    </row>
    <row r="21" spans="1:13" ht="18.600000000000001" customHeight="1" x14ac:dyDescent="0.35">
      <c r="A21" s="203"/>
      <c r="B21" s="203"/>
      <c r="C21" s="203"/>
      <c r="D21" s="204"/>
      <c r="E21" s="208" t="s">
        <v>345</v>
      </c>
      <c r="F21" s="205"/>
      <c r="G21" s="204"/>
      <c r="H21" s="204"/>
      <c r="I21" s="204"/>
      <c r="J21" s="206"/>
      <c r="K21" s="207"/>
      <c r="L21" s="79"/>
    </row>
    <row r="22" spans="1:13" ht="18.600000000000001" customHeight="1" x14ac:dyDescent="0.35">
      <c r="A22" s="54">
        <v>13</v>
      </c>
      <c r="B22" s="176"/>
      <c r="C22" s="176"/>
      <c r="D22" s="97" t="s">
        <v>347</v>
      </c>
      <c r="E22" s="197" t="s">
        <v>94</v>
      </c>
      <c r="F22" s="62">
        <v>46126</v>
      </c>
      <c r="G22" s="54">
        <v>2</v>
      </c>
      <c r="H22" s="54">
        <v>2</v>
      </c>
      <c r="I22" s="54"/>
      <c r="J22" s="200" t="s">
        <v>124</v>
      </c>
      <c r="K22" s="54" t="s">
        <v>50</v>
      </c>
      <c r="L22" s="210" t="str">
        <f>IF(OR(NOT(ISERROR(MATCH(RIGHT(D20,3)+0,#REF!,0))),NOT(ISERROR(MATCH(LEFT(D20,3)+0,#REF!,0)))),"No Post","")</f>
        <v/>
      </c>
      <c r="M22" s="209" t="s">
        <v>346</v>
      </c>
    </row>
    <row r="23" spans="1:13" ht="18.600000000000001" customHeight="1" x14ac:dyDescent="0.35">
      <c r="A23" s="54">
        <v>14</v>
      </c>
      <c r="B23" s="176"/>
      <c r="C23" s="176"/>
      <c r="D23" s="201">
        <v>668</v>
      </c>
      <c r="E23" s="46" t="s">
        <v>326</v>
      </c>
      <c r="F23" s="48">
        <v>46125</v>
      </c>
      <c r="G23" s="46">
        <v>2</v>
      </c>
      <c r="H23" s="46">
        <v>1</v>
      </c>
      <c r="I23" s="46"/>
      <c r="J23" s="200" t="s">
        <v>124</v>
      </c>
      <c r="K23" s="46" t="s">
        <v>320</v>
      </c>
      <c r="L23" s="79" t="str">
        <f>IF(OR(NOT(ISERROR(MATCH(RIGHT(D22,3)+0,#REF!,0))),NOT(ISERROR(MATCH(LEFT(D22,3)+0,#REF!,0)))),"No Post","")</f>
        <v/>
      </c>
    </row>
    <row r="24" spans="1:13" ht="18.600000000000001" customHeight="1" x14ac:dyDescent="0.35">
      <c r="A24" s="54">
        <v>15</v>
      </c>
      <c r="B24" s="176"/>
      <c r="C24" s="176"/>
      <c r="D24" s="99">
        <v>670</v>
      </c>
      <c r="E24" s="46" t="s">
        <v>313</v>
      </c>
      <c r="F24" s="48">
        <v>46122</v>
      </c>
      <c r="G24" s="46">
        <v>2</v>
      </c>
      <c r="H24" s="46"/>
      <c r="I24" s="46">
        <v>56.76</v>
      </c>
      <c r="J24" s="99" t="s">
        <v>125</v>
      </c>
      <c r="K24" s="46" t="s">
        <v>309</v>
      </c>
      <c r="L24" s="79" t="str">
        <f>IF(OR(NOT(ISERROR(MATCH(RIGHT(D23,3)+0,#REF!,0))),NOT(ISERROR(MATCH(LEFT(D23,3)+0,#REF!,0)))),"No Post","")</f>
        <v/>
      </c>
    </row>
    <row r="25" spans="1:13" ht="18.600000000000001" customHeight="1" x14ac:dyDescent="0.35">
      <c r="A25" s="54">
        <v>16</v>
      </c>
      <c r="B25" s="176"/>
      <c r="C25" s="176"/>
      <c r="D25" s="176">
        <v>672</v>
      </c>
      <c r="E25" s="54" t="s">
        <v>288</v>
      </c>
      <c r="F25" s="62">
        <v>46125</v>
      </c>
      <c r="G25" s="54">
        <v>2</v>
      </c>
      <c r="H25" s="54">
        <v>1</v>
      </c>
      <c r="I25" s="54">
        <v>3.77</v>
      </c>
      <c r="J25" s="176" t="s">
        <v>339</v>
      </c>
      <c r="K25" s="54" t="s">
        <v>164</v>
      </c>
      <c r="L25" s="79" t="str">
        <f>IF(OR(NOT(ISERROR(MATCH(RIGHT(D24,3)+0,#REF!,0))),NOT(ISERROR(MATCH(LEFT(D24,3)+0,#REF!,0)))),"No Post","")</f>
        <v/>
      </c>
      <c r="M25" s="4">
        <v>72.36</v>
      </c>
    </row>
    <row r="26" spans="1:13" ht="18.600000000000001" customHeight="1" x14ac:dyDescent="0.35">
      <c r="A26" s="54">
        <v>17</v>
      </c>
      <c r="B26" s="176"/>
      <c r="C26" s="176"/>
      <c r="D26" s="130">
        <v>802</v>
      </c>
      <c r="E26" s="54" t="s">
        <v>72</v>
      </c>
      <c r="F26" s="62">
        <v>46124</v>
      </c>
      <c r="G26" s="54">
        <v>2</v>
      </c>
      <c r="H26" s="54"/>
      <c r="I26" s="54"/>
      <c r="J26" s="130" t="s">
        <v>170</v>
      </c>
      <c r="K26" s="54" t="s">
        <v>44</v>
      </c>
      <c r="L26" s="79" t="str">
        <f>IF(OR(NOT(ISERROR(MATCH(RIGHT(D25,3)+0,#REF!,0))),NOT(ISERROR(MATCH(LEFT(D25,3)+0,#REF!,0)))),"No Post","")</f>
        <v/>
      </c>
    </row>
    <row r="27" spans="1:13" ht="18.600000000000001" customHeight="1" x14ac:dyDescent="0.35">
      <c r="A27" s="54">
        <v>18</v>
      </c>
      <c r="B27" s="176"/>
      <c r="C27" s="176"/>
      <c r="D27" s="105">
        <v>814</v>
      </c>
      <c r="E27" s="54" t="s">
        <v>289</v>
      </c>
      <c r="F27" s="62">
        <v>46125</v>
      </c>
      <c r="G27" s="54">
        <v>2</v>
      </c>
      <c r="H27" s="54">
        <v>2</v>
      </c>
      <c r="I27" s="54"/>
      <c r="J27" s="105" t="s">
        <v>124</v>
      </c>
      <c r="K27" s="54" t="s">
        <v>290</v>
      </c>
      <c r="L27" s="79" t="str">
        <f>IF(OR(NOT(ISERROR(MATCH(RIGHT(D26,3)+0,#REF!,0))),NOT(ISERROR(MATCH(LEFT(D26,3)+0,#REF!,0)))),"No Post","")</f>
        <v/>
      </c>
      <c r="M27" s="209" t="s">
        <v>346</v>
      </c>
    </row>
    <row r="28" spans="1:13" ht="18.600000000000001" customHeight="1" x14ac:dyDescent="0.35">
      <c r="A28" s="54">
        <v>19</v>
      </c>
      <c r="B28" s="176"/>
      <c r="C28" s="176"/>
      <c r="D28" s="130">
        <v>867</v>
      </c>
      <c r="E28" s="46" t="s">
        <v>327</v>
      </c>
      <c r="F28" s="48">
        <v>46123</v>
      </c>
      <c r="G28" s="46">
        <v>2</v>
      </c>
      <c r="H28" s="46"/>
      <c r="I28" s="46"/>
      <c r="J28" s="130" t="s">
        <v>170</v>
      </c>
      <c r="K28" s="46" t="s">
        <v>135</v>
      </c>
      <c r="L28" s="79" t="str">
        <f>IF(OR(NOT(ISERROR(MATCH(RIGHT(D27,3)+0,#REF!,0))),NOT(ISERROR(MATCH(LEFT(D27,3)+0,#REF!,0)))),"No Post","")</f>
        <v/>
      </c>
    </row>
    <row r="29" spans="1:13" ht="18.600000000000001" customHeight="1" x14ac:dyDescent="0.35">
      <c r="A29" s="54">
        <v>20</v>
      </c>
      <c r="B29" s="176"/>
      <c r="C29" s="176"/>
      <c r="D29" s="105">
        <v>869</v>
      </c>
      <c r="E29" s="46" t="s">
        <v>325</v>
      </c>
      <c r="F29" s="48">
        <v>46122</v>
      </c>
      <c r="G29" s="46">
        <v>2</v>
      </c>
      <c r="H29" s="46"/>
      <c r="I29" s="46"/>
      <c r="J29" s="105" t="s">
        <v>124</v>
      </c>
      <c r="K29" s="46" t="s">
        <v>316</v>
      </c>
      <c r="L29" s="210" t="str">
        <f>IF(OR(NOT(ISERROR(MATCH(RIGHT(D28,3)+0,#REF!,0))),NOT(ISERROR(MATCH(LEFT(D28,3)+0,#REF!,0)))),"No Post","")</f>
        <v/>
      </c>
      <c r="M29" s="209" t="s">
        <v>346</v>
      </c>
    </row>
    <row r="30" spans="1:13" ht="18.600000000000001" customHeight="1" x14ac:dyDescent="0.35">
      <c r="A30" s="54">
        <v>21</v>
      </c>
      <c r="B30" s="176"/>
      <c r="C30" s="176"/>
      <c r="D30" s="196" t="s">
        <v>278</v>
      </c>
      <c r="E30" s="54" t="s">
        <v>209</v>
      </c>
      <c r="F30" s="62">
        <v>46124</v>
      </c>
      <c r="G30" s="54">
        <v>2</v>
      </c>
      <c r="H30" s="54">
        <v>3</v>
      </c>
      <c r="I30" s="54"/>
      <c r="J30" s="196" t="s">
        <v>132</v>
      </c>
      <c r="K30" s="54" t="s">
        <v>211</v>
      </c>
      <c r="L30" s="79" t="str">
        <f>IF(OR(NOT(ISERROR(MATCH(RIGHT(D29,3)+0,#REF!,0))),NOT(ISERROR(MATCH(LEFT(D29,3)+0,#REF!,0)))),"No Post","")</f>
        <v/>
      </c>
    </row>
    <row r="31" spans="1:13" ht="18.600000000000001" customHeight="1" x14ac:dyDescent="0.35">
      <c r="A31" s="54">
        <v>22</v>
      </c>
      <c r="B31" s="54"/>
      <c r="C31" s="54"/>
      <c r="D31" s="54"/>
      <c r="E31" s="54"/>
      <c r="F31" s="62"/>
      <c r="G31" s="54"/>
      <c r="H31" s="54"/>
      <c r="I31" s="54"/>
      <c r="J31" s="170"/>
      <c r="K31" s="54"/>
      <c r="L31" s="79"/>
    </row>
    <row r="32" spans="1:13" ht="18.600000000000001" customHeight="1" x14ac:dyDescent="0.35">
      <c r="A32" s="54"/>
      <c r="B32" s="175"/>
      <c r="C32" s="175"/>
      <c r="L32" s="79"/>
    </row>
    <row r="33" spans="1:12" ht="18.600000000000001" customHeight="1" x14ac:dyDescent="0.35">
      <c r="A33" s="54"/>
      <c r="B33" s="175"/>
      <c r="C33" s="175"/>
      <c r="L33" s="79"/>
    </row>
    <row r="34" spans="1:12" s="26" customFormat="1" ht="18.600000000000001" customHeight="1" x14ac:dyDescent="0.4">
      <c r="A34" s="77"/>
      <c r="B34" s="77"/>
      <c r="C34" s="77"/>
      <c r="D34" s="54">
        <v>659</v>
      </c>
      <c r="E34" s="54" t="s">
        <v>29</v>
      </c>
      <c r="F34" s="62">
        <v>46127</v>
      </c>
      <c r="G34" s="54" t="s">
        <v>329</v>
      </c>
      <c r="H34" s="54" t="s">
        <v>329</v>
      </c>
      <c r="I34" s="54"/>
      <c r="J34" s="54">
        <v>2886693</v>
      </c>
      <c r="K34" s="54" t="s">
        <v>30</v>
      </c>
      <c r="L34" s="79" t="str">
        <f>IF(OR(NOT(ISERROR(MATCH(RIGHT(#REF!,3)+0,#REF!,0))),NOT(ISERROR(MATCH(LEFT(#REF!,3)+0,#REF!,0)))),"No Post","")</f>
        <v/>
      </c>
    </row>
    <row r="35" spans="1:12" s="26" customFormat="1" ht="18.600000000000001" customHeight="1" x14ac:dyDescent="0.4">
      <c r="A35" s="11"/>
      <c r="B35" s="11"/>
      <c r="C35" s="11"/>
      <c r="D35" s="16" t="s">
        <v>13</v>
      </c>
      <c r="E35" s="10"/>
      <c r="F35" s="37"/>
      <c r="G35" s="10"/>
      <c r="H35" s="10"/>
      <c r="I35" s="11"/>
      <c r="J35" s="11"/>
      <c r="K35" s="11"/>
      <c r="L35" s="79"/>
    </row>
    <row r="36" spans="1:12" ht="20.25" customHeight="1" x14ac:dyDescent="0.35">
      <c r="A36" s="13"/>
      <c r="B36" s="13"/>
      <c r="C36" s="13"/>
      <c r="D36" s="17" t="s">
        <v>14</v>
      </c>
      <c r="E36" s="12"/>
      <c r="F36" s="38"/>
      <c r="G36" s="13"/>
      <c r="H36" s="13"/>
      <c r="I36" s="13"/>
      <c r="J36" s="13"/>
      <c r="K36" s="13"/>
    </row>
    <row r="37" spans="1:12" ht="20.25" customHeight="1" x14ac:dyDescent="0.35">
      <c r="A37" s="175"/>
      <c r="B37" s="175"/>
      <c r="C37" s="175"/>
      <c r="D37" s="175"/>
      <c r="E37" s="175"/>
      <c r="F37" s="198"/>
      <c r="G37" s="175"/>
      <c r="H37" s="175"/>
      <c r="I37" s="175"/>
      <c r="J37" s="199"/>
      <c r="K37" s="175"/>
    </row>
    <row r="38" spans="1:12" ht="20.25" customHeight="1" x14ac:dyDescent="0.35">
      <c r="D38" s="15" t="s">
        <v>7</v>
      </c>
      <c r="E38" s="9"/>
      <c r="F38" s="36"/>
      <c r="G38" s="9"/>
      <c r="H38" s="9"/>
      <c r="I38" s="9"/>
    </row>
    <row r="39" spans="1:12" ht="20.25" customHeight="1" x14ac:dyDescent="0.35">
      <c r="D39" s="15" t="s">
        <v>6</v>
      </c>
      <c r="E39" s="9"/>
      <c r="F39" s="36"/>
      <c r="G39" s="9"/>
      <c r="H39" s="9"/>
      <c r="I39" s="9"/>
    </row>
    <row r="40" spans="1:12" ht="20.25" customHeight="1" x14ac:dyDescent="0.35">
      <c r="D40" s="15" t="s">
        <v>10</v>
      </c>
      <c r="E40" s="9"/>
      <c r="F40" s="36"/>
      <c r="G40" s="9"/>
      <c r="H40" s="9"/>
      <c r="I40" s="9"/>
    </row>
    <row r="41" spans="1:12" x14ac:dyDescent="0.35">
      <c r="D41" s="15" t="s">
        <v>8</v>
      </c>
      <c r="E41" s="9"/>
      <c r="F41" s="36"/>
      <c r="G41" s="9"/>
      <c r="H41" s="9"/>
      <c r="I41" s="9"/>
    </row>
    <row r="42" spans="1:12" x14ac:dyDescent="0.35">
      <c r="A42" s="11"/>
      <c r="B42" s="11"/>
      <c r="C42" s="11"/>
      <c r="D42" s="16" t="s">
        <v>12</v>
      </c>
      <c r="E42" s="10"/>
      <c r="F42" s="37"/>
      <c r="G42" s="10"/>
      <c r="H42" s="10"/>
      <c r="I42" s="11"/>
      <c r="J42" s="11"/>
      <c r="K42" s="11"/>
    </row>
    <row r="43" spans="1:12" x14ac:dyDescent="0.35">
      <c r="D43" s="15" t="s">
        <v>11</v>
      </c>
      <c r="E43" s="9"/>
      <c r="F43" s="36"/>
      <c r="G43" s="9"/>
      <c r="H43" s="9"/>
      <c r="I43" s="9"/>
    </row>
    <row r="44" spans="1:12" s="11" customFormat="1" ht="15.6" customHeight="1" x14ac:dyDescent="0.35">
      <c r="A44" s="4"/>
      <c r="B44" s="4"/>
      <c r="C44" s="4"/>
      <c r="D44" s="15" t="s">
        <v>9</v>
      </c>
      <c r="E44" s="9"/>
      <c r="F44" s="36"/>
      <c r="G44" s="9"/>
      <c r="H44" s="9"/>
      <c r="I44" s="9"/>
      <c r="J44" s="4"/>
      <c r="K44" s="4"/>
    </row>
    <row r="45" spans="1:12" s="11" customFormat="1" ht="15.6" customHeight="1" x14ac:dyDescent="0.35">
      <c r="A45" s="175"/>
      <c r="B45" s="175"/>
      <c r="C45" s="175"/>
      <c r="D45" s="123"/>
      <c r="E45" s="195" t="s">
        <v>321</v>
      </c>
      <c r="F45" s="194"/>
      <c r="G45" s="123"/>
      <c r="H45" s="123"/>
      <c r="I45" s="123"/>
      <c r="J45" s="174"/>
      <c r="K45" s="174"/>
    </row>
    <row r="46" spans="1:12" s="13" customFormat="1" ht="20.25" customHeight="1" x14ac:dyDescent="0.35">
      <c r="A46" s="49"/>
      <c r="B46" s="49"/>
      <c r="C46" s="49"/>
      <c r="D46" s="49"/>
      <c r="E46" s="49" t="e">
        <f>"Remaning: "&amp;IFERROR(MID(A17, SEARCH("MAX", A17) + LEN("MAX"), SEARCH("PAX", A17) - SEARCH("MAX", A17) - LEN("MAX")), "")+0-SUM(G46:H46)</f>
        <v>#VALUE!</v>
      </c>
      <c r="F46" s="50" t="s">
        <v>19</v>
      </c>
      <c r="G46" s="51">
        <f>SUM(G19:G44)</f>
        <v>22</v>
      </c>
      <c r="H46" s="51">
        <f>SUM(H19:H44)</f>
        <v>13</v>
      </c>
      <c r="I46" s="49"/>
      <c r="J46" s="49"/>
      <c r="K46" s="49"/>
    </row>
    <row r="47" spans="1:12" s="8" customFormat="1" ht="14.4" x14ac:dyDescent="0.3">
      <c r="D47" s="14"/>
      <c r="E47" s="9"/>
      <c r="F47" s="36"/>
      <c r="G47" s="9"/>
      <c r="H47" s="9"/>
      <c r="I47" s="9"/>
    </row>
    <row r="48" spans="1:12" x14ac:dyDescent="0.35">
      <c r="D48" s="9"/>
      <c r="E48" s="9"/>
      <c r="F48" s="36"/>
      <c r="G48" s="9"/>
      <c r="H48" s="9"/>
      <c r="I48" s="9"/>
    </row>
    <row r="49" spans="4:9" x14ac:dyDescent="0.35">
      <c r="D49" s="8"/>
      <c r="E49" s="8"/>
      <c r="F49" s="35"/>
      <c r="G49" s="8"/>
      <c r="H49" s="8"/>
      <c r="I49" s="8"/>
    </row>
    <row r="50" spans="4:9" x14ac:dyDescent="0.35">
      <c r="D50" s="9"/>
      <c r="E50" s="9"/>
      <c r="F50" s="36"/>
      <c r="G50" s="9"/>
      <c r="H50" s="9"/>
      <c r="I50" s="9"/>
    </row>
    <row r="51" spans="4:9" x14ac:dyDescent="0.35">
      <c r="D51" s="9"/>
      <c r="E51" s="9"/>
      <c r="F51" s="36"/>
      <c r="G51" s="9"/>
      <c r="H51" s="9"/>
      <c r="I51" s="9"/>
    </row>
    <row r="52" spans="4:9" x14ac:dyDescent="0.35">
      <c r="D52" s="9"/>
      <c r="E52" s="9"/>
      <c r="F52" s="36"/>
      <c r="G52" s="9"/>
      <c r="H52" s="9"/>
      <c r="I52" s="9"/>
    </row>
    <row r="53" spans="4:9" x14ac:dyDescent="0.35">
      <c r="D53" s="9"/>
      <c r="E53" s="9"/>
      <c r="F53" s="36"/>
      <c r="G53" s="9"/>
      <c r="H53" s="9"/>
      <c r="I53" s="9"/>
    </row>
    <row r="54" spans="4:9" x14ac:dyDescent="0.35">
      <c r="D54" s="9"/>
      <c r="E54" s="9"/>
      <c r="F54" s="36"/>
      <c r="G54" s="9"/>
      <c r="H54" s="9"/>
      <c r="I54" s="9"/>
    </row>
    <row r="55" spans="4:9" x14ac:dyDescent="0.35">
      <c r="D55" s="9"/>
      <c r="E55" s="9"/>
      <c r="F55" s="36"/>
      <c r="G55" s="9"/>
      <c r="H55" s="9"/>
      <c r="I55" s="9"/>
    </row>
    <row r="56" spans="4:9" x14ac:dyDescent="0.35">
      <c r="D56" s="14"/>
      <c r="E56" s="9"/>
      <c r="F56" s="36"/>
      <c r="G56" s="9"/>
      <c r="H56" s="9"/>
      <c r="I56" s="9"/>
    </row>
    <row r="57" spans="4:9" x14ac:dyDescent="0.35">
      <c r="D57" s="9"/>
      <c r="E57" s="9"/>
      <c r="F57" s="36"/>
      <c r="G57" s="9"/>
      <c r="H57" s="9"/>
      <c r="I57" s="9"/>
    </row>
    <row r="59" spans="4:9" x14ac:dyDescent="0.35">
      <c r="D59" s="1"/>
      <c r="E59" s="1"/>
      <c r="F59" s="33"/>
      <c r="G59" s="1"/>
      <c r="H59" s="1"/>
      <c r="I59" s="1"/>
    </row>
    <row r="74" spans="4:9" x14ac:dyDescent="0.35">
      <c r="D74" s="9"/>
      <c r="E74" s="9"/>
      <c r="F74" s="36"/>
      <c r="G74" s="9"/>
      <c r="H74" s="9"/>
      <c r="I74" s="9"/>
    </row>
    <row r="75" spans="4:9" x14ac:dyDescent="0.35">
      <c r="D75" s="9"/>
      <c r="E75" s="9"/>
      <c r="F75" s="36"/>
      <c r="G75" s="9"/>
      <c r="H75" s="9"/>
      <c r="I75" s="9"/>
    </row>
    <row r="76" spans="4:9" x14ac:dyDescent="0.35">
      <c r="D76" s="9"/>
      <c r="E76" s="9"/>
      <c r="F76" s="36"/>
      <c r="G76" s="9"/>
      <c r="H76" s="9"/>
      <c r="I76" s="9"/>
    </row>
    <row r="77" spans="4:9" x14ac:dyDescent="0.35">
      <c r="D77" s="14"/>
      <c r="E77" s="9"/>
      <c r="F77" s="36"/>
      <c r="G77" s="9"/>
      <c r="H77" s="9"/>
      <c r="I77" s="9"/>
    </row>
    <row r="78" spans="4:9" x14ac:dyDescent="0.35">
      <c r="D78" s="9"/>
      <c r="E78" s="9"/>
      <c r="F78" s="36"/>
      <c r="G78" s="9"/>
      <c r="H78" s="9"/>
      <c r="I78" s="9"/>
    </row>
  </sheetData>
  <customSheetViews>
    <customSheetView guid="{744BB052-D863-41D2-951C-2AB325855A97}" showPageBreaks="1" printArea="1" topLeftCell="A4">
      <selection activeCell="I24" sqref="I24:J24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C14" sqref="C14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H10" sqref="H10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 topLeftCell="A16">
      <selection activeCell="G29" sqref="G29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C11" sqref="C11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8:L35">
    <cfRule type="containsText" dxfId="21" priority="1" operator="containsText" text="No Post">
      <formula>NOT(ISERROR(SEARCH("No Post",L8)))</formula>
    </cfRule>
  </conditionalFormatting>
  <pageMargins left="0.17" right="0.17" top="0.75" bottom="0.75" header="0.3" footer="0.3"/>
  <pageSetup scale="64" orientation="landscape" r:id="rId6"/>
  <rowBreaks count="1" manualBreakCount="1">
    <brk id="38" min="1" max="8" man="1"/>
  </rowBreaks>
  <colBreaks count="1" manualBreakCount="1">
    <brk id="11" max="30" man="1"/>
  </colBreaks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74"/>
  <sheetViews>
    <sheetView topLeftCell="A10" zoomScaleNormal="100" zoomScaleSheetLayoutView="100" workbookViewId="0">
      <selection activeCell="I22" sqref="I22:J22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3" x14ac:dyDescent="0.35">
      <c r="E2" s="18" t="s">
        <v>0</v>
      </c>
      <c r="F2" s="32"/>
      <c r="G2" s="5"/>
      <c r="H2" s="5"/>
    </row>
    <row r="4" spans="1:13" s="1" customFormat="1" thickBot="1" x14ac:dyDescent="0.4">
      <c r="F4" s="33"/>
      <c r="K4" s="19"/>
    </row>
    <row r="5" spans="1:13" s="2" customFormat="1" ht="24" thickBot="1" x14ac:dyDescent="0.5">
      <c r="A5" s="377" t="s">
        <v>330</v>
      </c>
      <c r="B5" s="378"/>
      <c r="C5" s="378"/>
      <c r="D5" s="378"/>
      <c r="E5" s="378"/>
      <c r="F5" s="378"/>
      <c r="G5" s="378"/>
      <c r="H5" s="378"/>
      <c r="I5" s="378"/>
      <c r="J5" s="20" t="s">
        <v>18</v>
      </c>
      <c r="K5" s="3" t="str">
        <f ca="1">CONCATENATE((MID(CELL("filename",K5),FIND("]",CELL("filename",K5))+1,255)),"/04/2026")</f>
        <v>10/04/2026</v>
      </c>
    </row>
    <row r="6" spans="1:13" x14ac:dyDescent="0.35">
      <c r="A6" s="40"/>
      <c r="B6" s="112"/>
      <c r="C6" s="112"/>
      <c r="D6" s="41" t="s">
        <v>1</v>
      </c>
      <c r="E6" s="41" t="s">
        <v>2</v>
      </c>
      <c r="F6" s="42" t="s">
        <v>21</v>
      </c>
      <c r="G6" s="41" t="s">
        <v>16</v>
      </c>
      <c r="H6" s="41" t="s">
        <v>17</v>
      </c>
      <c r="I6" s="41" t="s">
        <v>3</v>
      </c>
      <c r="J6" s="43" t="s">
        <v>20</v>
      </c>
      <c r="K6" s="44" t="s">
        <v>4</v>
      </c>
    </row>
    <row r="7" spans="1:13" x14ac:dyDescent="0.35">
      <c r="A7" s="227"/>
      <c r="B7" s="236"/>
      <c r="C7" s="236"/>
      <c r="D7" s="228"/>
      <c r="E7" s="232" t="s">
        <v>357</v>
      </c>
      <c r="F7" s="229"/>
      <c r="G7" s="228"/>
      <c r="H7" s="228"/>
      <c r="I7" s="228"/>
      <c r="J7" s="230"/>
      <c r="K7" s="231"/>
    </row>
    <row r="8" spans="1:13" x14ac:dyDescent="0.35">
      <c r="A8" s="54">
        <v>1</v>
      </c>
      <c r="B8" s="54"/>
      <c r="C8" s="54"/>
      <c r="D8" s="98">
        <v>301</v>
      </c>
      <c r="E8" s="226" t="s">
        <v>280</v>
      </c>
      <c r="F8" s="62">
        <v>46120</v>
      </c>
      <c r="G8" s="54">
        <v>2</v>
      </c>
      <c r="H8" s="54"/>
      <c r="I8" s="54"/>
      <c r="J8" s="98" t="s">
        <v>170</v>
      </c>
      <c r="K8" s="54" t="s">
        <v>26</v>
      </c>
      <c r="L8" s="79" t="s">
        <v>67</v>
      </c>
    </row>
    <row r="9" spans="1:13" x14ac:dyDescent="0.35">
      <c r="A9" s="54">
        <v>2</v>
      </c>
      <c r="B9" s="130"/>
      <c r="C9" s="130"/>
      <c r="D9" s="97">
        <v>303</v>
      </c>
      <c r="E9" s="159" t="s">
        <v>332</v>
      </c>
      <c r="F9" s="62">
        <v>46125</v>
      </c>
      <c r="G9" s="54">
        <v>2</v>
      </c>
      <c r="H9" s="54"/>
      <c r="I9" s="54"/>
      <c r="J9" s="97" t="s">
        <v>124</v>
      </c>
      <c r="K9" s="54" t="s">
        <v>315</v>
      </c>
      <c r="L9" s="79" t="str">
        <f>IF(OR(NOT(ISERROR(MATCH(RIGHT(D9,3)+0,#REF!,0))),NOT(ISERROR(MATCH(LEFT(D9,3)+0,#REF!,0)))),"No Post","")</f>
        <v/>
      </c>
    </row>
    <row r="10" spans="1:13" x14ac:dyDescent="0.35">
      <c r="A10" s="54">
        <v>3</v>
      </c>
      <c r="B10" s="130"/>
      <c r="C10" s="130"/>
      <c r="D10" s="98">
        <v>309</v>
      </c>
      <c r="E10" s="159" t="s">
        <v>303</v>
      </c>
      <c r="F10" s="62">
        <v>46123</v>
      </c>
      <c r="G10" s="54">
        <v>2</v>
      </c>
      <c r="H10" s="54"/>
      <c r="I10" s="54"/>
      <c r="J10" s="98" t="s">
        <v>170</v>
      </c>
      <c r="K10" s="54" t="s">
        <v>167</v>
      </c>
      <c r="L10" s="79" t="str">
        <f>IF(OR(NOT(ISERROR(MATCH(RIGHT(D10,3)+0,#REF!,0))),NOT(ISERROR(MATCH(LEFT(D10,3)+0,#REF!,0)))),"No Post","")</f>
        <v/>
      </c>
    </row>
    <row r="11" spans="1:13" x14ac:dyDescent="0.35">
      <c r="A11" s="54">
        <v>4</v>
      </c>
      <c r="B11" s="130"/>
      <c r="C11" s="130"/>
      <c r="D11" s="97">
        <v>332</v>
      </c>
      <c r="E11" s="107" t="s">
        <v>348</v>
      </c>
      <c r="F11" s="48">
        <v>46122</v>
      </c>
      <c r="G11" s="46">
        <v>2</v>
      </c>
      <c r="H11" s="46"/>
      <c r="I11" s="46"/>
      <c r="J11" s="97" t="s">
        <v>359</v>
      </c>
      <c r="K11" s="54" t="s">
        <v>256</v>
      </c>
      <c r="L11" s="210" t="str">
        <f>IF(OR(NOT(ISERROR(MATCH(RIGHT(D11,3)+0,#REF!,0))),NOT(ISERROR(MATCH(LEFT(D11,3)+0,#REF!,0)))),"No Post","")</f>
        <v/>
      </c>
      <c r="M11" s="4" t="s">
        <v>346</v>
      </c>
    </row>
    <row r="12" spans="1:13" x14ac:dyDescent="0.35">
      <c r="A12" s="54">
        <v>5</v>
      </c>
      <c r="B12" s="130"/>
      <c r="C12" s="130"/>
      <c r="D12" s="97">
        <v>604</v>
      </c>
      <c r="E12" s="107" t="s">
        <v>323</v>
      </c>
      <c r="F12" s="48">
        <v>46124</v>
      </c>
      <c r="G12" s="46">
        <v>2</v>
      </c>
      <c r="H12" s="46"/>
      <c r="I12" s="46"/>
      <c r="J12" s="97" t="s">
        <v>124</v>
      </c>
      <c r="K12" s="54" t="s">
        <v>322</v>
      </c>
      <c r="L12" s="210" t="str">
        <f>IF(OR(NOT(ISERROR(MATCH(RIGHT(D12,3)+0,#REF!,0))),NOT(ISERROR(MATCH(LEFT(D12,3)+0,#REF!,0)))),"No Post","")</f>
        <v/>
      </c>
      <c r="M12" s="4" t="s">
        <v>346</v>
      </c>
    </row>
    <row r="13" spans="1:13" x14ac:dyDescent="0.35">
      <c r="A13" s="54">
        <v>6</v>
      </c>
      <c r="B13" s="130"/>
      <c r="C13" s="130"/>
      <c r="D13" s="97">
        <v>612</v>
      </c>
      <c r="E13" s="159" t="s">
        <v>306</v>
      </c>
      <c r="F13" s="62">
        <v>46125</v>
      </c>
      <c r="G13" s="54">
        <v>2</v>
      </c>
      <c r="H13" s="54">
        <v>2</v>
      </c>
      <c r="I13" s="54"/>
      <c r="J13" s="97" t="s">
        <v>124</v>
      </c>
      <c r="K13" s="54" t="s">
        <v>305</v>
      </c>
      <c r="L13" s="130"/>
      <c r="M13" s="4" t="s">
        <v>346</v>
      </c>
    </row>
    <row r="14" spans="1:13" x14ac:dyDescent="0.35">
      <c r="A14" s="227"/>
      <c r="B14" s="236"/>
      <c r="C14" s="236"/>
      <c r="D14" s="234"/>
      <c r="E14" s="232" t="s">
        <v>358</v>
      </c>
      <c r="F14" s="229"/>
      <c r="G14" s="228"/>
      <c r="H14" s="228"/>
      <c r="I14" s="228"/>
      <c r="J14" s="234"/>
      <c r="K14" s="231"/>
      <c r="L14" s="175"/>
    </row>
    <row r="15" spans="1:13" x14ac:dyDescent="0.35">
      <c r="A15" s="54">
        <v>7</v>
      </c>
      <c r="B15" s="130"/>
      <c r="C15" s="130"/>
      <c r="D15" s="97">
        <v>613</v>
      </c>
      <c r="E15" s="159" t="s">
        <v>249</v>
      </c>
      <c r="F15" s="62">
        <v>46124</v>
      </c>
      <c r="G15" s="54">
        <v>2</v>
      </c>
      <c r="H15" s="54">
        <v>1</v>
      </c>
      <c r="I15" s="54"/>
      <c r="J15" s="97" t="s">
        <v>124</v>
      </c>
      <c r="K15" s="54" t="s">
        <v>250</v>
      </c>
      <c r="L15" s="79" t="str">
        <f>IF(OR(NOT(ISERROR(MATCH(RIGHT(D15,3)+0,#REF!,0))),NOT(ISERROR(MATCH(LEFT(D15,3)+0,#REF!,0)))),"No Post","")</f>
        <v/>
      </c>
      <c r="M15" s="4" t="s">
        <v>346</v>
      </c>
    </row>
    <row r="16" spans="1:13" x14ac:dyDescent="0.35">
      <c r="A16" s="54">
        <v>8</v>
      </c>
      <c r="B16" s="54"/>
      <c r="C16" s="54"/>
      <c r="D16" s="97">
        <v>614</v>
      </c>
      <c r="E16" s="159" t="s">
        <v>307</v>
      </c>
      <c r="F16" s="62">
        <v>46126</v>
      </c>
      <c r="G16" s="54">
        <v>2</v>
      </c>
      <c r="H16" s="54"/>
      <c r="I16" s="54" t="s">
        <v>132</v>
      </c>
      <c r="J16" s="97" t="s">
        <v>360</v>
      </c>
      <c r="K16" s="54" t="s">
        <v>250</v>
      </c>
      <c r="L16" s="79" t="str">
        <f>IF(OR(NOT(ISERROR(MATCH(RIGHT(D16,3)+0,#REF!,0))),NOT(ISERROR(MATCH(LEFT(D16,3)+0,#REF!,0)))),"No Post","")</f>
        <v/>
      </c>
      <c r="M16" s="4" t="s">
        <v>346</v>
      </c>
    </row>
    <row r="17" spans="1:13" x14ac:dyDescent="0.35">
      <c r="A17" s="54">
        <v>9</v>
      </c>
      <c r="B17" s="130"/>
      <c r="C17" s="130"/>
      <c r="D17" s="98" t="s">
        <v>361</v>
      </c>
      <c r="E17" s="107" t="s">
        <v>333</v>
      </c>
      <c r="F17" s="48">
        <v>46122</v>
      </c>
      <c r="G17" s="46">
        <v>2</v>
      </c>
      <c r="H17" s="46"/>
      <c r="I17" s="46"/>
      <c r="J17" s="98" t="s">
        <v>170</v>
      </c>
      <c r="K17" s="54"/>
      <c r="L17" s="79" t="str">
        <f>IF(OR(NOT(ISERROR(MATCH(RIGHT(D17,3)+0,#REF!,0))),NOT(ISERROR(MATCH(LEFT(D17,3)+0,#REF!,0)))),"No Post","")</f>
        <v/>
      </c>
    </row>
    <row r="18" spans="1:13" x14ac:dyDescent="0.35">
      <c r="A18" s="54">
        <v>10</v>
      </c>
      <c r="B18" s="130"/>
      <c r="C18" s="130"/>
      <c r="D18" s="99" t="s">
        <v>362</v>
      </c>
      <c r="E18" s="107" t="s">
        <v>334</v>
      </c>
      <c r="F18" s="48">
        <v>46122</v>
      </c>
      <c r="G18" s="46">
        <v>2</v>
      </c>
      <c r="H18" s="46"/>
      <c r="I18" s="46">
        <v>56.76</v>
      </c>
      <c r="J18" s="99" t="s">
        <v>125</v>
      </c>
      <c r="K18" s="54" t="s">
        <v>322</v>
      </c>
      <c r="L18" s="79" t="str">
        <f>IF(OR(NOT(ISERROR(MATCH(RIGHT(D18,3)+0,#REF!,0))),NOT(ISERROR(MATCH(LEFT(D18,3)+0,#REF!,0)))),"No Post","")</f>
        <v/>
      </c>
    </row>
    <row r="19" spans="1:13" ht="18.600000000000001" customHeight="1" x14ac:dyDescent="0.35">
      <c r="A19" s="54">
        <v>11</v>
      </c>
      <c r="B19" s="130"/>
      <c r="C19" s="130"/>
      <c r="D19" s="100">
        <v>692</v>
      </c>
      <c r="E19" s="159" t="s">
        <v>238</v>
      </c>
      <c r="F19" s="62">
        <v>46125</v>
      </c>
      <c r="G19" s="54">
        <v>2</v>
      </c>
      <c r="H19" s="54">
        <v>3</v>
      </c>
      <c r="I19" s="54"/>
      <c r="J19" s="100" t="s">
        <v>132</v>
      </c>
      <c r="K19" s="54" t="s">
        <v>135</v>
      </c>
      <c r="L19" s="79" t="str">
        <f>IF(OR(NOT(ISERROR(MATCH(RIGHT(D19,3)+0,#REF!,0))),NOT(ISERROR(MATCH(LEFT(D19,3)+0,#REF!,0)))),"No Post","")</f>
        <v/>
      </c>
    </row>
    <row r="20" spans="1:13" ht="18.600000000000001" customHeight="1" x14ac:dyDescent="0.35">
      <c r="A20" s="54">
        <v>12</v>
      </c>
      <c r="B20" s="130"/>
      <c r="C20" s="130"/>
      <c r="D20" s="98" t="s">
        <v>363</v>
      </c>
      <c r="E20" s="107" t="s">
        <v>324</v>
      </c>
      <c r="F20" s="48">
        <v>46124</v>
      </c>
      <c r="G20" s="46">
        <v>2</v>
      </c>
      <c r="H20" s="46"/>
      <c r="I20" s="46"/>
      <c r="J20" s="98" t="s">
        <v>170</v>
      </c>
      <c r="K20" s="54" t="s">
        <v>322</v>
      </c>
      <c r="L20" s="79" t="str">
        <f>IF(OR(NOT(ISERROR(MATCH(RIGHT(D20,3)+0,#REF!,0))),NOT(ISERROR(MATCH(LEFT(D20,3)+0,#REF!,0)))),"No Post","")</f>
        <v/>
      </c>
    </row>
    <row r="21" spans="1:13" ht="18.600000000000001" customHeight="1" x14ac:dyDescent="0.35">
      <c r="A21" s="54">
        <v>13</v>
      </c>
      <c r="B21" s="130"/>
      <c r="C21" s="130"/>
      <c r="D21" s="97">
        <v>842</v>
      </c>
      <c r="E21" s="107" t="s">
        <v>318</v>
      </c>
      <c r="F21" s="48">
        <v>46125</v>
      </c>
      <c r="G21" s="46">
        <v>2</v>
      </c>
      <c r="H21" s="46"/>
      <c r="I21" s="46"/>
      <c r="J21" s="97" t="s">
        <v>124</v>
      </c>
      <c r="K21" s="54" t="s">
        <v>317</v>
      </c>
      <c r="L21" s="79" t="str">
        <f>IF(OR(NOT(ISERROR(MATCH(RIGHT(D21,3)+0,#REF!,0))),NOT(ISERROR(MATCH(LEFT(D21,3)+0,#REF!,0)))),"No Post","")</f>
        <v/>
      </c>
    </row>
    <row r="22" spans="1:13" ht="18.600000000000001" customHeight="1" x14ac:dyDescent="0.35">
      <c r="A22" s="54">
        <v>14</v>
      </c>
      <c r="B22" s="130"/>
      <c r="C22" s="130"/>
      <c r="D22" s="99">
        <v>847</v>
      </c>
      <c r="E22" s="107" t="s">
        <v>335</v>
      </c>
      <c r="F22" s="48">
        <v>46123</v>
      </c>
      <c r="G22" s="46">
        <v>2</v>
      </c>
      <c r="H22" s="46"/>
      <c r="I22" s="46">
        <v>56.76</v>
      </c>
      <c r="J22" s="99" t="s">
        <v>125</v>
      </c>
      <c r="K22" s="54" t="s">
        <v>331</v>
      </c>
      <c r="L22" s="79" t="str">
        <f>IF(OR(NOT(ISERROR(MATCH(RIGHT(D22,3)+0,#REF!,0))),NOT(ISERROR(MATCH(LEFT(D22,3)+0,#REF!,0)))),"No Post","")</f>
        <v/>
      </c>
    </row>
    <row r="23" spans="1:13" ht="18.600000000000001" customHeight="1" x14ac:dyDescent="0.35">
      <c r="A23" s="54">
        <v>15</v>
      </c>
      <c r="B23" s="130"/>
      <c r="C23" s="130"/>
      <c r="D23" s="98">
        <v>857</v>
      </c>
      <c r="E23" s="218" t="s">
        <v>25</v>
      </c>
      <c r="F23" s="48">
        <v>45760</v>
      </c>
      <c r="G23" s="46">
        <v>2</v>
      </c>
      <c r="H23" s="46"/>
      <c r="I23" s="46"/>
      <c r="J23" s="98" t="s">
        <v>170</v>
      </c>
      <c r="K23" s="54" t="s">
        <v>26</v>
      </c>
      <c r="L23" s="79" t="str">
        <f>IF(OR(NOT(ISERROR(MATCH(RIGHT(D23,3)+0,#REF!,0))),NOT(ISERROR(MATCH(LEFT(D23,3)+0,#REF!,0)))),"No Post","")</f>
        <v/>
      </c>
    </row>
    <row r="24" spans="1:13" ht="18.600000000000001" customHeight="1" x14ac:dyDescent="0.35">
      <c r="A24" s="54">
        <v>16</v>
      </c>
      <c r="B24" s="130"/>
      <c r="C24" s="130"/>
      <c r="D24" s="98">
        <v>878</v>
      </c>
      <c r="E24" s="107" t="s">
        <v>343</v>
      </c>
      <c r="F24" s="48">
        <v>46124</v>
      </c>
      <c r="G24" s="46">
        <v>2</v>
      </c>
      <c r="H24" s="46"/>
      <c r="I24" s="46"/>
      <c r="J24" s="98" t="s">
        <v>170</v>
      </c>
      <c r="K24" s="54" t="s">
        <v>342</v>
      </c>
      <c r="L24" s="79" t="str">
        <f>IF(OR(NOT(ISERROR(MATCH(RIGHT(D24,3)+0,#REF!,0))),NOT(ISERROR(MATCH(LEFT(D24,3)+0,#REF!,0)))),"No Post","")</f>
        <v/>
      </c>
    </row>
    <row r="25" spans="1:13" ht="18.600000000000001" customHeight="1" x14ac:dyDescent="0.35">
      <c r="A25" s="54">
        <v>17</v>
      </c>
      <c r="B25" s="130"/>
      <c r="C25" s="130"/>
      <c r="D25" s="97">
        <v>887</v>
      </c>
      <c r="E25" s="159" t="s">
        <v>282</v>
      </c>
      <c r="F25" s="62">
        <v>46124</v>
      </c>
      <c r="G25" s="54">
        <v>2</v>
      </c>
      <c r="H25" s="54"/>
      <c r="I25" s="54"/>
      <c r="J25" s="97" t="s">
        <v>124</v>
      </c>
      <c r="K25" s="54" t="s">
        <v>135</v>
      </c>
      <c r="L25" s="210" t="str">
        <f>IF(OR(NOT(ISERROR(MATCH(RIGHT(D25,3)+0,#REF!,0))),NOT(ISERROR(MATCH(LEFT(D25,3)+0,#REF!,0)))),"No Post","")</f>
        <v/>
      </c>
      <c r="M25" s="4" t="s">
        <v>346</v>
      </c>
    </row>
    <row r="26" spans="1:13" ht="18.600000000000001" customHeight="1" x14ac:dyDescent="0.35">
      <c r="A26" s="54"/>
      <c r="B26" s="130"/>
      <c r="C26" s="130"/>
      <c r="D26" s="54">
        <v>605</v>
      </c>
      <c r="E26" s="159"/>
      <c r="F26" s="62"/>
      <c r="G26" s="54">
        <v>2</v>
      </c>
      <c r="H26" s="54"/>
      <c r="I26" s="54"/>
      <c r="J26" s="99" t="s">
        <v>125</v>
      </c>
      <c r="K26" s="54"/>
      <c r="L26" s="79"/>
    </row>
    <row r="27" spans="1:13" ht="18.600000000000001" customHeight="1" x14ac:dyDescent="0.35">
      <c r="A27" s="54"/>
      <c r="B27" s="54"/>
      <c r="C27" s="54"/>
      <c r="D27" s="54"/>
      <c r="E27" s="159"/>
      <c r="F27" s="62"/>
      <c r="G27" s="54"/>
      <c r="H27" s="54"/>
      <c r="I27" s="54"/>
      <c r="J27" s="54"/>
      <c r="K27" s="54"/>
      <c r="L27" s="79"/>
    </row>
    <row r="28" spans="1:13" ht="18.600000000000001" customHeight="1" x14ac:dyDescent="0.35">
      <c r="A28" s="77"/>
      <c r="B28" s="77"/>
      <c r="C28" s="77"/>
      <c r="D28" s="213" t="s">
        <v>5</v>
      </c>
      <c r="E28" s="213"/>
      <c r="F28" s="222"/>
      <c r="G28" s="213"/>
      <c r="H28" s="213"/>
      <c r="I28" s="213"/>
      <c r="J28" s="77"/>
      <c r="K28" s="77"/>
      <c r="L28" s="79"/>
    </row>
    <row r="29" spans="1:13" ht="18.600000000000001" customHeight="1" x14ac:dyDescent="0.35">
      <c r="A29" s="211"/>
      <c r="B29" s="211"/>
      <c r="C29" s="211"/>
      <c r="D29" s="214" t="s">
        <v>13</v>
      </c>
      <c r="E29" s="219"/>
      <c r="F29" s="223"/>
      <c r="G29" s="219"/>
      <c r="H29" s="219"/>
      <c r="I29" s="211"/>
      <c r="J29" s="211"/>
      <c r="K29" s="211"/>
      <c r="L29" s="79" t="str">
        <f>IF(OR(NOT(ISERROR(MATCH(RIGHT(D29,3)+0,#REF!,0))),NOT(ISERROR(MATCH(LEFT(D29,3)+0,#REF!,0)))),"No Post","")</f>
        <v/>
      </c>
    </row>
    <row r="30" spans="1:13" ht="18.600000000000001" customHeight="1" x14ac:dyDescent="0.35">
      <c r="A30" s="212"/>
      <c r="B30" s="212"/>
      <c r="C30" s="212"/>
      <c r="D30" s="216" t="s">
        <v>14</v>
      </c>
      <c r="E30" s="221"/>
      <c r="F30" s="225"/>
      <c r="G30" s="212"/>
      <c r="H30" s="212"/>
      <c r="I30" s="212"/>
      <c r="J30" s="212"/>
      <c r="K30" s="212"/>
      <c r="L30" s="79" t="str">
        <f>IF(OR(NOT(ISERROR(MATCH(RIGHT(D30,3)+0,#REF!,0))),NOT(ISERROR(MATCH(LEFT(D30,3)+0,#REF!,0)))),"No Post","")</f>
        <v/>
      </c>
    </row>
    <row r="31" spans="1:13" s="26" customFormat="1" ht="18.600000000000001" customHeight="1" x14ac:dyDescent="0.4">
      <c r="A31" s="77"/>
      <c r="B31" s="77"/>
      <c r="C31" s="77"/>
      <c r="D31" s="215" t="s">
        <v>7</v>
      </c>
      <c r="E31" s="220"/>
      <c r="F31" s="224"/>
      <c r="G31" s="220"/>
      <c r="H31" s="220"/>
      <c r="I31" s="220"/>
      <c r="J31" s="77"/>
      <c r="K31" s="77"/>
      <c r="L31" s="79" t="str">
        <f>IF(OR(NOT(ISERROR(MATCH(RIGHT(D31,3)+0,#REF!,0))),NOT(ISERROR(MATCH(LEFT(D31,3)+0,#REF!,0)))),"No Post","")</f>
        <v/>
      </c>
    </row>
    <row r="32" spans="1:13" ht="20.25" customHeight="1" x14ac:dyDescent="0.35">
      <c r="D32" s="15" t="s">
        <v>6</v>
      </c>
      <c r="E32" s="9"/>
      <c r="F32" s="36"/>
      <c r="G32" s="9"/>
      <c r="H32" s="9"/>
      <c r="I32" s="9"/>
    </row>
    <row r="33" spans="1:11" ht="20.25" customHeight="1" x14ac:dyDescent="0.35">
      <c r="D33" s="15" t="s">
        <v>10</v>
      </c>
      <c r="E33" s="9"/>
      <c r="F33" s="36"/>
      <c r="G33" s="9"/>
      <c r="H33" s="9"/>
      <c r="I33" s="9"/>
    </row>
    <row r="34" spans="1:11" ht="20.25" customHeight="1" x14ac:dyDescent="0.35">
      <c r="D34" s="15" t="s">
        <v>8</v>
      </c>
      <c r="E34" s="9"/>
      <c r="F34" s="36"/>
      <c r="G34" s="9"/>
      <c r="H34" s="9"/>
      <c r="I34" s="9"/>
    </row>
    <row r="35" spans="1:11" ht="20.25" customHeight="1" x14ac:dyDescent="0.35">
      <c r="A35" s="11"/>
      <c r="B35" s="11"/>
      <c r="C35" s="11"/>
      <c r="D35" s="16" t="s">
        <v>12</v>
      </c>
      <c r="E35" s="10"/>
      <c r="F35" s="37"/>
      <c r="G35" s="10"/>
      <c r="H35" s="10"/>
      <c r="I35" s="11"/>
      <c r="J35" s="11"/>
      <c r="K35" s="11"/>
    </row>
    <row r="36" spans="1:11" ht="20.25" customHeight="1" x14ac:dyDescent="0.35">
      <c r="D36" s="15" t="s">
        <v>11</v>
      </c>
      <c r="E36" s="9"/>
      <c r="F36" s="36"/>
      <c r="G36" s="9"/>
      <c r="H36" s="9"/>
      <c r="I36" s="9"/>
    </row>
    <row r="37" spans="1:11" x14ac:dyDescent="0.35">
      <c r="D37" s="15" t="s">
        <v>9</v>
      </c>
      <c r="E37" s="9"/>
      <c r="F37" s="36"/>
      <c r="G37" s="9"/>
      <c r="H37" s="9"/>
      <c r="I37" s="9"/>
    </row>
    <row r="38" spans="1:11" x14ac:dyDescent="0.35">
      <c r="A38" s="175"/>
      <c r="B38" s="175"/>
      <c r="C38" s="175"/>
      <c r="D38" s="123"/>
      <c r="E38" s="217"/>
      <c r="F38" s="194"/>
      <c r="G38" s="123"/>
      <c r="H38" s="123"/>
      <c r="I38" s="123"/>
      <c r="J38" s="174"/>
      <c r="K38" s="174"/>
    </row>
    <row r="39" spans="1:11" x14ac:dyDescent="0.35">
      <c r="A39" s="175"/>
      <c r="B39" s="175"/>
      <c r="C39" s="175"/>
      <c r="D39" s="123"/>
      <c r="E39" s="195"/>
      <c r="F39" s="194"/>
      <c r="G39" s="123"/>
      <c r="H39" s="123"/>
      <c r="I39" s="123"/>
      <c r="J39" s="174"/>
      <c r="K39" s="174"/>
    </row>
    <row r="40" spans="1:11" s="11" customFormat="1" ht="15.6" customHeight="1" x14ac:dyDescent="0.35">
      <c r="A40" s="175"/>
      <c r="B40" s="175"/>
      <c r="C40" s="175"/>
      <c r="D40" s="123"/>
      <c r="E40" s="174"/>
      <c r="F40" s="194"/>
      <c r="G40" s="123"/>
      <c r="H40" s="123"/>
      <c r="I40" s="123"/>
      <c r="J40" s="174"/>
      <c r="K40" s="174"/>
    </row>
    <row r="41" spans="1:11" s="11" customFormat="1" ht="15.6" customHeight="1" x14ac:dyDescent="0.35">
      <c r="A41" s="175"/>
      <c r="B41" s="175"/>
      <c r="C41" s="175"/>
      <c r="D41" s="123"/>
      <c r="E41" s="174"/>
      <c r="F41" s="194"/>
      <c r="G41" s="123"/>
      <c r="H41" s="123"/>
      <c r="I41" s="123"/>
      <c r="J41" s="174"/>
      <c r="K41" s="174"/>
    </row>
    <row r="42" spans="1:11" s="13" customFormat="1" ht="20.25" customHeight="1" x14ac:dyDescent="0.35">
      <c r="A42" s="49"/>
      <c r="B42" s="49"/>
      <c r="C42" s="49"/>
      <c r="D42" s="49"/>
      <c r="E42" s="49"/>
      <c r="F42" s="50"/>
      <c r="G42" s="51"/>
      <c r="H42" s="51"/>
      <c r="I42" s="49"/>
      <c r="J42" s="49"/>
      <c r="K42" s="49"/>
    </row>
    <row r="43" spans="1:11" s="8" customFormat="1" ht="14.4" x14ac:dyDescent="0.3">
      <c r="D43" s="14"/>
      <c r="E43" s="9"/>
      <c r="F43" s="36"/>
      <c r="G43" s="9"/>
      <c r="H43" s="9"/>
      <c r="I43" s="9"/>
    </row>
    <row r="44" spans="1:11" x14ac:dyDescent="0.35">
      <c r="D44" s="9"/>
      <c r="E44" s="9"/>
      <c r="F44" s="36"/>
      <c r="G44" s="9"/>
      <c r="H44" s="9"/>
      <c r="I44" s="9"/>
    </row>
    <row r="45" spans="1:11" x14ac:dyDescent="0.35">
      <c r="D45" s="8"/>
      <c r="E45" s="8"/>
      <c r="F45" s="35"/>
      <c r="G45" s="8"/>
      <c r="H45" s="8"/>
      <c r="I45" s="8"/>
    </row>
    <row r="46" spans="1:11" x14ac:dyDescent="0.35">
      <c r="D46" s="9"/>
      <c r="E46" s="9"/>
      <c r="F46" s="36"/>
      <c r="G46" s="9"/>
      <c r="H46" s="9"/>
      <c r="I46" s="9"/>
    </row>
    <row r="47" spans="1:11" x14ac:dyDescent="0.35">
      <c r="D47" s="9"/>
      <c r="E47" s="9"/>
      <c r="F47" s="36"/>
      <c r="G47" s="9"/>
      <c r="H47" s="9"/>
      <c r="I47" s="9"/>
    </row>
    <row r="48" spans="1:11" x14ac:dyDescent="0.35">
      <c r="D48" s="9"/>
      <c r="E48" s="9"/>
      <c r="F48" s="36"/>
      <c r="G48" s="9"/>
      <c r="H48" s="9"/>
      <c r="I48" s="9"/>
    </row>
    <row r="49" spans="4:9" x14ac:dyDescent="0.35">
      <c r="D49" s="9"/>
      <c r="E49" s="9"/>
      <c r="F49" s="36"/>
      <c r="G49" s="9"/>
      <c r="H49" s="9"/>
      <c r="I49" s="9"/>
    </row>
    <row r="50" spans="4:9" x14ac:dyDescent="0.35">
      <c r="D50" s="9"/>
      <c r="E50" s="9"/>
      <c r="F50" s="36"/>
      <c r="G50" s="9"/>
      <c r="H50" s="9"/>
      <c r="I50" s="9"/>
    </row>
    <row r="51" spans="4:9" x14ac:dyDescent="0.35">
      <c r="D51" s="9"/>
      <c r="E51" s="9"/>
      <c r="F51" s="36"/>
      <c r="G51" s="9"/>
      <c r="H51" s="9"/>
      <c r="I51" s="9"/>
    </row>
    <row r="52" spans="4:9" x14ac:dyDescent="0.35">
      <c r="D52" s="14"/>
      <c r="E52" s="9"/>
      <c r="F52" s="36"/>
      <c r="G52" s="9"/>
      <c r="H52" s="9"/>
      <c r="I52" s="9"/>
    </row>
    <row r="53" spans="4:9" x14ac:dyDescent="0.35">
      <c r="D53" s="9"/>
      <c r="E53" s="9"/>
      <c r="F53" s="36"/>
      <c r="G53" s="9"/>
      <c r="H53" s="9"/>
      <c r="I53" s="9"/>
    </row>
    <row r="55" spans="4:9" x14ac:dyDescent="0.35">
      <c r="D55" s="1"/>
      <c r="E55" s="1"/>
      <c r="F55" s="33"/>
      <c r="G55" s="1"/>
      <c r="H55" s="1"/>
      <c r="I55" s="1"/>
    </row>
    <row r="70" spans="4:9" x14ac:dyDescent="0.35">
      <c r="D70" s="9"/>
      <c r="E70" s="9"/>
      <c r="F70" s="36"/>
      <c r="G70" s="9"/>
      <c r="H70" s="9"/>
      <c r="I70" s="9"/>
    </row>
    <row r="71" spans="4:9" x14ac:dyDescent="0.35">
      <c r="D71" s="9"/>
      <c r="E71" s="9"/>
      <c r="F71" s="36"/>
      <c r="G71" s="9"/>
      <c r="H71" s="9"/>
      <c r="I71" s="9"/>
    </row>
    <row r="72" spans="4:9" x14ac:dyDescent="0.35">
      <c r="D72" s="9"/>
      <c r="E72" s="9"/>
      <c r="F72" s="36"/>
      <c r="G72" s="9"/>
      <c r="H72" s="9"/>
      <c r="I72" s="9"/>
    </row>
    <row r="73" spans="4:9" x14ac:dyDescent="0.35">
      <c r="D73" s="14"/>
      <c r="E73" s="9"/>
      <c r="F73" s="36"/>
      <c r="G73" s="9"/>
      <c r="H73" s="9"/>
      <c r="I73" s="9"/>
    </row>
    <row r="74" spans="4:9" x14ac:dyDescent="0.35">
      <c r="D74" s="9"/>
      <c r="E74" s="9"/>
      <c r="F74" s="36"/>
      <c r="G74" s="9"/>
      <c r="H74" s="9"/>
      <c r="I74" s="9"/>
    </row>
  </sheetData>
  <sortState ref="A7:I25">
    <sortCondition ref="A6"/>
  </sortState>
  <customSheetViews>
    <customSheetView guid="{744BB052-D863-41D2-951C-2AB325855A97}" showPageBreaks="1" printArea="1" topLeftCell="A10">
      <selection activeCell="I22" sqref="I22:J22"/>
      <rowBreaks count="1" manualBreakCount="1">
        <brk id="41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C9" sqref="C9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C9" sqref="C9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C9" sqref="C9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C9" sqref="C9"/>
      <rowBreaks count="1" manualBreakCount="1">
        <brk id="37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8:L31">
    <cfRule type="containsText" dxfId="20" priority="1" operator="containsText" text="No Post">
      <formula>NOT(ISERROR(SEARCH("No Post",L8)))</formula>
    </cfRule>
  </conditionalFormatting>
  <pageMargins left="0.17" right="0.17" top="0.75" bottom="0.75" header="0.3" footer="0.3"/>
  <pageSetup scale="64" orientation="landscape" r:id="rId6"/>
  <rowBreaks count="1" manualBreakCount="1">
    <brk id="41" min="3" max="10" man="1"/>
  </rowBreaks>
  <colBreaks count="1" manualBreakCount="1">
    <brk id="13" max="30" man="1"/>
  </colBreaks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2"/>
  <sheetViews>
    <sheetView zoomScaleNormal="100" zoomScaleSheetLayoutView="100" workbookViewId="0">
      <selection activeCell="D20" sqref="D20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7.6640625" style="4" customWidth="1"/>
    <col min="4" max="4" width="14.33203125" style="39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2"/>
      <c r="E2" s="5"/>
      <c r="F2" s="5"/>
    </row>
    <row r="4" spans="1:10" s="1" customFormat="1" thickBot="1" x14ac:dyDescent="0.4">
      <c r="D4" s="33"/>
    </row>
    <row r="5" spans="1:10" s="2" customFormat="1" ht="23.4" x14ac:dyDescent="0.45">
      <c r="A5" s="379" t="s">
        <v>352</v>
      </c>
      <c r="B5" s="380"/>
      <c r="C5" s="380"/>
      <c r="D5" s="380"/>
      <c r="E5" s="380"/>
      <c r="F5" s="380"/>
      <c r="G5" s="380"/>
      <c r="H5" s="24" t="s">
        <v>18</v>
      </c>
      <c r="I5" s="25" t="str">
        <f ca="1">CONCATENATE((MID(CELL("filename",I5),FIND("]",CELL("filename",I5))+1,255)),"/04/2026")</f>
        <v>11/04/2026</v>
      </c>
    </row>
    <row r="6" spans="1:10" x14ac:dyDescent="0.35">
      <c r="A6" s="54"/>
      <c r="B6" s="52" t="s">
        <v>1</v>
      </c>
      <c r="C6" s="52" t="s">
        <v>2</v>
      </c>
      <c r="D6" s="53" t="s">
        <v>21</v>
      </c>
      <c r="E6" s="52" t="s">
        <v>16</v>
      </c>
      <c r="F6" s="52" t="s">
        <v>17</v>
      </c>
      <c r="G6" s="52" t="s">
        <v>3</v>
      </c>
      <c r="H6" s="54" t="s">
        <v>20</v>
      </c>
      <c r="I6" s="54" t="s">
        <v>4</v>
      </c>
    </row>
    <row r="7" spans="1:10" x14ac:dyDescent="0.35">
      <c r="A7" s="54">
        <v>1</v>
      </c>
      <c r="B7" s="54" t="s">
        <v>23</v>
      </c>
      <c r="C7" s="46" t="s">
        <v>46</v>
      </c>
      <c r="D7" s="62">
        <v>46128</v>
      </c>
      <c r="E7" s="54">
        <v>2</v>
      </c>
      <c r="F7" s="54"/>
      <c r="G7" s="54"/>
      <c r="H7" s="54"/>
      <c r="I7" s="46" t="s">
        <v>24</v>
      </c>
      <c r="J7" s="79" t="s">
        <v>67</v>
      </c>
    </row>
    <row r="8" spans="1:10" x14ac:dyDescent="0.35">
      <c r="A8" s="54">
        <v>2</v>
      </c>
      <c r="B8" s="171">
        <v>626</v>
      </c>
      <c r="C8" s="202" t="s">
        <v>73</v>
      </c>
      <c r="D8" s="62">
        <v>46127</v>
      </c>
      <c r="E8" s="54">
        <v>2</v>
      </c>
      <c r="F8" s="54"/>
      <c r="G8" s="54"/>
      <c r="H8" s="98" t="s">
        <v>170</v>
      </c>
      <c r="I8" s="46" t="s">
        <v>44</v>
      </c>
      <c r="J8" s="79" t="str">
        <f>IF(OR(NOT(ISERROR(MATCH(RIGHT(B8,3)+0,#REF!,0))),NOT(ISERROR(MATCH(LEFT(B8,3)+0,#REF!,0)))),"No Post","")</f>
        <v/>
      </c>
    </row>
    <row r="9" spans="1:10" x14ac:dyDescent="0.35">
      <c r="A9" s="54">
        <v>3</v>
      </c>
      <c r="B9" s="171">
        <v>627</v>
      </c>
      <c r="C9" s="202" t="s">
        <v>74</v>
      </c>
      <c r="D9" s="62">
        <v>46127</v>
      </c>
      <c r="E9" s="54">
        <v>2</v>
      </c>
      <c r="F9" s="54"/>
      <c r="G9" s="54"/>
      <c r="H9" s="98" t="s">
        <v>170</v>
      </c>
      <c r="I9" s="46" t="s">
        <v>44</v>
      </c>
      <c r="J9" s="79" t="str">
        <f>IF(OR(NOT(ISERROR(MATCH(RIGHT(B9,3)+0,#REF!,0))),NOT(ISERROR(MATCH(LEFT(B9,3)+0,#REF!,0)))),"No Post","")</f>
        <v/>
      </c>
    </row>
    <row r="10" spans="1:10" x14ac:dyDescent="0.35">
      <c r="A10" s="54">
        <v>4</v>
      </c>
      <c r="B10" s="171">
        <v>819</v>
      </c>
      <c r="C10" s="46" t="s">
        <v>85</v>
      </c>
      <c r="D10" s="62">
        <v>46127</v>
      </c>
      <c r="E10" s="54">
        <v>2</v>
      </c>
      <c r="F10" s="54"/>
      <c r="G10" s="54"/>
      <c r="H10" s="105" t="s">
        <v>124</v>
      </c>
      <c r="I10" s="46" t="s">
        <v>24</v>
      </c>
      <c r="J10" s="79" t="s">
        <v>92</v>
      </c>
    </row>
    <row r="11" spans="1:10" x14ac:dyDescent="0.35">
      <c r="A11" s="54">
        <v>5</v>
      </c>
      <c r="B11" s="171">
        <v>607</v>
      </c>
      <c r="C11" s="46" t="s">
        <v>86</v>
      </c>
      <c r="D11" s="62">
        <v>46127</v>
      </c>
      <c r="E11" s="54">
        <v>2</v>
      </c>
      <c r="F11" s="54"/>
      <c r="G11" s="54"/>
      <c r="H11" s="105" t="s">
        <v>124</v>
      </c>
      <c r="I11" s="46" t="s">
        <v>24</v>
      </c>
      <c r="J11" s="79" t="s">
        <v>92</v>
      </c>
    </row>
    <row r="12" spans="1:10" x14ac:dyDescent="0.35">
      <c r="A12" s="54">
        <v>6</v>
      </c>
      <c r="B12" s="171">
        <v>619</v>
      </c>
      <c r="C12" s="46" t="s">
        <v>259</v>
      </c>
      <c r="D12" s="62">
        <v>46121</v>
      </c>
      <c r="E12" s="54">
        <v>2</v>
      </c>
      <c r="F12" s="54">
        <v>2</v>
      </c>
      <c r="G12" s="54"/>
      <c r="H12" s="105" t="s">
        <v>124</v>
      </c>
      <c r="I12" s="46" t="s">
        <v>297</v>
      </c>
      <c r="J12" s="79" t="str">
        <f>IF(OR(NOT(ISERROR(MATCH(RIGHT(B12,3)+0,#REF!,0))),NOT(ISERROR(MATCH(LEFT(B12,3)+0,#REF!,0)))),"No Post","")</f>
        <v/>
      </c>
    </row>
    <row r="13" spans="1:10" x14ac:dyDescent="0.35">
      <c r="A13" s="54">
        <v>7</v>
      </c>
      <c r="B13" s="54">
        <v>217</v>
      </c>
      <c r="C13" s="46" t="s">
        <v>319</v>
      </c>
      <c r="D13" s="62">
        <v>46121</v>
      </c>
      <c r="E13" s="54">
        <v>3</v>
      </c>
      <c r="F13" s="54">
        <v>2</v>
      </c>
      <c r="G13" s="54"/>
      <c r="H13" s="105" t="s">
        <v>124</v>
      </c>
      <c r="I13" s="46" t="s">
        <v>130</v>
      </c>
      <c r="J13" s="79" t="str">
        <f>IF(OR(NOT(ISERROR(MATCH(RIGHT(B13,3)+0,#REF!,0))),NOT(ISERROR(MATCH(LEFT(B13,3)+0,#REF!,0)))),"No Post","")</f>
        <v/>
      </c>
    </row>
    <row r="14" spans="1:10" x14ac:dyDescent="0.35">
      <c r="A14" s="54">
        <v>9</v>
      </c>
      <c r="B14" s="171" t="s">
        <v>384</v>
      </c>
      <c r="C14" s="46" t="s">
        <v>337</v>
      </c>
      <c r="D14" s="62">
        <v>46123</v>
      </c>
      <c r="E14" s="54">
        <v>2</v>
      </c>
      <c r="F14" s="54"/>
      <c r="G14" s="54"/>
      <c r="H14" s="98" t="s">
        <v>170</v>
      </c>
      <c r="I14" s="46" t="s">
        <v>336</v>
      </c>
      <c r="J14" s="79" t="str">
        <f>IF(OR(NOT(ISERROR(MATCH(RIGHT(B14,3)+0,#REF!,0))),NOT(ISERROR(MATCH(LEFT(B14,3)+0,#REF!,0)))),"No Post","")</f>
        <v/>
      </c>
    </row>
    <row r="15" spans="1:10" x14ac:dyDescent="0.35">
      <c r="A15" s="54">
        <v>10</v>
      </c>
      <c r="B15" s="171" t="s">
        <v>385</v>
      </c>
      <c r="C15" s="46" t="s">
        <v>341</v>
      </c>
      <c r="D15" s="62">
        <v>46123</v>
      </c>
      <c r="E15" s="54">
        <v>2</v>
      </c>
      <c r="F15" s="54"/>
      <c r="G15" s="46">
        <v>56.76</v>
      </c>
      <c r="H15" s="99" t="s">
        <v>125</v>
      </c>
      <c r="I15" s="46" t="s">
        <v>336</v>
      </c>
      <c r="J15" s="79" t="str">
        <f>IF(OR(NOT(ISERROR(MATCH(RIGHT(B15,3)+0,#REF!,0))),NOT(ISERROR(MATCH(LEFT(B15,3)+0,#REF!,0)))),"No Post","")</f>
        <v/>
      </c>
    </row>
    <row r="16" spans="1:10" ht="18.600000000000001" customHeight="1" x14ac:dyDescent="0.35">
      <c r="A16" s="54">
        <v>11</v>
      </c>
      <c r="B16" s="239" t="s">
        <v>386</v>
      </c>
      <c r="C16" s="46" t="s">
        <v>340</v>
      </c>
      <c r="D16" s="48">
        <v>46122</v>
      </c>
      <c r="E16" s="46">
        <v>2</v>
      </c>
      <c r="F16" s="46"/>
      <c r="G16" s="46">
        <v>56.76</v>
      </c>
      <c r="H16" s="99" t="s">
        <v>125</v>
      </c>
      <c r="I16" s="46" t="s">
        <v>164</v>
      </c>
      <c r="J16" s="79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4">
        <v>12</v>
      </c>
      <c r="B17" s="239">
        <v>307</v>
      </c>
      <c r="C17" s="46" t="s">
        <v>350</v>
      </c>
      <c r="D17" s="48">
        <v>46125</v>
      </c>
      <c r="E17" s="46">
        <v>2</v>
      </c>
      <c r="F17" s="46"/>
      <c r="G17" s="46"/>
      <c r="H17" s="98" t="s">
        <v>170</v>
      </c>
      <c r="I17" s="47" t="s">
        <v>349</v>
      </c>
      <c r="J17" s="79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4">
        <v>13</v>
      </c>
      <c r="B18" s="239">
        <v>649</v>
      </c>
      <c r="C18" s="46" t="s">
        <v>351</v>
      </c>
      <c r="D18" s="48">
        <v>46127</v>
      </c>
      <c r="E18" s="46">
        <v>3</v>
      </c>
      <c r="F18" s="46"/>
      <c r="G18" s="46"/>
      <c r="H18" s="105" t="s">
        <v>124</v>
      </c>
      <c r="I18" s="47" t="s">
        <v>164</v>
      </c>
      <c r="J18" s="79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4"/>
      <c r="B19" s="239">
        <v>820</v>
      </c>
      <c r="C19" s="46"/>
      <c r="D19" s="48"/>
      <c r="E19" s="46"/>
      <c r="F19" s="46"/>
      <c r="G19" s="46"/>
      <c r="H19" s="238" t="s">
        <v>132</v>
      </c>
      <c r="I19" s="47"/>
      <c r="J19" s="79"/>
    </row>
    <row r="20" spans="1:10" ht="18.600000000000001" customHeight="1" x14ac:dyDescent="0.35">
      <c r="A20" s="54">
        <v>14</v>
      </c>
      <c r="B20" s="46"/>
      <c r="C20" s="144" t="s">
        <v>321</v>
      </c>
      <c r="D20" s="48"/>
      <c r="E20" s="46"/>
      <c r="F20" s="46"/>
      <c r="G20" s="46"/>
      <c r="H20" s="47"/>
      <c r="I20" s="47"/>
      <c r="J20" s="79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4">
        <v>15</v>
      </c>
      <c r="B21" s="46"/>
      <c r="C21" s="46"/>
      <c r="D21" s="48"/>
      <c r="E21" s="46"/>
      <c r="F21" s="46"/>
      <c r="G21" s="46"/>
      <c r="H21" s="47"/>
      <c r="I21" s="47"/>
      <c r="J21" s="79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4">
        <v>16</v>
      </c>
      <c r="B22" s="46"/>
      <c r="C22" s="46"/>
      <c r="D22" s="48"/>
      <c r="E22" s="46"/>
      <c r="F22" s="46"/>
      <c r="G22" s="46"/>
      <c r="H22" s="47"/>
      <c r="I22" s="47"/>
      <c r="J22" s="79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4">
        <v>17</v>
      </c>
      <c r="B23" s="46"/>
      <c r="C23" s="46"/>
      <c r="D23" s="48"/>
      <c r="E23" s="46"/>
      <c r="F23" s="46"/>
      <c r="G23" s="46"/>
      <c r="H23" s="47"/>
      <c r="I23" s="47"/>
      <c r="J23" s="79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4">
        <v>18</v>
      </c>
      <c r="B24" s="46"/>
      <c r="C24" s="46"/>
      <c r="D24" s="48"/>
      <c r="E24" s="46"/>
      <c r="F24" s="46"/>
      <c r="G24" s="46"/>
      <c r="H24" s="47"/>
      <c r="I24" s="47"/>
      <c r="J24" s="79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4">
        <v>19</v>
      </c>
      <c r="B25" s="46"/>
      <c r="C25" s="46"/>
      <c r="D25" s="48"/>
      <c r="E25" s="46"/>
      <c r="F25" s="46"/>
      <c r="G25" s="46"/>
      <c r="H25" s="47"/>
      <c r="I25" s="47"/>
      <c r="J25" s="79" t="str">
        <f>IF(OR(NOT(ISERROR(MATCH(RIGHT(B25,3)+0,#REF!,0))),NOT(ISERROR(MATCH(LEFT(B25,3)+0,#REF!,0)))),"No Post","")</f>
        <v/>
      </c>
    </row>
    <row r="26" spans="1:10" s="26" customFormat="1" ht="18.600000000000001" customHeight="1" x14ac:dyDescent="0.4">
      <c r="A26" s="54">
        <v>20</v>
      </c>
      <c r="B26" s="46"/>
      <c r="C26" s="47"/>
      <c r="D26" s="48"/>
      <c r="E26" s="46"/>
      <c r="F26" s="46"/>
      <c r="G26" s="46"/>
      <c r="H26" s="47"/>
      <c r="I26" s="47"/>
      <c r="J26" s="79" t="str">
        <f>IF(OR(NOT(ISERROR(MATCH(RIGHT(B26,3)+0,#REF!,0))),NOT(ISERROR(MATCH(LEFT(B26,3)+0,#REF!,0)))),"No Post","")</f>
        <v/>
      </c>
    </row>
    <row r="27" spans="1:10" ht="20.25" customHeight="1" x14ac:dyDescent="0.35">
      <c r="A27" s="49"/>
      <c r="B27" s="49"/>
      <c r="C27" s="49" t="str">
        <f>"Remaning: "&amp;IFERROR(MID(A5, SEARCH("MAX", A5) + LEN("MAX"), SEARCH("PAX", A5) - SEARCH("MAX", A5) - LEN("MAX")), "")+0-SUM(E27:F27)</f>
        <v>Remaning: 0</v>
      </c>
      <c r="D27" s="50" t="s">
        <v>19</v>
      </c>
      <c r="E27" s="51">
        <f>SUM(E7:E26)</f>
        <v>26</v>
      </c>
      <c r="F27" s="51">
        <f>SUM(F7:F26)</f>
        <v>4</v>
      </c>
      <c r="G27" s="49"/>
      <c r="H27" s="49"/>
      <c r="I27" s="49"/>
    </row>
    <row r="28" spans="1:10" ht="20.25" customHeight="1" x14ac:dyDescent="0.35">
      <c r="B28" s="8" t="s">
        <v>5</v>
      </c>
      <c r="C28" s="8"/>
      <c r="D28" s="35"/>
      <c r="E28" s="8"/>
      <c r="F28" s="8"/>
      <c r="G28" s="8"/>
    </row>
    <row r="29" spans="1:10" ht="20.25" customHeight="1" x14ac:dyDescent="0.35">
      <c r="B29" s="15" t="s">
        <v>6</v>
      </c>
      <c r="C29" s="9"/>
      <c r="D29" s="36"/>
      <c r="E29" s="9"/>
      <c r="F29" s="9"/>
      <c r="G29" s="9"/>
    </row>
    <row r="30" spans="1:10" ht="20.25" customHeight="1" x14ac:dyDescent="0.35">
      <c r="B30" s="15" t="s">
        <v>7</v>
      </c>
      <c r="C30" s="9"/>
      <c r="D30" s="36"/>
      <c r="E30" s="9"/>
      <c r="F30" s="9"/>
      <c r="G30" s="9"/>
    </row>
    <row r="31" spans="1:10" ht="20.25" customHeight="1" x14ac:dyDescent="0.35">
      <c r="B31" s="15" t="s">
        <v>8</v>
      </c>
      <c r="C31" s="9"/>
      <c r="D31" s="36"/>
      <c r="E31" s="9"/>
      <c r="F31" s="9"/>
      <c r="G31" s="9"/>
    </row>
    <row r="32" spans="1:10" x14ac:dyDescent="0.35">
      <c r="B32" s="15" t="s">
        <v>9</v>
      </c>
      <c r="C32" s="9"/>
      <c r="D32" s="36"/>
      <c r="E32" s="9"/>
      <c r="F32" s="9"/>
      <c r="G32" s="9"/>
    </row>
    <row r="33" spans="2:7" x14ac:dyDescent="0.35">
      <c r="B33" s="15" t="s">
        <v>10</v>
      </c>
      <c r="C33" s="9"/>
      <c r="D33" s="36"/>
      <c r="E33" s="9"/>
      <c r="F33" s="9"/>
      <c r="G33" s="9"/>
    </row>
    <row r="34" spans="2:7" x14ac:dyDescent="0.35">
      <c r="B34" s="15" t="s">
        <v>11</v>
      </c>
      <c r="C34" s="9"/>
      <c r="D34" s="36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7"/>
      <c r="E35" s="10"/>
      <c r="F35" s="10"/>
    </row>
    <row r="36" spans="2:7" s="11" customFormat="1" ht="15.6" x14ac:dyDescent="0.3">
      <c r="B36" s="16" t="s">
        <v>13</v>
      </c>
      <c r="C36" s="10"/>
      <c r="D36" s="37"/>
      <c r="E36" s="10"/>
      <c r="F36" s="10"/>
    </row>
    <row r="37" spans="2:7" s="13" customFormat="1" ht="20.25" customHeight="1" x14ac:dyDescent="0.35">
      <c r="B37" s="17" t="s">
        <v>14</v>
      </c>
      <c r="C37" s="12"/>
      <c r="D37" s="38"/>
    </row>
    <row r="38" spans="2:7" s="8" customFormat="1" ht="14.4" x14ac:dyDescent="0.3">
      <c r="B38" s="14"/>
      <c r="C38" s="9"/>
      <c r="D38" s="36"/>
      <c r="E38" s="9"/>
      <c r="F38" s="9"/>
      <c r="G38" s="9"/>
    </row>
    <row r="39" spans="2:7" s="13" customFormat="1" ht="20.25" customHeight="1" x14ac:dyDescent="0.35">
      <c r="B39" s="17" t="s">
        <v>14</v>
      </c>
      <c r="C39" s="12"/>
      <c r="D39" s="38"/>
    </row>
    <row r="40" spans="2:7" s="8" customFormat="1" ht="14.4" x14ac:dyDescent="0.3">
      <c r="B40" s="14"/>
      <c r="C40" s="9"/>
      <c r="D40" s="36"/>
      <c r="E40" s="9"/>
      <c r="F40" s="9"/>
      <c r="G40" s="9"/>
    </row>
    <row r="41" spans="2:7" s="9" customFormat="1" ht="13.8" x14ac:dyDescent="0.3">
      <c r="D41" s="36"/>
    </row>
    <row r="42" spans="2:7" x14ac:dyDescent="0.35">
      <c r="B42" s="9"/>
      <c r="C42" s="9"/>
      <c r="D42" s="36"/>
      <c r="E42" s="9"/>
      <c r="F42" s="9"/>
      <c r="G42" s="9"/>
    </row>
    <row r="43" spans="2:7" x14ac:dyDescent="0.35">
      <c r="B43" s="8"/>
      <c r="C43" s="8"/>
      <c r="D43" s="35"/>
      <c r="E43" s="8"/>
      <c r="F43" s="8"/>
      <c r="G43" s="8"/>
    </row>
    <row r="44" spans="2:7" x14ac:dyDescent="0.35">
      <c r="B44" s="9"/>
      <c r="C44" s="9"/>
      <c r="D44" s="36"/>
      <c r="E44" s="9"/>
      <c r="F44" s="9"/>
      <c r="G44" s="9"/>
    </row>
    <row r="45" spans="2:7" x14ac:dyDescent="0.35">
      <c r="B45" s="9"/>
      <c r="C45" s="9"/>
      <c r="D45" s="36"/>
      <c r="E45" s="9"/>
      <c r="F45" s="9"/>
      <c r="G45" s="9"/>
    </row>
    <row r="46" spans="2:7" x14ac:dyDescent="0.35">
      <c r="B46" s="9"/>
      <c r="C46" s="9"/>
      <c r="D46" s="36"/>
      <c r="E46" s="9"/>
      <c r="F46" s="9"/>
      <c r="G46" s="9"/>
    </row>
    <row r="47" spans="2:7" x14ac:dyDescent="0.35">
      <c r="B47" s="9"/>
      <c r="C47" s="9"/>
      <c r="D47" s="36"/>
      <c r="E47" s="9"/>
      <c r="F47" s="9"/>
      <c r="G47" s="9"/>
    </row>
    <row r="48" spans="2:7" x14ac:dyDescent="0.35">
      <c r="B48" s="9"/>
      <c r="C48" s="9"/>
      <c r="D48" s="36"/>
      <c r="E48" s="9"/>
      <c r="F48" s="9"/>
      <c r="G48" s="9"/>
    </row>
    <row r="49" spans="2:7" x14ac:dyDescent="0.35">
      <c r="B49" s="9"/>
      <c r="C49" s="9"/>
      <c r="D49" s="36"/>
      <c r="E49" s="9"/>
      <c r="F49" s="9"/>
      <c r="G49" s="9"/>
    </row>
    <row r="50" spans="2:7" x14ac:dyDescent="0.35">
      <c r="B50" s="14"/>
      <c r="C50" s="9"/>
      <c r="D50" s="36"/>
      <c r="E50" s="9"/>
      <c r="F50" s="9"/>
      <c r="G50" s="9"/>
    </row>
    <row r="51" spans="2:7" x14ac:dyDescent="0.35">
      <c r="B51" s="9"/>
      <c r="C51" s="9"/>
      <c r="D51" s="36"/>
      <c r="E51" s="9"/>
      <c r="F51" s="9"/>
      <c r="G51" s="9"/>
    </row>
    <row r="53" spans="2:7" x14ac:dyDescent="0.35">
      <c r="B53" s="1"/>
      <c r="C53" s="1"/>
      <c r="D53" s="33"/>
      <c r="E53" s="1"/>
      <c r="F53" s="1"/>
      <c r="G53" s="1"/>
    </row>
    <row r="68" spans="2:7" x14ac:dyDescent="0.35">
      <c r="B68" s="9"/>
      <c r="C68" s="9"/>
      <c r="D68" s="36"/>
      <c r="E68" s="9"/>
      <c r="F68" s="9"/>
      <c r="G68" s="9"/>
    </row>
    <row r="69" spans="2:7" x14ac:dyDescent="0.35">
      <c r="B69" s="9"/>
      <c r="C69" s="9"/>
      <c r="D69" s="36"/>
      <c r="E69" s="9"/>
      <c r="F69" s="9"/>
      <c r="G69" s="9"/>
    </row>
    <row r="70" spans="2:7" x14ac:dyDescent="0.35">
      <c r="B70" s="9"/>
      <c r="C70" s="9"/>
      <c r="D70" s="36"/>
      <c r="E70" s="9"/>
      <c r="F70" s="9"/>
      <c r="G70" s="9"/>
    </row>
    <row r="71" spans="2:7" x14ac:dyDescent="0.35">
      <c r="B71" s="14"/>
      <c r="C71" s="9"/>
      <c r="D71" s="36"/>
      <c r="E71" s="9"/>
      <c r="F71" s="9"/>
      <c r="G71" s="9"/>
    </row>
    <row r="72" spans="2:7" x14ac:dyDescent="0.35">
      <c r="B72" s="9"/>
      <c r="C72" s="9"/>
      <c r="D72" s="36"/>
      <c r="E72" s="9"/>
      <c r="F72" s="9"/>
      <c r="G72" s="9"/>
    </row>
  </sheetData>
  <customSheetViews>
    <customSheetView guid="{744BB052-D863-41D2-951C-2AB325855A97}" showPageBreaks="1" printArea="1">
      <selection activeCell="D20" sqref="D20"/>
      <rowBreaks count="1" manualBreakCount="1">
        <brk id="40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I16" sqref="I16"/>
      <rowBreaks count="1" manualBreakCount="1">
        <brk id="40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I16" sqref="I16"/>
      <rowBreaks count="1" manualBreakCount="1">
        <brk id="40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 topLeftCell="A10">
      <selection activeCell="C24" sqref="C24"/>
      <rowBreaks count="1" manualBreakCount="1">
        <brk id="40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B8" sqref="B8:I9"/>
      <rowBreaks count="1" manualBreakCount="1">
        <brk id="40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G5"/>
  </mergeCells>
  <conditionalFormatting sqref="J7:J26">
    <cfRule type="containsText" dxfId="19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6"/>
  <rowBreaks count="1" manualBreakCount="1">
    <brk id="40" min="1" max="8" man="1"/>
  </rowBreaks>
  <colBreaks count="1" manualBreakCount="1">
    <brk id="11" max="30" man="1"/>
  </colBrea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7"/>
  <sheetViews>
    <sheetView zoomScaleNormal="100" zoomScaleSheetLayoutView="100" workbookViewId="0">
      <selection activeCell="E25" sqref="E25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109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  <c r="J4" s="244"/>
    </row>
    <row r="5" spans="1:12" s="2" customFormat="1" ht="23.4" x14ac:dyDescent="0.45">
      <c r="A5" s="381" t="s">
        <v>371</v>
      </c>
      <c r="B5" s="382"/>
      <c r="C5" s="382"/>
      <c r="D5" s="383"/>
      <c r="E5" s="383"/>
      <c r="F5" s="383"/>
      <c r="G5" s="383"/>
      <c r="H5" s="383"/>
      <c r="I5" s="383"/>
      <c r="J5" s="245" t="s">
        <v>18</v>
      </c>
      <c r="K5" s="28" t="str">
        <f ca="1">CONCATENATE((MID(CELL("filename",K5),FIND("]",CELL("filename",K5))+1,255)),"/04/2026")</f>
        <v>12/04/2026</v>
      </c>
    </row>
    <row r="6" spans="1:12" x14ac:dyDescent="0.35">
      <c r="A6" s="45"/>
      <c r="B6" s="251"/>
      <c r="C6" s="251"/>
      <c r="D6" s="52" t="s">
        <v>1</v>
      </c>
      <c r="E6" s="52" t="s">
        <v>2</v>
      </c>
      <c r="F6" s="53" t="s">
        <v>21</v>
      </c>
      <c r="G6" s="52" t="s">
        <v>16</v>
      </c>
      <c r="H6" s="52" t="s">
        <v>17</v>
      </c>
      <c r="I6" s="52" t="s">
        <v>3</v>
      </c>
      <c r="J6" s="46" t="s">
        <v>20</v>
      </c>
      <c r="K6" s="55" t="s">
        <v>4</v>
      </c>
    </row>
    <row r="7" spans="1:12" x14ac:dyDescent="0.35">
      <c r="A7" s="54">
        <v>1</v>
      </c>
      <c r="B7" s="252"/>
      <c r="C7" s="252"/>
      <c r="D7" s="250">
        <v>326</v>
      </c>
      <c r="E7" s="237" t="s">
        <v>69</v>
      </c>
      <c r="F7" s="62">
        <v>46127</v>
      </c>
      <c r="G7" s="54">
        <v>2</v>
      </c>
      <c r="H7" s="54"/>
      <c r="I7" s="54"/>
      <c r="J7" s="250" t="s">
        <v>170</v>
      </c>
      <c r="K7" s="54" t="s">
        <v>44</v>
      </c>
      <c r="L7" s="79" t="s">
        <v>67</v>
      </c>
    </row>
    <row r="8" spans="1:12" x14ac:dyDescent="0.35">
      <c r="A8" s="54">
        <v>3</v>
      </c>
      <c r="B8" s="54"/>
      <c r="C8" s="54"/>
      <c r="D8" s="98">
        <v>327</v>
      </c>
      <c r="E8" s="78" t="s">
        <v>354</v>
      </c>
      <c r="F8" s="62">
        <v>46125</v>
      </c>
      <c r="G8" s="54">
        <v>2</v>
      </c>
      <c r="H8" s="54"/>
      <c r="I8" s="54"/>
      <c r="J8" s="98" t="s">
        <v>170</v>
      </c>
      <c r="K8" s="54" t="s">
        <v>297</v>
      </c>
      <c r="L8" s="79" t="str">
        <f>IF(OR(NOT(ISERROR(MATCH(RIGHT(D8,3)+0,#REF!,0))),NOT(ISERROR(MATCH(LEFT(D8,3)+0,#REF!,0)))),"No Post","")</f>
        <v/>
      </c>
    </row>
    <row r="9" spans="1:12" x14ac:dyDescent="0.35">
      <c r="A9" s="54">
        <v>4</v>
      </c>
      <c r="B9" s="171"/>
      <c r="C9" s="171"/>
      <c r="D9" s="100">
        <v>213</v>
      </c>
      <c r="E9" s="78" t="s">
        <v>356</v>
      </c>
      <c r="F9" s="62">
        <v>46128</v>
      </c>
      <c r="G9" s="54">
        <v>2</v>
      </c>
      <c r="H9" s="54"/>
      <c r="I9" s="54"/>
      <c r="J9" s="100" t="s">
        <v>132</v>
      </c>
      <c r="K9" s="54" t="s">
        <v>297</v>
      </c>
      <c r="L9" s="79" t="str">
        <f>IF(OR(NOT(ISERROR(MATCH(RIGHT(D9,3)+0,#REF!,0))),NOT(ISERROR(MATCH(LEFT(D9,3)+0,#REF!,0)))),"No Post","")</f>
        <v/>
      </c>
    </row>
    <row r="10" spans="1:12" x14ac:dyDescent="0.35">
      <c r="A10" s="54">
        <v>5</v>
      </c>
      <c r="B10" s="171"/>
      <c r="C10" s="171"/>
      <c r="D10" s="100">
        <v>872</v>
      </c>
      <c r="E10" s="78" t="s">
        <v>366</v>
      </c>
      <c r="F10" s="62">
        <v>46125</v>
      </c>
      <c r="G10" s="54">
        <v>2</v>
      </c>
      <c r="H10" s="54"/>
      <c r="I10" s="54"/>
      <c r="J10" s="100" t="s">
        <v>132</v>
      </c>
      <c r="K10" s="54" t="s">
        <v>173</v>
      </c>
      <c r="L10" s="79" t="str">
        <f>IF(OR(NOT(ISERROR(MATCH(RIGHT(D10,3)+0,#REF!,0))),NOT(ISERROR(MATCH(LEFT(D10,3)+0,#REF!,0)))),"No Post","")</f>
        <v/>
      </c>
    </row>
    <row r="11" spans="1:12" x14ac:dyDescent="0.35">
      <c r="A11" s="54">
        <v>6</v>
      </c>
      <c r="B11" s="54"/>
      <c r="C11" s="54"/>
      <c r="D11" s="100">
        <v>820</v>
      </c>
      <c r="E11" s="78" t="s">
        <v>367</v>
      </c>
      <c r="F11" s="62">
        <v>46128</v>
      </c>
      <c r="G11" s="54">
        <v>2</v>
      </c>
      <c r="H11" s="54"/>
      <c r="I11" s="54"/>
      <c r="J11" s="100" t="s">
        <v>132</v>
      </c>
      <c r="K11" s="54" t="s">
        <v>364</v>
      </c>
      <c r="L11" s="79" t="str">
        <f>IF(OR(NOT(ISERROR(MATCH(RIGHT(D11,3)+0,#REF!,0))),NOT(ISERROR(MATCH(LEFT(D11,3)+0,#REF!,0)))),"No Post","")</f>
        <v/>
      </c>
    </row>
    <row r="12" spans="1:12" x14ac:dyDescent="0.35">
      <c r="A12" s="54">
        <v>7</v>
      </c>
      <c r="B12" s="171"/>
      <c r="C12" s="171"/>
      <c r="D12" s="99">
        <v>878</v>
      </c>
      <c r="E12" s="78" t="s">
        <v>365</v>
      </c>
      <c r="F12" s="62">
        <v>46124</v>
      </c>
      <c r="G12" s="54">
        <v>2</v>
      </c>
      <c r="H12" s="54"/>
      <c r="I12" s="54"/>
      <c r="J12" s="99" t="s">
        <v>125</v>
      </c>
      <c r="K12" s="54" t="s">
        <v>364</v>
      </c>
      <c r="L12" s="79" t="str">
        <f>IF(OR(NOT(ISERROR(MATCH(RIGHT(D12,3)+0,#REF!,0))),NOT(ISERROR(MATCH(LEFT(D12,3)+0,#REF!,0)))),"No Post","")</f>
        <v/>
      </c>
    </row>
    <row r="13" spans="1:12" x14ac:dyDescent="0.35">
      <c r="A13" s="54">
        <v>8</v>
      </c>
      <c r="B13" s="171"/>
      <c r="C13" s="171"/>
      <c r="D13" s="98" t="s">
        <v>394</v>
      </c>
      <c r="E13" s="78" t="s">
        <v>370</v>
      </c>
      <c r="F13" s="62">
        <v>46124</v>
      </c>
      <c r="G13" s="54">
        <v>2</v>
      </c>
      <c r="H13" s="54"/>
      <c r="I13" s="54"/>
      <c r="J13" s="98" t="s">
        <v>170</v>
      </c>
      <c r="K13" s="54" t="s">
        <v>256</v>
      </c>
      <c r="L13" s="79" t="str">
        <f>IF(OR(NOT(ISERROR(MATCH(RIGHT(D13,3)+0,#REF!,0))),NOT(ISERROR(MATCH(LEFT(D13,3)+0,#REF!,0)))),"No Post","")</f>
        <v/>
      </c>
    </row>
    <row r="14" spans="1:12" x14ac:dyDescent="0.35">
      <c r="A14" s="54">
        <v>10</v>
      </c>
      <c r="B14" s="171"/>
      <c r="C14" s="171"/>
      <c r="D14" s="98" t="s">
        <v>395</v>
      </c>
      <c r="E14" s="47" t="s">
        <v>369</v>
      </c>
      <c r="F14" s="48">
        <v>46124</v>
      </c>
      <c r="G14" s="46">
        <v>2</v>
      </c>
      <c r="H14" s="46"/>
      <c r="I14" s="46"/>
      <c r="J14" s="98" t="s">
        <v>170</v>
      </c>
      <c r="K14" s="47" t="s">
        <v>336</v>
      </c>
      <c r="L14" s="79" t="str">
        <f>IF(OR(NOT(ISERROR(MATCH(RIGHT(D14,3)+0,#REF!,0))),NOT(ISERROR(MATCH(LEFT(D14,3)+0,#REF!,0)))),"No Post","")</f>
        <v/>
      </c>
    </row>
    <row r="15" spans="1:12" ht="18.600000000000001" customHeight="1" x14ac:dyDescent="0.35">
      <c r="A15" s="54">
        <v>11</v>
      </c>
      <c r="B15" s="171"/>
      <c r="C15" s="171"/>
      <c r="D15" s="97">
        <v>871</v>
      </c>
      <c r="E15" s="47" t="s">
        <v>373</v>
      </c>
      <c r="F15" s="48">
        <v>46128</v>
      </c>
      <c r="G15" s="46">
        <v>2</v>
      </c>
      <c r="H15" s="46"/>
      <c r="I15" s="46"/>
      <c r="J15" s="97" t="s">
        <v>124</v>
      </c>
      <c r="K15" s="47" t="s">
        <v>372</v>
      </c>
      <c r="L15" s="79" t="str">
        <f>IF(OR(NOT(ISERROR(MATCH(RIGHT(D15,3)+0,#REF!,0))),NOT(ISERROR(MATCH(LEFT(D15,3)+0,#REF!,0)))),"No Post","")</f>
        <v/>
      </c>
    </row>
    <row r="16" spans="1:12" ht="18.600000000000001" customHeight="1" x14ac:dyDescent="0.35">
      <c r="A16" s="54">
        <v>12</v>
      </c>
      <c r="B16" s="171"/>
      <c r="C16" s="171"/>
      <c r="D16" s="98">
        <v>860</v>
      </c>
      <c r="E16" s="47" t="s">
        <v>377</v>
      </c>
      <c r="F16" s="48">
        <v>46126</v>
      </c>
      <c r="G16" s="46">
        <v>2</v>
      </c>
      <c r="H16" s="46"/>
      <c r="I16" s="46"/>
      <c r="J16" s="98" t="s">
        <v>170</v>
      </c>
      <c r="K16" s="47" t="s">
        <v>231</v>
      </c>
      <c r="L16" s="79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54">
        <v>13</v>
      </c>
      <c r="B17" s="54"/>
      <c r="C17" s="54"/>
      <c r="D17" s="98">
        <v>676</v>
      </c>
      <c r="E17" s="47" t="s">
        <v>380</v>
      </c>
      <c r="F17" s="48">
        <v>46124</v>
      </c>
      <c r="G17" s="46">
        <v>2</v>
      </c>
      <c r="H17" s="46"/>
      <c r="I17" s="46"/>
      <c r="J17" s="98" t="s">
        <v>170</v>
      </c>
      <c r="K17" s="47" t="s">
        <v>336</v>
      </c>
      <c r="L17" s="79" t="str">
        <f>IF(OR(NOT(ISERROR(MATCH(RIGHT(D17,3)+0,#REF!,0))),NOT(ISERROR(MATCH(LEFT(D17,3)+0,#REF!,0)))),"No Post","")</f>
        <v/>
      </c>
    </row>
    <row r="18" spans="1:12" ht="18.600000000000001" customHeight="1" x14ac:dyDescent="0.35">
      <c r="A18" s="54">
        <v>14</v>
      </c>
      <c r="B18" s="171"/>
      <c r="C18" s="171"/>
      <c r="D18" s="98" t="s">
        <v>404</v>
      </c>
      <c r="E18" s="47" t="s">
        <v>381</v>
      </c>
      <c r="F18" s="48">
        <v>46124</v>
      </c>
      <c r="G18" s="46">
        <v>2</v>
      </c>
      <c r="H18" s="46"/>
      <c r="I18" s="46"/>
      <c r="J18" s="98" t="s">
        <v>170</v>
      </c>
      <c r="K18" s="47" t="s">
        <v>336</v>
      </c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15</v>
      </c>
      <c r="B19" s="171"/>
      <c r="C19" s="171"/>
      <c r="D19" s="97">
        <v>652</v>
      </c>
      <c r="E19" s="47" t="s">
        <v>393</v>
      </c>
      <c r="F19" s="48">
        <v>46125</v>
      </c>
      <c r="G19" s="46">
        <v>2</v>
      </c>
      <c r="H19" s="46"/>
      <c r="I19" s="46"/>
      <c r="J19" s="97" t="s">
        <v>124</v>
      </c>
      <c r="K19" s="47" t="s">
        <v>317</v>
      </c>
      <c r="L19" s="79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16</v>
      </c>
      <c r="B20" s="54"/>
      <c r="C20" s="54"/>
      <c r="D20" s="46"/>
      <c r="E20" s="131" t="s">
        <v>321</v>
      </c>
      <c r="F20" s="48"/>
      <c r="G20" s="46"/>
      <c r="H20" s="46"/>
      <c r="I20" s="46"/>
      <c r="J20" s="46"/>
      <c r="K20" s="47"/>
      <c r="L20" s="79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4">
        <v>17</v>
      </c>
      <c r="B21" s="54"/>
      <c r="C21" s="54"/>
      <c r="D21" s="46"/>
      <c r="E21" s="47"/>
      <c r="F21" s="48"/>
      <c r="G21" s="46"/>
      <c r="H21" s="46"/>
      <c r="I21" s="46"/>
      <c r="J21" s="46"/>
      <c r="K21" s="47"/>
      <c r="L21" s="79" t="str">
        <f>IF(OR(NOT(ISERROR(MATCH(RIGHT(D21,3)+0,#REF!,0))),NOT(ISERROR(MATCH(LEFT(D21,3)+0,#REF!,0)))),"No Post","")</f>
        <v/>
      </c>
    </row>
    <row r="22" spans="1:12" ht="18.600000000000001" customHeight="1" x14ac:dyDescent="0.35">
      <c r="A22" s="54">
        <v>18</v>
      </c>
      <c r="B22" s="54"/>
      <c r="C22" s="54"/>
      <c r="D22" s="46"/>
      <c r="E22" s="47"/>
      <c r="F22" s="48"/>
      <c r="G22" s="46"/>
      <c r="H22" s="46"/>
      <c r="I22" s="46"/>
      <c r="J22" s="46"/>
      <c r="K22" s="47"/>
      <c r="L22" s="79" t="str">
        <f>IF(OR(NOT(ISERROR(MATCH(RIGHT(D22,3)+0,#REF!,0))),NOT(ISERROR(MATCH(LEFT(D22,3)+0,#REF!,0)))),"No Post","")</f>
        <v/>
      </c>
    </row>
    <row r="23" spans="1:12" x14ac:dyDescent="0.35">
      <c r="A23" s="54">
        <v>9</v>
      </c>
      <c r="B23" s="54"/>
      <c r="C23" s="54"/>
      <c r="D23" s="176">
        <v>841</v>
      </c>
      <c r="E23" s="240" t="s">
        <v>368</v>
      </c>
      <c r="F23" s="241">
        <v>46125</v>
      </c>
      <c r="G23" s="176" t="s">
        <v>252</v>
      </c>
      <c r="H23" s="176"/>
      <c r="I23" s="176"/>
      <c r="J23" s="144"/>
      <c r="K23" s="176" t="s">
        <v>164</v>
      </c>
      <c r="L23" s="79" t="str">
        <f>IF(OR(NOT(ISERROR(MATCH(RIGHT(D23,3)+0,#REF!,0))),NOT(ISERROR(MATCH(LEFT(D23,3)+0,#REF!,0)))),"No Post","")</f>
        <v/>
      </c>
    </row>
    <row r="24" spans="1:12" x14ac:dyDescent="0.35">
      <c r="A24" s="54">
        <v>2</v>
      </c>
      <c r="B24" s="43"/>
      <c r="C24" s="43"/>
      <c r="D24" s="242" t="s">
        <v>23</v>
      </c>
      <c r="E24" s="131" t="s">
        <v>301</v>
      </c>
      <c r="F24" s="193"/>
      <c r="G24" s="243" t="s">
        <v>392</v>
      </c>
      <c r="H24" s="243"/>
      <c r="I24" s="243"/>
      <c r="J24" s="144" t="s">
        <v>293</v>
      </c>
      <c r="K24" s="131" t="s">
        <v>294</v>
      </c>
      <c r="L24" s="79" t="str">
        <f>IF(OR(NOT(ISERROR(MATCH(RIGHT(D24,3)+0,#REF!,0))),NOT(ISERROR(MATCH(LEFT(D24,3)+0,#REF!,0)))),"No Post","")</f>
        <v/>
      </c>
    </row>
    <row r="25" spans="1:12" ht="20.25" customHeight="1" x14ac:dyDescent="0.35">
      <c r="A25" s="49"/>
      <c r="B25" s="49"/>
      <c r="C25" s="49"/>
      <c r="D25" s="49"/>
      <c r="E25" s="49" t="str">
        <f>"Remaning: "&amp;IFERROR(MID(A5, SEARCH("MAX", A5) + LEN("MAX"), SEARCH("PAX", A5) - SEARCH("MAX", A5) - LEN("MAX")), "")+0-SUM(G25:H25)</f>
        <v>Remaning: 2</v>
      </c>
      <c r="F25" s="50" t="s">
        <v>19</v>
      </c>
      <c r="G25" s="51">
        <f>SUM(G7:G24)</f>
        <v>26</v>
      </c>
      <c r="H25" s="51">
        <f>SUM(H7:H24)</f>
        <v>0</v>
      </c>
      <c r="I25" s="49"/>
      <c r="J25" s="246"/>
      <c r="K25" s="49"/>
    </row>
    <row r="26" spans="1:12" ht="20.25" customHeight="1" x14ac:dyDescent="0.35">
      <c r="D26" s="8" t="s">
        <v>5</v>
      </c>
      <c r="E26" s="8"/>
      <c r="F26" s="35"/>
      <c r="G26" s="8"/>
      <c r="H26" s="8"/>
      <c r="I26" s="8"/>
    </row>
    <row r="27" spans="1:12" ht="20.25" customHeight="1" x14ac:dyDescent="0.35">
      <c r="D27" s="15" t="s">
        <v>6</v>
      </c>
      <c r="E27" s="9"/>
      <c r="F27" s="36"/>
      <c r="G27" s="9"/>
      <c r="H27" s="9"/>
      <c r="I27" s="9"/>
    </row>
    <row r="28" spans="1:12" ht="20.25" customHeight="1" x14ac:dyDescent="0.35">
      <c r="D28" s="15" t="s">
        <v>7</v>
      </c>
      <c r="E28" s="9"/>
      <c r="F28" s="36"/>
      <c r="G28" s="9"/>
      <c r="H28" s="9"/>
      <c r="I28" s="9"/>
    </row>
    <row r="29" spans="1:12" ht="20.25" customHeight="1" x14ac:dyDescent="0.35">
      <c r="D29" s="15" t="s">
        <v>8</v>
      </c>
      <c r="E29" s="9"/>
      <c r="F29" s="36"/>
      <c r="G29" s="9"/>
      <c r="H29" s="9"/>
      <c r="I29" s="9"/>
    </row>
    <row r="30" spans="1:12" x14ac:dyDescent="0.35">
      <c r="D30" s="15" t="s">
        <v>9</v>
      </c>
      <c r="E30" s="9"/>
      <c r="F30" s="36"/>
      <c r="G30" s="9"/>
      <c r="H30" s="9"/>
      <c r="I30" s="9"/>
    </row>
    <row r="31" spans="1:12" x14ac:dyDescent="0.35">
      <c r="D31" s="15" t="s">
        <v>10</v>
      </c>
      <c r="E31" s="9"/>
      <c r="F31" s="36"/>
      <c r="G31" s="9"/>
      <c r="H31" s="9"/>
      <c r="I31" s="9"/>
    </row>
    <row r="32" spans="1:12" x14ac:dyDescent="0.35">
      <c r="D32" s="15" t="s">
        <v>11</v>
      </c>
      <c r="E32" s="9"/>
      <c r="F32" s="36"/>
      <c r="G32" s="9"/>
      <c r="H32" s="9"/>
      <c r="I32" s="9"/>
    </row>
    <row r="33" spans="4:10" s="11" customFormat="1" ht="15.6" x14ac:dyDescent="0.3">
      <c r="D33" s="16" t="s">
        <v>12</v>
      </c>
      <c r="E33" s="10"/>
      <c r="F33" s="37"/>
      <c r="G33" s="10"/>
      <c r="H33" s="10"/>
      <c r="J33" s="247"/>
    </row>
    <row r="34" spans="4:10" s="11" customFormat="1" ht="15.6" x14ac:dyDescent="0.3">
      <c r="D34" s="16" t="s">
        <v>13</v>
      </c>
      <c r="E34" s="10"/>
      <c r="F34" s="37"/>
      <c r="G34" s="10"/>
      <c r="H34" s="10"/>
      <c r="J34" s="247"/>
    </row>
    <row r="35" spans="4:10" s="13" customFormat="1" ht="20.25" customHeight="1" x14ac:dyDescent="0.35">
      <c r="D35" s="17" t="s">
        <v>14</v>
      </c>
      <c r="E35" s="12"/>
      <c r="F35" s="38"/>
      <c r="J35" s="248"/>
    </row>
    <row r="36" spans="4:10" s="8" customFormat="1" ht="14.4" x14ac:dyDescent="0.3">
      <c r="D36" s="14"/>
      <c r="E36" s="9"/>
      <c r="F36" s="36"/>
      <c r="G36" s="9"/>
      <c r="H36" s="9"/>
      <c r="I36" s="9"/>
      <c r="J36" s="249"/>
    </row>
    <row r="37" spans="4:10" x14ac:dyDescent="0.35">
      <c r="D37" s="9"/>
      <c r="E37" s="9"/>
      <c r="F37" s="36"/>
      <c r="G37" s="9"/>
      <c r="H37" s="9"/>
      <c r="I37" s="9"/>
    </row>
    <row r="38" spans="4:10" x14ac:dyDescent="0.35">
      <c r="D38" s="8"/>
      <c r="E38" s="8"/>
      <c r="F38" s="35"/>
      <c r="G38" s="8"/>
      <c r="H38" s="8"/>
      <c r="I38" s="8"/>
    </row>
    <row r="39" spans="4:10" x14ac:dyDescent="0.35">
      <c r="D39" s="9"/>
      <c r="E39" s="9"/>
      <c r="F39" s="36"/>
      <c r="G39" s="9"/>
      <c r="H39" s="9"/>
      <c r="I39" s="9"/>
    </row>
    <row r="40" spans="4:10" x14ac:dyDescent="0.35">
      <c r="D40" s="9"/>
      <c r="E40" s="9"/>
      <c r="F40" s="36"/>
      <c r="G40" s="9"/>
      <c r="H40" s="9"/>
      <c r="I40" s="9"/>
    </row>
    <row r="41" spans="4:10" x14ac:dyDescent="0.35">
      <c r="D41" s="9"/>
      <c r="E41" s="9"/>
      <c r="F41" s="36"/>
      <c r="G41" s="9"/>
      <c r="H41" s="9"/>
      <c r="I41" s="9"/>
    </row>
    <row r="42" spans="4:10" x14ac:dyDescent="0.35">
      <c r="D42" s="9"/>
      <c r="E42" s="9"/>
      <c r="F42" s="36"/>
      <c r="G42" s="9"/>
      <c r="H42" s="9"/>
      <c r="I42" s="9"/>
    </row>
    <row r="43" spans="4:10" x14ac:dyDescent="0.35">
      <c r="D43" s="9"/>
      <c r="E43" s="9"/>
      <c r="F43" s="36"/>
      <c r="G43" s="9"/>
      <c r="H43" s="9"/>
      <c r="I43" s="9"/>
    </row>
    <row r="44" spans="4:10" x14ac:dyDescent="0.35">
      <c r="D44" s="9"/>
      <c r="E44" s="9"/>
      <c r="F44" s="36"/>
      <c r="G44" s="9"/>
      <c r="H44" s="9"/>
      <c r="I44" s="9"/>
    </row>
    <row r="45" spans="4:10" x14ac:dyDescent="0.35">
      <c r="D45" s="14"/>
      <c r="E45" s="9"/>
      <c r="F45" s="36"/>
      <c r="G45" s="9"/>
      <c r="H45" s="9"/>
      <c r="I45" s="9"/>
    </row>
    <row r="46" spans="4:10" x14ac:dyDescent="0.35">
      <c r="D46" s="9"/>
      <c r="E46" s="9"/>
      <c r="F46" s="36"/>
      <c r="G46" s="9"/>
      <c r="H46" s="9"/>
      <c r="I46" s="9"/>
    </row>
    <row r="48" spans="4:10" x14ac:dyDescent="0.35">
      <c r="D48" s="1"/>
      <c r="E48" s="1"/>
      <c r="F48" s="33"/>
      <c r="G48" s="1"/>
      <c r="H48" s="1"/>
      <c r="I48" s="1"/>
    </row>
    <row r="63" spans="4:9" x14ac:dyDescent="0.35">
      <c r="D63" s="9"/>
      <c r="E63" s="9"/>
      <c r="F63" s="36"/>
      <c r="G63" s="9"/>
      <c r="H63" s="9"/>
      <c r="I63" s="9"/>
    </row>
    <row r="64" spans="4:9" x14ac:dyDescent="0.35">
      <c r="D64" s="9"/>
      <c r="E64" s="9"/>
      <c r="F64" s="36"/>
      <c r="G64" s="9"/>
      <c r="H64" s="9"/>
      <c r="I64" s="9"/>
    </row>
    <row r="65" spans="4:9" x14ac:dyDescent="0.35">
      <c r="D65" s="9"/>
      <c r="E65" s="9"/>
      <c r="F65" s="36"/>
      <c r="G65" s="9"/>
      <c r="H65" s="9"/>
      <c r="I65" s="9"/>
    </row>
    <row r="66" spans="4:9" x14ac:dyDescent="0.35">
      <c r="D66" s="14"/>
      <c r="E66" s="9"/>
      <c r="F66" s="36"/>
      <c r="G66" s="9"/>
      <c r="H66" s="9"/>
      <c r="I66" s="9"/>
    </row>
    <row r="67" spans="4:9" x14ac:dyDescent="0.35">
      <c r="D67" s="9"/>
      <c r="E67" s="9"/>
      <c r="F67" s="36"/>
      <c r="G67" s="9"/>
      <c r="H67" s="9"/>
      <c r="I67" s="9"/>
    </row>
  </sheetData>
  <customSheetViews>
    <customSheetView guid="{744BB052-D863-41D2-951C-2AB325855A97}" showPageBreaks="1" printArea="1">
      <selection activeCell="E25" sqref="E25"/>
      <colBreaks count="1" manualBreakCount="1">
        <brk id="13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B7" sqref="B7"/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B7" sqref="B7"/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B7" sqref="B7"/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B7" sqref="B7"/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4">
    <cfRule type="containsText" dxfId="18" priority="1" operator="containsText" text="No Post">
      <formula>NOT(ISERROR(SEARCH("No Post",L7)))</formula>
    </cfRule>
  </conditionalFormatting>
  <pageMargins left="0.17" right="0.17" top="0.75" bottom="0.75" header="0.3" footer="0.3"/>
  <pageSetup scale="64" orientation="landscape" r:id="rId6"/>
  <colBreaks count="1" manualBreakCount="1">
    <brk id="13" max="30" man="1"/>
  </colBreaks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6"/>
  <sheetViews>
    <sheetView zoomScale="102" zoomScaleNormal="102" zoomScaleSheetLayoutView="100" workbookViewId="0">
      <selection activeCell="H13" sqref="H13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4" thickBot="1" x14ac:dyDescent="0.5">
      <c r="A5" s="377" t="s">
        <v>15</v>
      </c>
      <c r="B5" s="378"/>
      <c r="C5" s="378"/>
      <c r="D5" s="378"/>
      <c r="E5" s="378"/>
      <c r="F5" s="378"/>
      <c r="G5" s="378"/>
      <c r="H5" s="378"/>
      <c r="I5" s="378"/>
      <c r="J5" s="6" t="s">
        <v>18</v>
      </c>
      <c r="K5" s="3" t="str">
        <f ca="1">CONCATENATE((MID(CELL("filename",K5),FIND("]",CELL("filename",K5))+1,255)),"/04/2026")</f>
        <v>13/04/2026</v>
      </c>
    </row>
    <row r="6" spans="1:12" x14ac:dyDescent="0.35">
      <c r="A6" s="56"/>
      <c r="B6" s="254"/>
      <c r="C6" s="254"/>
      <c r="D6" s="57" t="s">
        <v>1</v>
      </c>
      <c r="E6" s="57" t="s">
        <v>2</v>
      </c>
      <c r="F6" s="58" t="s">
        <v>21</v>
      </c>
      <c r="G6" s="57" t="s">
        <v>16</v>
      </c>
      <c r="H6" s="57" t="s">
        <v>17</v>
      </c>
      <c r="I6" s="57" t="s">
        <v>3</v>
      </c>
      <c r="J6" s="59" t="s">
        <v>20</v>
      </c>
      <c r="K6" s="60" t="s">
        <v>4</v>
      </c>
    </row>
    <row r="7" spans="1:12" x14ac:dyDescent="0.35">
      <c r="A7" s="54">
        <v>1</v>
      </c>
      <c r="B7" s="233"/>
      <c r="C7" s="233"/>
      <c r="D7" s="98">
        <v>203</v>
      </c>
      <c r="E7" s="46" t="s">
        <v>407</v>
      </c>
      <c r="F7" s="48">
        <v>46126</v>
      </c>
      <c r="G7" s="46">
        <v>2</v>
      </c>
      <c r="H7" s="46"/>
      <c r="I7" s="46"/>
      <c r="J7" s="98" t="s">
        <v>106</v>
      </c>
      <c r="K7" s="46" t="s">
        <v>406</v>
      </c>
      <c r="L7" s="79" t="str">
        <f>IF(OR(NOT(ISERROR(MATCH(RIGHT(D7,3)+0,#REF!,0))),NOT(ISERROR(MATCH(LEFT(D7,3)+0,#REF!,0)))),"No Post","")</f>
        <v/>
      </c>
    </row>
    <row r="8" spans="1:12" x14ac:dyDescent="0.35">
      <c r="A8" s="54">
        <v>2</v>
      </c>
      <c r="B8" s="206"/>
      <c r="C8" s="206"/>
      <c r="D8" s="253">
        <v>217</v>
      </c>
      <c r="E8" s="106" t="s">
        <v>409</v>
      </c>
      <c r="F8" s="121">
        <v>46130</v>
      </c>
      <c r="G8" s="106">
        <v>2</v>
      </c>
      <c r="H8" s="46">
        <v>3</v>
      </c>
      <c r="I8" s="106"/>
      <c r="J8" s="253" t="s">
        <v>124</v>
      </c>
      <c r="K8" s="106" t="s">
        <v>353</v>
      </c>
      <c r="L8" s="43"/>
    </row>
    <row r="9" spans="1:12" x14ac:dyDescent="0.35">
      <c r="A9" s="54">
        <v>3</v>
      </c>
      <c r="B9" s="233"/>
      <c r="C9" s="233"/>
      <c r="D9" s="100">
        <v>302</v>
      </c>
      <c r="E9" s="46" t="s">
        <v>387</v>
      </c>
      <c r="F9" s="48">
        <v>46127</v>
      </c>
      <c r="G9" s="46">
        <v>2</v>
      </c>
      <c r="H9" s="46"/>
      <c r="I9" s="46"/>
      <c r="J9" s="100" t="s">
        <v>132</v>
      </c>
      <c r="K9" s="46" t="s">
        <v>388</v>
      </c>
      <c r="L9" s="79" t="str">
        <f>IF(OR(NOT(ISERROR(MATCH(RIGHT(D9,3)+0,#REF!,0))),NOT(ISERROR(MATCH(LEFT(D9,3)+0,#REF!,0)))),"No Post","")</f>
        <v/>
      </c>
    </row>
    <row r="10" spans="1:12" x14ac:dyDescent="0.35">
      <c r="A10" s="54">
        <v>4</v>
      </c>
      <c r="B10" s="233"/>
      <c r="C10" s="233"/>
      <c r="D10" s="97">
        <v>323</v>
      </c>
      <c r="E10" s="46" t="s">
        <v>408</v>
      </c>
      <c r="F10" s="48">
        <v>46133</v>
      </c>
      <c r="G10" s="46">
        <v>2</v>
      </c>
      <c r="H10" s="46"/>
      <c r="I10" s="46" t="s">
        <v>419</v>
      </c>
      <c r="J10" s="97" t="s">
        <v>328</v>
      </c>
      <c r="K10" s="46" t="s">
        <v>135</v>
      </c>
      <c r="L10" s="79" t="str">
        <f>IF(OR(NOT(ISERROR(MATCH(RIGHT(D10,3)+0,#REF!,0))),NOT(ISERROR(MATCH(LEFT(D10,3)+0,#REF!,0)))),"No Post","")</f>
        <v/>
      </c>
    </row>
    <row r="11" spans="1:12" x14ac:dyDescent="0.35">
      <c r="A11" s="54">
        <v>5</v>
      </c>
      <c r="B11" s="233"/>
      <c r="C11" s="233"/>
      <c r="D11" s="98">
        <v>334</v>
      </c>
      <c r="E11" s="46" t="s">
        <v>400</v>
      </c>
      <c r="F11" s="48">
        <v>46128</v>
      </c>
      <c r="G11" s="46">
        <v>2</v>
      </c>
      <c r="H11" s="46"/>
      <c r="I11" s="46"/>
      <c r="J11" s="98" t="s">
        <v>106</v>
      </c>
      <c r="K11" s="46" t="s">
        <v>167</v>
      </c>
      <c r="L11" s="79" t="str">
        <f>IF(OR(NOT(ISERROR(MATCH(RIGHT(D11,3)+0,#REF!,0))),NOT(ISERROR(MATCH(LEFT(D11,3)+0,#REF!,0)))),"No Post","")</f>
        <v/>
      </c>
    </row>
    <row r="12" spans="1:12" x14ac:dyDescent="0.35">
      <c r="A12" s="54">
        <v>6</v>
      </c>
      <c r="B12" s="233"/>
      <c r="C12" s="233"/>
      <c r="D12" s="98">
        <v>665</v>
      </c>
      <c r="E12" s="46" t="s">
        <v>399</v>
      </c>
      <c r="F12" s="48">
        <v>46126</v>
      </c>
      <c r="G12" s="46">
        <v>2</v>
      </c>
      <c r="H12" s="46"/>
      <c r="I12" s="46"/>
      <c r="J12" s="98" t="s">
        <v>106</v>
      </c>
      <c r="K12" s="46" t="s">
        <v>398</v>
      </c>
      <c r="L12" s="79" t="str">
        <f>IF(OR(NOT(ISERROR(MATCH(RIGHT(D12,3)+0,#REF!,0))),NOT(ISERROR(MATCH(LEFT(D12,3)+0,#REF!,0)))),"No Post","")</f>
        <v/>
      </c>
    </row>
    <row r="13" spans="1:12" x14ac:dyDescent="0.35">
      <c r="A13" s="54">
        <v>7</v>
      </c>
      <c r="B13" s="233"/>
      <c r="C13" s="233"/>
      <c r="D13" s="117">
        <v>805</v>
      </c>
      <c r="E13" s="46" t="s">
        <v>396</v>
      </c>
      <c r="F13" s="48">
        <v>46129</v>
      </c>
      <c r="G13" s="46">
        <v>2</v>
      </c>
      <c r="H13" s="46"/>
      <c r="I13" s="46"/>
      <c r="J13" s="117" t="s">
        <v>397</v>
      </c>
      <c r="K13" s="46" t="s">
        <v>164</v>
      </c>
      <c r="L13" s="79" t="str">
        <f>IF(OR(NOT(ISERROR(MATCH(RIGHT(D13,3)+0,#REF!,0))),NOT(ISERROR(MATCH(LEFT(D13,3)+0,#REF!,0)))),"No Post","")</f>
        <v/>
      </c>
    </row>
    <row r="14" spans="1:12" x14ac:dyDescent="0.35">
      <c r="A14" s="54">
        <v>8</v>
      </c>
      <c r="B14" s="233"/>
      <c r="C14" s="233"/>
      <c r="D14" s="163">
        <v>844</v>
      </c>
      <c r="E14" s="46" t="s">
        <v>391</v>
      </c>
      <c r="F14" s="48">
        <v>46126</v>
      </c>
      <c r="G14" s="46">
        <v>2</v>
      </c>
      <c r="H14" s="46"/>
      <c r="I14" s="46"/>
      <c r="J14" s="163" t="s">
        <v>124</v>
      </c>
      <c r="K14" s="46" t="s">
        <v>389</v>
      </c>
      <c r="L14" s="79" t="str">
        <f>IF(OR(NOT(ISERROR(MATCH(RIGHT(D14,3)+0,#REF!,0))),NOT(ISERROR(MATCH(LEFT(D14,3)+0,#REF!,0)))),"No Post","")</f>
        <v/>
      </c>
    </row>
    <row r="15" spans="1:12" x14ac:dyDescent="0.35">
      <c r="A15" s="54">
        <v>9</v>
      </c>
      <c r="B15" s="233"/>
      <c r="C15" s="233"/>
      <c r="D15" s="163" t="s">
        <v>411</v>
      </c>
      <c r="E15" s="46" t="s">
        <v>390</v>
      </c>
      <c r="F15" s="48">
        <v>46127</v>
      </c>
      <c r="G15" s="46">
        <v>2</v>
      </c>
      <c r="H15" s="46"/>
      <c r="I15" s="46"/>
      <c r="J15" s="163" t="s">
        <v>124</v>
      </c>
      <c r="K15" s="46" t="s">
        <v>173</v>
      </c>
      <c r="L15" s="79" t="str">
        <f>IF(OR(NOT(ISERROR(MATCH(RIGHT(D15,3)+0,#REF!,0))),NOT(ISERROR(MATCH(LEFT(D15,3)+0,#REF!,0)))),"No Post","")</f>
        <v/>
      </c>
    </row>
    <row r="16" spans="1:12" x14ac:dyDescent="0.35">
      <c r="A16" s="54">
        <v>10</v>
      </c>
      <c r="B16" s="233"/>
      <c r="C16" s="233"/>
      <c r="D16" s="163" t="s">
        <v>378</v>
      </c>
      <c r="E16" s="46" t="s">
        <v>379</v>
      </c>
      <c r="F16" s="48">
        <v>46132</v>
      </c>
      <c r="G16" s="46">
        <v>4</v>
      </c>
      <c r="H16" s="46"/>
      <c r="I16" s="46"/>
      <c r="J16" s="163" t="s">
        <v>124</v>
      </c>
      <c r="K16" s="46" t="s">
        <v>164</v>
      </c>
      <c r="L16" s="79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54">
        <v>11</v>
      </c>
      <c r="B17" s="233"/>
      <c r="C17" s="233"/>
      <c r="D17" s="97">
        <v>336</v>
      </c>
      <c r="E17" s="46" t="s">
        <v>418</v>
      </c>
      <c r="F17" s="48">
        <v>46132</v>
      </c>
      <c r="G17" s="46">
        <v>2</v>
      </c>
      <c r="H17" s="46"/>
      <c r="I17" s="46" t="s">
        <v>419</v>
      </c>
      <c r="J17" s="97" t="s">
        <v>328</v>
      </c>
      <c r="K17" s="46" t="s">
        <v>164</v>
      </c>
      <c r="L17" s="79" t="str">
        <f>IF(OR(NOT(ISERROR(MATCH(RIGHT(D17,3)+0,#REF!,0))),NOT(ISERROR(MATCH(LEFT(D17,3)+0,#REF!,0)))),"No Post","")</f>
        <v/>
      </c>
    </row>
    <row r="18" spans="1:12" ht="18.600000000000001" customHeight="1" x14ac:dyDescent="0.35">
      <c r="A18" s="54">
        <v>12</v>
      </c>
      <c r="B18" s="54"/>
      <c r="C18" s="54"/>
      <c r="D18" s="46"/>
      <c r="E18" s="47"/>
      <c r="F18" s="48"/>
      <c r="G18" s="46"/>
      <c r="H18" s="46"/>
      <c r="I18" s="46"/>
      <c r="J18" s="47"/>
      <c r="K18" s="47"/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13</v>
      </c>
      <c r="B19" s="54"/>
      <c r="C19" s="54"/>
      <c r="D19" s="46"/>
      <c r="E19" s="47"/>
      <c r="F19" s="48"/>
      <c r="G19" s="46"/>
      <c r="H19" s="46"/>
      <c r="I19" s="46"/>
      <c r="J19" s="47"/>
      <c r="K19" s="47"/>
      <c r="L19" s="79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14</v>
      </c>
      <c r="B20" s="54"/>
      <c r="C20" s="54"/>
      <c r="D20" s="46"/>
      <c r="E20" s="47"/>
      <c r="F20" s="48"/>
      <c r="G20" s="46"/>
      <c r="H20" s="46"/>
      <c r="I20" s="46"/>
      <c r="J20" s="47"/>
      <c r="K20" s="47"/>
      <c r="L20" s="79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4">
        <v>15</v>
      </c>
      <c r="B21" s="54"/>
      <c r="C21" s="54"/>
      <c r="D21" s="46"/>
      <c r="E21" s="47"/>
      <c r="F21" s="48"/>
      <c r="G21" s="46"/>
      <c r="H21" s="46"/>
      <c r="I21" s="46"/>
      <c r="J21" s="47"/>
      <c r="K21" s="47"/>
      <c r="L21" s="79" t="str">
        <f>IF(OR(NOT(ISERROR(MATCH(RIGHT(D21,3)+0,#REF!,0))),NOT(ISERROR(MATCH(LEFT(D21,3)+0,#REF!,0)))),"No Post","")</f>
        <v/>
      </c>
    </row>
    <row r="22" spans="1:12" ht="18.600000000000001" customHeight="1" x14ac:dyDescent="0.35">
      <c r="A22" s="54">
        <v>16</v>
      </c>
      <c r="B22" s="54"/>
      <c r="C22" s="54"/>
      <c r="D22" s="46"/>
      <c r="E22" s="47"/>
      <c r="F22" s="48"/>
      <c r="G22" s="46"/>
      <c r="H22" s="46"/>
      <c r="I22" s="46"/>
      <c r="J22" s="47"/>
      <c r="K22" s="47"/>
      <c r="L22" s="79" t="str">
        <f>IF(OR(NOT(ISERROR(MATCH(RIGHT(D22,3)+0,#REF!,0))),NOT(ISERROR(MATCH(LEFT(D22,3)+0,#REF!,0)))),"No Post","")</f>
        <v/>
      </c>
    </row>
    <row r="23" spans="1:12" ht="18.600000000000001" customHeight="1" x14ac:dyDescent="0.35">
      <c r="A23" s="54">
        <v>17</v>
      </c>
      <c r="B23" s="54"/>
      <c r="C23" s="54"/>
      <c r="D23" s="46"/>
      <c r="E23" s="47"/>
      <c r="F23" s="48"/>
      <c r="G23" s="46"/>
      <c r="H23" s="46"/>
      <c r="I23" s="46"/>
      <c r="J23" s="47"/>
      <c r="K23" s="47"/>
      <c r="L23" s="79" t="str">
        <f>IF(OR(NOT(ISERROR(MATCH(RIGHT(D23,3)+0,#REF!,0))),NOT(ISERROR(MATCH(LEFT(D23,3)+0,#REF!,0)))),"No Post","")</f>
        <v/>
      </c>
    </row>
    <row r="24" spans="1:12" ht="18.600000000000001" customHeight="1" x14ac:dyDescent="0.35">
      <c r="A24" s="54">
        <v>18</v>
      </c>
      <c r="B24" s="54"/>
      <c r="C24" s="54"/>
      <c r="D24" s="46"/>
      <c r="E24" s="47"/>
      <c r="F24" s="48"/>
      <c r="G24" s="46"/>
      <c r="H24" s="46"/>
      <c r="I24" s="46"/>
      <c r="J24" s="47"/>
      <c r="K24" s="47"/>
      <c r="L24" s="79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54">
        <v>19</v>
      </c>
      <c r="B25" s="54"/>
      <c r="C25" s="54"/>
      <c r="D25" s="46"/>
      <c r="E25" s="47"/>
      <c r="F25" s="48"/>
      <c r="G25" s="46"/>
      <c r="H25" s="46"/>
      <c r="I25" s="46"/>
      <c r="J25" s="47"/>
      <c r="K25" s="47"/>
      <c r="L25" s="79" t="str">
        <f>IF(OR(NOT(ISERROR(MATCH(RIGHT(D25,3)+0,#REF!,0))),NOT(ISERROR(MATCH(LEFT(D25,3)+0,#REF!,0)))),"No Post","")</f>
        <v/>
      </c>
    </row>
    <row r="26" spans="1:12" s="26" customFormat="1" ht="18.600000000000001" customHeight="1" x14ac:dyDescent="0.4">
      <c r="A26" s="54">
        <v>20</v>
      </c>
      <c r="B26" s="54"/>
      <c r="C26" s="54"/>
      <c r="D26" s="46"/>
      <c r="E26" s="47"/>
      <c r="F26" s="48"/>
      <c r="G26" s="46"/>
      <c r="H26" s="46"/>
      <c r="I26" s="46"/>
      <c r="J26" s="47"/>
      <c r="K26" s="47"/>
      <c r="L26" s="79" t="str">
        <f>IF(OR(NOT(ISERROR(MATCH(RIGHT(D26,3)+0,#REF!,0))),NOT(ISERROR(MATCH(LEFT(D26,3)+0,#REF!,0)))),"No Post","")</f>
        <v/>
      </c>
    </row>
    <row r="27" spans="1:12" ht="20.25" customHeight="1" x14ac:dyDescent="0.35">
      <c r="A27" s="49"/>
      <c r="B27" s="49"/>
      <c r="C27" s="49"/>
      <c r="D27" s="49"/>
      <c r="E27" s="49" t="str">
        <f>"Remaning: "&amp;IFERROR(MID(A5, SEARCH("MAX", A5) + LEN("MAX"), SEARCH("PAX", A5) - SEARCH("MAX", A5) - LEN("MAX")), "")+0-SUM(G27:H27)</f>
        <v>Remaning: -7</v>
      </c>
      <c r="F27" s="50" t="s">
        <v>19</v>
      </c>
      <c r="G27" s="51">
        <f>SUM(G7:G26)</f>
        <v>24</v>
      </c>
      <c r="H27" s="51">
        <f>SUM(H7:H26)</f>
        <v>3</v>
      </c>
      <c r="I27" s="49"/>
      <c r="J27" s="49"/>
      <c r="K27" s="49"/>
    </row>
    <row r="28" spans="1:12" ht="20.25" customHeight="1" x14ac:dyDescent="0.35">
      <c r="D28" s="8" t="s">
        <v>5</v>
      </c>
      <c r="E28" s="8"/>
      <c r="F28" s="35"/>
      <c r="G28" s="8"/>
      <c r="H28" s="8"/>
      <c r="I28" s="8"/>
    </row>
    <row r="29" spans="1:12" ht="20.25" customHeight="1" x14ac:dyDescent="0.35">
      <c r="D29" s="15" t="s">
        <v>6</v>
      </c>
      <c r="E29" s="9"/>
      <c r="F29" s="36"/>
      <c r="G29" s="9"/>
      <c r="H29" s="9"/>
      <c r="I29" s="9"/>
    </row>
    <row r="30" spans="1:12" ht="20.25" customHeight="1" x14ac:dyDescent="0.35">
      <c r="D30" s="15" t="s">
        <v>7</v>
      </c>
      <c r="E30" s="9"/>
      <c r="F30" s="36"/>
      <c r="G30" s="9"/>
      <c r="H30" s="9"/>
      <c r="I30" s="9"/>
    </row>
    <row r="31" spans="1:12" ht="20.25" customHeight="1" x14ac:dyDescent="0.35">
      <c r="D31" s="15" t="s">
        <v>8</v>
      </c>
      <c r="E31" s="9"/>
      <c r="F31" s="36"/>
      <c r="G31" s="9"/>
      <c r="H31" s="9"/>
      <c r="I31" s="9"/>
    </row>
    <row r="32" spans="1:12" x14ac:dyDescent="0.35">
      <c r="D32" s="15" t="s">
        <v>9</v>
      </c>
      <c r="E32" s="9"/>
      <c r="F32" s="36"/>
      <c r="G32" s="9"/>
      <c r="H32" s="9"/>
      <c r="I32" s="9"/>
    </row>
    <row r="33" spans="4:9" x14ac:dyDescent="0.35">
      <c r="D33" s="15" t="s">
        <v>10</v>
      </c>
      <c r="E33" s="9"/>
      <c r="F33" s="36"/>
      <c r="G33" s="9"/>
      <c r="H33" s="9"/>
      <c r="I33" s="9"/>
    </row>
    <row r="34" spans="4:9" x14ac:dyDescent="0.35">
      <c r="D34" s="15" t="s">
        <v>11</v>
      </c>
      <c r="E34" s="9"/>
      <c r="F34" s="36"/>
      <c r="G34" s="9"/>
      <c r="H34" s="9"/>
      <c r="I34" s="9"/>
    </row>
    <row r="35" spans="4:9" s="11" customFormat="1" ht="15.6" x14ac:dyDescent="0.3">
      <c r="D35" s="16" t="s">
        <v>12</v>
      </c>
      <c r="E35" s="10"/>
      <c r="F35" s="37"/>
      <c r="G35" s="10"/>
      <c r="H35" s="10"/>
    </row>
    <row r="36" spans="4:9" s="11" customFormat="1" ht="15.6" x14ac:dyDescent="0.3">
      <c r="D36" s="16" t="s">
        <v>13</v>
      </c>
      <c r="E36" s="10"/>
      <c r="F36" s="37"/>
      <c r="G36" s="10"/>
      <c r="H36" s="10"/>
    </row>
    <row r="37" spans="4:9" s="13" customFormat="1" ht="20.25" customHeight="1" x14ac:dyDescent="0.35">
      <c r="D37" s="17" t="s">
        <v>14</v>
      </c>
      <c r="E37" s="12"/>
      <c r="F37" s="38"/>
    </row>
    <row r="38" spans="4:9" s="8" customFormat="1" ht="14.4" x14ac:dyDescent="0.3">
      <c r="D38" s="14"/>
      <c r="E38" s="9"/>
      <c r="F38" s="36"/>
      <c r="G38" s="9"/>
      <c r="H38" s="9"/>
      <c r="I38" s="9"/>
    </row>
    <row r="39" spans="4:9" x14ac:dyDescent="0.35">
      <c r="D39" s="9"/>
      <c r="E39" s="9"/>
      <c r="F39" s="36"/>
      <c r="G39" s="9"/>
      <c r="H39" s="9"/>
      <c r="I39" s="9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9"/>
      <c r="E43" s="9"/>
      <c r="F43" s="36"/>
      <c r="G43" s="9"/>
      <c r="H43" s="9"/>
      <c r="I43" s="9"/>
    </row>
    <row r="44" spans="4:9" x14ac:dyDescent="0.35">
      <c r="D44" s="14"/>
      <c r="E44" s="9"/>
      <c r="F44" s="36"/>
      <c r="G44" s="9"/>
      <c r="H44" s="9"/>
      <c r="I44" s="9"/>
    </row>
    <row r="45" spans="4:9" x14ac:dyDescent="0.35">
      <c r="D45" s="9"/>
      <c r="E45" s="9"/>
      <c r="F45" s="36"/>
      <c r="G45" s="9"/>
      <c r="H45" s="9"/>
      <c r="I45" s="9"/>
    </row>
    <row r="47" spans="4:9" x14ac:dyDescent="0.35">
      <c r="D47" s="1"/>
      <c r="E47" s="1"/>
      <c r="F47" s="33"/>
      <c r="G47" s="1"/>
      <c r="H47" s="1"/>
      <c r="I47" s="1"/>
    </row>
    <row r="62" spans="4:9" x14ac:dyDescent="0.35">
      <c r="D62" s="9"/>
      <c r="E62" s="9"/>
      <c r="F62" s="36"/>
      <c r="G62" s="9"/>
      <c r="H62" s="9"/>
      <c r="I62" s="9"/>
    </row>
    <row r="63" spans="4:9" x14ac:dyDescent="0.35">
      <c r="D63" s="9"/>
      <c r="E63" s="9"/>
      <c r="F63" s="36"/>
      <c r="G63" s="9"/>
      <c r="H63" s="9"/>
      <c r="I63" s="9"/>
    </row>
    <row r="64" spans="4:9" x14ac:dyDescent="0.35">
      <c r="D64" s="9"/>
      <c r="E64" s="9"/>
      <c r="F64" s="36"/>
      <c r="G64" s="9"/>
      <c r="H64" s="9"/>
      <c r="I64" s="9"/>
    </row>
    <row r="65" spans="4:9" x14ac:dyDescent="0.35">
      <c r="D65" s="14"/>
      <c r="E65" s="9"/>
      <c r="F65" s="36"/>
      <c r="G65" s="9"/>
      <c r="H65" s="9"/>
      <c r="I65" s="9"/>
    </row>
    <row r="66" spans="4:9" x14ac:dyDescent="0.35">
      <c r="D66" s="9"/>
      <c r="E66" s="9"/>
      <c r="F66" s="36"/>
      <c r="G66" s="9"/>
      <c r="H66" s="9"/>
      <c r="I66" s="9"/>
    </row>
  </sheetData>
  <sortState ref="D7:K17">
    <sortCondition ref="D7"/>
  </sortState>
  <customSheetViews>
    <customSheetView guid="{744BB052-D863-41D2-951C-2AB325855A97}" scale="102" showPageBreaks="1" fitToPage="1" printArea="1">
      <selection activeCell="H13" sqref="H13"/>
      <colBreaks count="1" manualBreakCount="1">
        <brk id="13" max="30" man="1"/>
      </colBreaks>
      <pageMargins left="0.17" right="0.17" top="0.75" bottom="0.75" header="0.3" footer="0.3"/>
      <pageSetup scale="73" fitToHeight="0" orientation="landscape" r:id="rId1"/>
    </customSheetView>
    <customSheetView guid="{E646B2A6-D876-4850-BD6A-9EDE7D7D90A5}" fitToPage="1">
      <selection activeCell="B7" sqref="B7"/>
      <colBreaks count="1" manualBreakCount="1">
        <brk id="11" max="30" man="1"/>
      </colBreaks>
      <pageMargins left="0.17" right="0.17" top="0.75" bottom="0.75" header="0.3" footer="0.3"/>
      <pageSetup scale="81" fitToHeight="0" orientation="landscape" r:id="rId2"/>
    </customSheetView>
    <customSheetView guid="{BF5B6E81-A93C-498B-825D-A8F997D33B36}" showPageBreaks="1" fitToPage="1" printArea="1">
      <selection activeCell="B7" sqref="B7"/>
      <colBreaks count="1" manualBreakCount="1">
        <brk id="11" max="30" man="1"/>
      </colBreaks>
      <pageMargins left="0.17" right="0.17" top="0.75" bottom="0.75" header="0.3" footer="0.3"/>
      <pageSetup scale="81" fitToHeight="0" orientation="landscape" r:id="rId3"/>
    </customSheetView>
    <customSheetView guid="{F72E1D2B-35A0-48DE-9DE8-D5DC19588220}" showPageBreaks="1" fitToPage="1" printArea="1">
      <selection activeCell="B7" sqref="B7"/>
      <colBreaks count="1" manualBreakCount="1">
        <brk id="11" max="30" man="1"/>
      </colBreaks>
      <pageMargins left="0.17" right="0.17" top="0.75" bottom="0.75" header="0.3" footer="0.3"/>
      <pageSetup scale="73" fitToHeight="0" orientation="landscape" r:id="rId4"/>
    </customSheetView>
    <customSheetView guid="{4E59406A-696F-45F3-96CE-A9A2B9D4DCC4}" showPageBreaks="1" fitToPage="1" printArea="1">
      <selection activeCell="B7" sqref="B7"/>
      <colBreaks count="1" manualBreakCount="1">
        <brk id="11" max="30" man="1"/>
      </colBreaks>
      <pageMargins left="0.17" right="0.17" top="0.75" bottom="0.75" header="0.3" footer="0.3"/>
      <pageSetup scale="73" fitToHeight="0" orientation="landscape" r:id="rId5"/>
    </customSheetView>
  </customSheetViews>
  <mergeCells count="1">
    <mergeCell ref="A5:I5"/>
  </mergeCells>
  <conditionalFormatting sqref="L7:L26">
    <cfRule type="containsText" dxfId="17" priority="1" operator="containsText" text="No Post">
      <formula>NOT(ISERROR(SEARCH("No Post",L7)))</formula>
    </cfRule>
  </conditionalFormatting>
  <pageMargins left="0.17" right="0.17" top="0.75" bottom="0.75" header="0.3" footer="0.3"/>
  <pageSetup scale="73" fitToHeight="0" orientation="landscape" r:id="rId6"/>
  <colBreaks count="1" manualBreakCount="1">
    <brk id="13" max="30" man="1"/>
  </colBreaks>
  <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topLeftCell="A4" zoomScaleNormal="100" zoomScaleSheetLayoutView="100" workbookViewId="0">
      <selection activeCell="C13" sqref="C13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9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2"/>
      <c r="E2" s="5"/>
      <c r="F2" s="5"/>
    </row>
    <row r="4" spans="1:10" s="1" customFormat="1" thickBot="1" x14ac:dyDescent="0.4">
      <c r="C4" s="29"/>
      <c r="D4" s="33"/>
    </row>
    <row r="5" spans="1:10" s="2" customFormat="1" ht="24" thickBot="1" x14ac:dyDescent="0.5">
      <c r="A5" s="384" t="s">
        <v>15</v>
      </c>
      <c r="B5" s="385"/>
      <c r="C5" s="385"/>
      <c r="D5" s="385"/>
      <c r="E5" s="385"/>
      <c r="F5" s="385"/>
      <c r="G5" s="385"/>
      <c r="H5" s="30" t="s">
        <v>18</v>
      </c>
      <c r="I5" s="31" t="str">
        <f ca="1">CONCATENATE((MID(CELL("filename",I5),FIND("]",CELL("filename",I5))+1,255)),"/04/2026")</f>
        <v>14/04/2026</v>
      </c>
    </row>
    <row r="6" spans="1:10" x14ac:dyDescent="0.35">
      <c r="A6" s="56"/>
      <c r="B6" s="57" t="s">
        <v>1</v>
      </c>
      <c r="C6" s="57" t="s">
        <v>2</v>
      </c>
      <c r="D6" s="58" t="s">
        <v>21</v>
      </c>
      <c r="E6" s="57" t="s">
        <v>16</v>
      </c>
      <c r="F6" s="57" t="s">
        <v>17</v>
      </c>
      <c r="G6" s="57" t="s">
        <v>3</v>
      </c>
      <c r="H6" s="59" t="s">
        <v>20</v>
      </c>
      <c r="I6" s="60" t="s">
        <v>4</v>
      </c>
    </row>
    <row r="7" spans="1:10" x14ac:dyDescent="0.35">
      <c r="A7" s="255">
        <v>1</v>
      </c>
      <c r="B7" s="87">
        <v>666</v>
      </c>
      <c r="C7" s="81" t="s">
        <v>63</v>
      </c>
      <c r="D7" s="62">
        <v>46129</v>
      </c>
      <c r="E7" s="54">
        <v>2</v>
      </c>
      <c r="F7" s="54"/>
      <c r="G7" s="54"/>
      <c r="H7" s="87" t="s">
        <v>170</v>
      </c>
      <c r="I7" s="54" t="s">
        <v>44</v>
      </c>
      <c r="J7" s="79" t="s">
        <v>67</v>
      </c>
    </row>
    <row r="8" spans="1:10" x14ac:dyDescent="0.35">
      <c r="A8" s="176">
        <v>2</v>
      </c>
      <c r="B8" s="176">
        <v>322</v>
      </c>
      <c r="C8" s="176" t="s">
        <v>382</v>
      </c>
      <c r="D8" s="241">
        <v>46128</v>
      </c>
      <c r="E8" s="176" t="s">
        <v>229</v>
      </c>
      <c r="F8" s="176"/>
      <c r="G8" s="176"/>
      <c r="H8" s="176"/>
      <c r="I8" s="176" t="s">
        <v>383</v>
      </c>
      <c r="J8" s="79" t="str">
        <f>IF(OR(NOT(ISERROR(MATCH(RIGHT(B8,3)+0,#REF!,0))),NOT(ISERROR(MATCH(LEFT(B8,3)+0,#REF!,0)))),"No Post","")</f>
        <v/>
      </c>
    </row>
    <row r="9" spans="1:10" x14ac:dyDescent="0.35">
      <c r="A9" s="255">
        <v>3</v>
      </c>
      <c r="B9" s="87">
        <v>872</v>
      </c>
      <c r="C9" s="86" t="s">
        <v>65</v>
      </c>
      <c r="D9" s="84">
        <v>46128</v>
      </c>
      <c r="E9" s="83">
        <v>2</v>
      </c>
      <c r="F9" s="83"/>
      <c r="G9" s="83"/>
      <c r="H9" s="87" t="s">
        <v>170</v>
      </c>
      <c r="I9" s="83" t="s">
        <v>50</v>
      </c>
      <c r="J9" s="79" t="str">
        <f>IF(OR(NOT(ISERROR(MATCH(RIGHT(B9,3)+0,#REF!,0))),NOT(ISERROR(MATCH(LEFT(B9,3)+0,#REF!,0)))),"No Post","")</f>
        <v/>
      </c>
    </row>
    <row r="10" spans="1:10" x14ac:dyDescent="0.35">
      <c r="A10" s="255">
        <v>4</v>
      </c>
      <c r="B10" s="130">
        <v>884</v>
      </c>
      <c r="C10" s="54" t="s">
        <v>402</v>
      </c>
      <c r="D10" s="62">
        <v>46130</v>
      </c>
      <c r="E10" s="54">
        <v>2</v>
      </c>
      <c r="F10" s="54"/>
      <c r="G10" s="54"/>
      <c r="H10" s="130" t="s">
        <v>170</v>
      </c>
      <c r="I10" s="54" t="s">
        <v>401</v>
      </c>
      <c r="J10" s="79" t="str">
        <f>IF(OR(NOT(ISERROR(MATCH(RIGHT(B10,3)+0,#REF!,0))),NOT(ISERROR(MATCH(LEFT(B10,3)+0,#REF!,0)))),"No Post","")</f>
        <v/>
      </c>
    </row>
    <row r="11" spans="1:10" x14ac:dyDescent="0.35">
      <c r="A11" s="255">
        <v>5</v>
      </c>
      <c r="B11" s="130">
        <v>894</v>
      </c>
      <c r="C11" s="54" t="s">
        <v>412</v>
      </c>
      <c r="D11" s="62">
        <v>46129</v>
      </c>
      <c r="E11" s="54">
        <v>2</v>
      </c>
      <c r="F11" s="54"/>
      <c r="G11" s="54"/>
      <c r="H11" s="130" t="s">
        <v>170</v>
      </c>
      <c r="I11" s="54" t="s">
        <v>403</v>
      </c>
      <c r="J11" s="79" t="str">
        <f>IF(OR(NOT(ISERROR(MATCH(RIGHT(B11,3)+0,#REF!,0))),NOT(ISERROR(MATCH(LEFT(B11,3)+0,#REF!,0)))),"No Post","")</f>
        <v/>
      </c>
    </row>
    <row r="12" spans="1:10" x14ac:dyDescent="0.35">
      <c r="A12" s="255">
        <v>6</v>
      </c>
      <c r="B12" s="196">
        <v>310</v>
      </c>
      <c r="C12" s="54" t="s">
        <v>413</v>
      </c>
      <c r="D12" s="62">
        <v>46131</v>
      </c>
      <c r="E12" s="54">
        <v>2</v>
      </c>
      <c r="F12" s="54"/>
      <c r="G12" s="54"/>
      <c r="H12" s="196" t="s">
        <v>132</v>
      </c>
      <c r="I12" s="54" t="s">
        <v>135</v>
      </c>
      <c r="J12" s="79" t="str">
        <f>IF(OR(NOT(ISERROR(MATCH(RIGHT(B12,3)+0,#REF!,0))),NOT(ISERROR(MATCH(LEFT(B12,3)+0,#REF!,0)))),"No Post","")</f>
        <v/>
      </c>
    </row>
    <row r="13" spans="1:10" x14ac:dyDescent="0.35">
      <c r="A13" s="255">
        <v>7</v>
      </c>
      <c r="B13" s="196">
        <v>861</v>
      </c>
      <c r="C13" s="54" t="s">
        <v>414</v>
      </c>
      <c r="D13" s="62">
        <v>46131</v>
      </c>
      <c r="E13" s="54">
        <v>4</v>
      </c>
      <c r="F13" s="54"/>
      <c r="G13" s="54"/>
      <c r="H13" s="196" t="s">
        <v>132</v>
      </c>
      <c r="I13" s="54" t="s">
        <v>135</v>
      </c>
      <c r="J13" s="79" t="str">
        <f>IF(OR(NOT(ISERROR(MATCH(RIGHT(B13,3)+0,#REF!,0))),NOT(ISERROR(MATCH(LEFT(B13,3)+0,#REF!,0)))),"No Post","")</f>
        <v/>
      </c>
    </row>
    <row r="14" spans="1:10" x14ac:dyDescent="0.35">
      <c r="A14" s="255">
        <v>8</v>
      </c>
      <c r="B14" s="235">
        <v>629</v>
      </c>
      <c r="C14" s="54" t="s">
        <v>415</v>
      </c>
      <c r="D14" s="62">
        <v>46127</v>
      </c>
      <c r="E14" s="54">
        <v>2</v>
      </c>
      <c r="F14" s="54"/>
      <c r="G14" s="54">
        <v>56.76</v>
      </c>
      <c r="H14" s="235" t="s">
        <v>430</v>
      </c>
      <c r="I14" s="54" t="s">
        <v>156</v>
      </c>
      <c r="J14" s="79" t="str">
        <f>IF(OR(NOT(ISERROR(MATCH(RIGHT(B14,3)+0,#REF!,0))),NOT(ISERROR(MATCH(LEFT(B14,3)+0,#REF!,0)))),"No Post","")</f>
        <v/>
      </c>
    </row>
    <row r="15" spans="1:10" x14ac:dyDescent="0.35">
      <c r="A15" s="255">
        <v>9</v>
      </c>
      <c r="B15" s="130">
        <v>621</v>
      </c>
      <c r="C15" s="54" t="s">
        <v>420</v>
      </c>
      <c r="D15" s="62">
        <v>46127</v>
      </c>
      <c r="E15" s="54">
        <v>2</v>
      </c>
      <c r="F15" s="54"/>
      <c r="G15" s="54"/>
      <c r="H15" s="130" t="s">
        <v>170</v>
      </c>
      <c r="I15" s="54" t="s">
        <v>406</v>
      </c>
      <c r="J15" s="79" t="str">
        <f>IF(OR(NOT(ISERROR(MATCH(RIGHT(B15,3)+0,#REF!,0))),NOT(ISERROR(MATCH(LEFT(B15,3)+0,#REF!,0)))),"No Post","")</f>
        <v/>
      </c>
    </row>
    <row r="16" spans="1:10" x14ac:dyDescent="0.35">
      <c r="A16" s="255">
        <v>10</v>
      </c>
      <c r="B16" s="105">
        <v>601</v>
      </c>
      <c r="C16" s="54" t="s">
        <v>424</v>
      </c>
      <c r="D16" s="62">
        <v>46130</v>
      </c>
      <c r="E16" s="54">
        <v>2</v>
      </c>
      <c r="F16" s="54">
        <v>1</v>
      </c>
      <c r="G16" s="54"/>
      <c r="H16" s="105" t="s">
        <v>124</v>
      </c>
      <c r="I16" s="54" t="s">
        <v>421</v>
      </c>
      <c r="J16" s="79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255">
        <v>11</v>
      </c>
      <c r="B17" s="97">
        <v>881</v>
      </c>
      <c r="C17" s="47" t="s">
        <v>425</v>
      </c>
      <c r="D17" s="48">
        <v>46128</v>
      </c>
      <c r="E17" s="46">
        <v>2</v>
      </c>
      <c r="F17" s="46"/>
      <c r="G17" s="46"/>
      <c r="H17" s="97" t="s">
        <v>124</v>
      </c>
      <c r="I17" s="46" t="s">
        <v>130</v>
      </c>
      <c r="J17" s="79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255">
        <v>12</v>
      </c>
      <c r="B18" s="98">
        <v>623</v>
      </c>
      <c r="C18" s="47" t="s">
        <v>426</v>
      </c>
      <c r="D18" s="48">
        <v>46127</v>
      </c>
      <c r="E18" s="46">
        <v>2</v>
      </c>
      <c r="F18" s="46"/>
      <c r="G18" s="46"/>
      <c r="H18" s="98" t="s">
        <v>170</v>
      </c>
      <c r="I18" s="46" t="s">
        <v>104</v>
      </c>
      <c r="J18" s="79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4">
        <v>13</v>
      </c>
      <c r="B19" s="46"/>
      <c r="C19" s="131" t="s">
        <v>321</v>
      </c>
      <c r="D19" s="48"/>
      <c r="E19" s="46"/>
      <c r="F19" s="46"/>
      <c r="G19" s="46"/>
      <c r="H19" s="47"/>
      <c r="I19" s="47"/>
      <c r="J19" s="79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4">
        <v>14</v>
      </c>
      <c r="B20" s="46"/>
      <c r="C20" s="47"/>
      <c r="D20" s="48"/>
      <c r="E20" s="46"/>
      <c r="F20" s="46"/>
      <c r="G20" s="46"/>
      <c r="H20" s="47"/>
      <c r="I20" s="47"/>
      <c r="J20" s="79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4">
        <v>15</v>
      </c>
      <c r="B21" s="46"/>
      <c r="C21" s="47"/>
      <c r="D21" s="48"/>
      <c r="E21" s="46"/>
      <c r="F21" s="46"/>
      <c r="G21" s="46"/>
      <c r="H21" s="47"/>
      <c r="I21" s="47"/>
      <c r="J21" s="79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4">
        <v>16</v>
      </c>
      <c r="B22" s="46"/>
      <c r="C22" s="47"/>
      <c r="D22" s="48"/>
      <c r="E22" s="46"/>
      <c r="F22" s="46"/>
      <c r="G22" s="46"/>
      <c r="H22" s="47"/>
      <c r="I22" s="47"/>
      <c r="J22" s="79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4">
        <v>17</v>
      </c>
      <c r="B23" s="46"/>
      <c r="C23" s="47"/>
      <c r="D23" s="48"/>
      <c r="E23" s="46"/>
      <c r="F23" s="46"/>
      <c r="G23" s="46"/>
      <c r="H23" s="47"/>
      <c r="I23" s="47"/>
      <c r="J23" s="79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4">
        <v>18</v>
      </c>
      <c r="B24" s="46"/>
      <c r="C24" s="47"/>
      <c r="D24" s="48"/>
      <c r="E24" s="46"/>
      <c r="F24" s="46"/>
      <c r="G24" s="46"/>
      <c r="H24" s="47"/>
      <c r="I24" s="47"/>
      <c r="J24" s="79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4">
        <v>19</v>
      </c>
      <c r="B25" s="46"/>
      <c r="C25" s="47"/>
      <c r="D25" s="48"/>
      <c r="E25" s="46"/>
      <c r="F25" s="46"/>
      <c r="G25" s="46"/>
      <c r="H25" s="47"/>
      <c r="I25" s="47"/>
      <c r="J25" s="79" t="str">
        <f>IF(OR(NOT(ISERROR(MATCH(RIGHT(B25,3)+0,#REF!,0))),NOT(ISERROR(MATCH(LEFT(B25,3)+0,#REF!,0)))),"No Post","")</f>
        <v/>
      </c>
    </row>
    <row r="26" spans="1:10" s="26" customFormat="1" ht="18.600000000000001" customHeight="1" x14ac:dyDescent="0.4">
      <c r="A26" s="54">
        <v>20</v>
      </c>
      <c r="B26" s="46"/>
      <c r="C26" s="47"/>
      <c r="D26" s="48"/>
      <c r="E26" s="46"/>
      <c r="F26" s="46"/>
      <c r="G26" s="46"/>
      <c r="H26" s="47"/>
      <c r="I26" s="47"/>
      <c r="J26" s="79" t="str">
        <f>IF(OR(NOT(ISERROR(MATCH(RIGHT(B26,3)+0,#REF!,0))),NOT(ISERROR(MATCH(LEFT(B26,3)+0,#REF!,0)))),"No Post","")</f>
        <v/>
      </c>
    </row>
    <row r="27" spans="1:10" ht="20.25" customHeight="1" x14ac:dyDescent="0.35">
      <c r="A27" s="49"/>
      <c r="B27" s="49"/>
      <c r="C27" s="49" t="str">
        <f>"Remaning: "&amp;IFERROR(MID(A5, SEARCH("MAX", A5) + LEN("MAX"), SEARCH("PAX", A5) - SEARCH("MAX", A5) - LEN("MAX")), "")+0-SUM(E27:F27)</f>
        <v>Remaning: 16</v>
      </c>
      <c r="D27" s="50" t="s">
        <v>19</v>
      </c>
      <c r="E27" s="51">
        <f>SUM(E17:E26)</f>
        <v>4</v>
      </c>
      <c r="F27" s="51">
        <f>SUM(F17:F26)</f>
        <v>0</v>
      </c>
      <c r="G27" s="49"/>
      <c r="H27" s="49"/>
      <c r="I27" s="49"/>
    </row>
    <row r="28" spans="1:10" ht="20.25" customHeight="1" x14ac:dyDescent="0.35">
      <c r="B28" s="8" t="s">
        <v>5</v>
      </c>
      <c r="C28" s="8"/>
      <c r="D28" s="35"/>
      <c r="E28" s="8"/>
      <c r="F28" s="8"/>
      <c r="G28" s="8"/>
    </row>
    <row r="29" spans="1:10" ht="20.25" customHeight="1" x14ac:dyDescent="0.35">
      <c r="B29" s="15" t="s">
        <v>6</v>
      </c>
      <c r="C29" s="9"/>
      <c r="D29" s="36"/>
      <c r="E29" s="9"/>
      <c r="F29" s="9"/>
      <c r="G29" s="9"/>
    </row>
    <row r="30" spans="1:10" ht="20.25" customHeight="1" x14ac:dyDescent="0.35">
      <c r="B30" s="15" t="s">
        <v>7</v>
      </c>
      <c r="C30" s="9"/>
      <c r="D30" s="36"/>
      <c r="E30" s="9"/>
      <c r="F30" s="9"/>
      <c r="G30" s="9"/>
    </row>
    <row r="31" spans="1:10" ht="20.25" customHeight="1" x14ac:dyDescent="0.35">
      <c r="B31" s="15" t="s">
        <v>8</v>
      </c>
      <c r="C31" s="9"/>
      <c r="D31" s="36"/>
      <c r="E31" s="9"/>
      <c r="F31" s="9"/>
      <c r="G31" s="9"/>
    </row>
    <row r="32" spans="1:10" x14ac:dyDescent="0.35">
      <c r="B32" s="15" t="s">
        <v>9</v>
      </c>
      <c r="C32" s="9"/>
      <c r="D32" s="36"/>
      <c r="E32" s="9"/>
      <c r="F32" s="9"/>
      <c r="G32" s="9"/>
    </row>
    <row r="33" spans="2:7" x14ac:dyDescent="0.35">
      <c r="B33" s="15" t="s">
        <v>10</v>
      </c>
      <c r="C33" s="9"/>
      <c r="D33" s="36"/>
      <c r="E33" s="9"/>
      <c r="F33" s="9"/>
      <c r="G33" s="9"/>
    </row>
    <row r="34" spans="2:7" x14ac:dyDescent="0.35">
      <c r="B34" s="15" t="s">
        <v>11</v>
      </c>
      <c r="C34" s="9"/>
      <c r="D34" s="36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7"/>
      <c r="E35" s="10"/>
      <c r="F35" s="10"/>
    </row>
    <row r="36" spans="2:7" s="11" customFormat="1" ht="15.6" x14ac:dyDescent="0.3">
      <c r="B36" s="16" t="s">
        <v>13</v>
      </c>
      <c r="C36" s="10"/>
      <c r="D36" s="37"/>
      <c r="E36" s="10"/>
      <c r="F36" s="10"/>
    </row>
    <row r="37" spans="2:7" s="13" customFormat="1" ht="20.25" customHeight="1" x14ac:dyDescent="0.35">
      <c r="B37" s="17" t="s">
        <v>14</v>
      </c>
      <c r="C37" s="12"/>
      <c r="D37" s="38"/>
    </row>
    <row r="38" spans="2:7" s="8" customFormat="1" ht="14.4" x14ac:dyDescent="0.3">
      <c r="B38" s="14"/>
      <c r="C38" s="9"/>
      <c r="D38" s="36"/>
      <c r="E38" s="9"/>
      <c r="F38" s="9"/>
      <c r="G38" s="9"/>
    </row>
    <row r="39" spans="2:7" s="9" customFormat="1" ht="13.8" x14ac:dyDescent="0.3">
      <c r="D39" s="36"/>
    </row>
    <row r="40" spans="2:7" x14ac:dyDescent="0.35">
      <c r="B40" s="9"/>
      <c r="C40" s="9"/>
      <c r="D40" s="36"/>
      <c r="E40" s="9"/>
      <c r="F40" s="9"/>
      <c r="G40" s="9"/>
    </row>
    <row r="41" spans="2:7" x14ac:dyDescent="0.35">
      <c r="B41" s="8"/>
      <c r="C41" s="8"/>
      <c r="D41" s="35"/>
      <c r="E41" s="8"/>
      <c r="F41" s="8"/>
      <c r="G41" s="8"/>
    </row>
    <row r="42" spans="2:7" x14ac:dyDescent="0.35">
      <c r="B42" s="9"/>
      <c r="C42" s="9"/>
      <c r="D42" s="36"/>
      <c r="E42" s="9"/>
      <c r="F42" s="9"/>
      <c r="G42" s="9"/>
    </row>
    <row r="43" spans="2:7" x14ac:dyDescent="0.35">
      <c r="B43" s="9"/>
      <c r="C43" s="9"/>
      <c r="D43" s="36"/>
      <c r="E43" s="9"/>
      <c r="F43" s="9"/>
      <c r="G43" s="9"/>
    </row>
    <row r="44" spans="2:7" x14ac:dyDescent="0.35">
      <c r="B44" s="9"/>
      <c r="C44" s="9"/>
      <c r="D44" s="36"/>
      <c r="E44" s="9"/>
      <c r="F44" s="9"/>
      <c r="G44" s="9"/>
    </row>
    <row r="45" spans="2:7" x14ac:dyDescent="0.35">
      <c r="B45" s="9"/>
      <c r="C45" s="9"/>
      <c r="D45" s="36"/>
      <c r="E45" s="9"/>
      <c r="F45" s="9"/>
      <c r="G45" s="9"/>
    </row>
    <row r="46" spans="2:7" x14ac:dyDescent="0.35">
      <c r="B46" s="9"/>
      <c r="C46" s="9"/>
      <c r="D46" s="36"/>
      <c r="E46" s="9"/>
      <c r="F46" s="9"/>
      <c r="G46" s="9"/>
    </row>
    <row r="47" spans="2:7" x14ac:dyDescent="0.35">
      <c r="B47" s="9"/>
      <c r="C47" s="9"/>
      <c r="D47" s="36"/>
      <c r="E47" s="9"/>
      <c r="F47" s="9"/>
      <c r="G47" s="9"/>
    </row>
    <row r="48" spans="2:7" x14ac:dyDescent="0.35">
      <c r="B48" s="14"/>
      <c r="C48" s="9"/>
      <c r="D48" s="36"/>
      <c r="E48" s="9"/>
      <c r="F48" s="9"/>
      <c r="G48" s="9"/>
    </row>
    <row r="49" spans="2:7" x14ac:dyDescent="0.35">
      <c r="B49" s="9"/>
      <c r="C49" s="9"/>
      <c r="D49" s="36"/>
      <c r="E49" s="9"/>
      <c r="F49" s="9"/>
      <c r="G49" s="9"/>
    </row>
    <row r="51" spans="2:7" x14ac:dyDescent="0.35">
      <c r="B51" s="1"/>
      <c r="C51" s="1"/>
      <c r="D51" s="33"/>
      <c r="E51" s="1"/>
      <c r="F51" s="1"/>
      <c r="G51" s="1"/>
    </row>
    <row r="66" spans="2:7" x14ac:dyDescent="0.35">
      <c r="B66" s="9"/>
      <c r="C66" s="9"/>
      <c r="D66" s="36"/>
      <c r="E66" s="9"/>
      <c r="F66" s="9"/>
      <c r="G66" s="9"/>
    </row>
    <row r="67" spans="2:7" x14ac:dyDescent="0.35">
      <c r="B67" s="9"/>
      <c r="C67" s="9"/>
      <c r="D67" s="36"/>
      <c r="E67" s="9"/>
      <c r="F67" s="9"/>
      <c r="G67" s="9"/>
    </row>
    <row r="68" spans="2:7" x14ac:dyDescent="0.35">
      <c r="B68" s="9"/>
      <c r="C68" s="9"/>
      <c r="D68" s="36"/>
      <c r="E68" s="9"/>
      <c r="F68" s="9"/>
      <c r="G68" s="9"/>
    </row>
    <row r="69" spans="2:7" x14ac:dyDescent="0.35">
      <c r="B69" s="14"/>
      <c r="C69" s="9"/>
      <c r="D69" s="36"/>
      <c r="E69" s="9"/>
      <c r="F69" s="9"/>
      <c r="G69" s="9"/>
    </row>
    <row r="70" spans="2:7" x14ac:dyDescent="0.35">
      <c r="B70" s="9"/>
      <c r="C70" s="9"/>
      <c r="D70" s="36"/>
      <c r="E70" s="9"/>
      <c r="F70" s="9"/>
      <c r="G70" s="9"/>
    </row>
  </sheetData>
  <customSheetViews>
    <customSheetView guid="{744BB052-D863-41D2-951C-2AB325855A97}" showPageBreaks="1" printArea="1" topLeftCell="A4">
      <selection activeCell="C13" sqref="C13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I7" sqref="I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I7" sqref="I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I7" sqref="I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I7" sqref="I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G5"/>
  </mergeCells>
  <conditionalFormatting sqref="J7:J26">
    <cfRule type="containsText" dxfId="16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6"/>
  <rowBreaks count="1" manualBreakCount="1">
    <brk id="38" min="1" max="8" man="1"/>
  </rowBreaks>
  <colBreaks count="1" manualBreakCount="1">
    <brk id="11" max="30" man="1"/>
  </colBreaks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7"/>
  <sheetViews>
    <sheetView zoomScaleNormal="100" zoomScaleSheetLayoutView="100" workbookViewId="0">
      <selection activeCell="C19" sqref="C19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3.4" x14ac:dyDescent="0.45">
      <c r="A5" s="381" t="s">
        <v>15</v>
      </c>
      <c r="B5" s="382"/>
      <c r="C5" s="382"/>
      <c r="D5" s="383"/>
      <c r="E5" s="383"/>
      <c r="F5" s="383"/>
      <c r="G5" s="383"/>
      <c r="H5" s="383"/>
      <c r="I5" s="383"/>
      <c r="J5" s="27" t="s">
        <v>18</v>
      </c>
      <c r="K5" s="28" t="str">
        <f ca="1">CONCATENATE((MID(CELL("filename",K5),FIND("]",CELL("filename",K5))+1,255)),"/04/2026")</f>
        <v>15/04/2026</v>
      </c>
    </row>
    <row r="6" spans="1:12" x14ac:dyDescent="0.35">
      <c r="A6" s="45"/>
      <c r="B6" s="251"/>
      <c r="C6" s="251"/>
      <c r="D6" s="52" t="s">
        <v>1</v>
      </c>
      <c r="E6" s="52" t="s">
        <v>2</v>
      </c>
      <c r="F6" s="53" t="s">
        <v>21</v>
      </c>
      <c r="G6" s="52" t="s">
        <v>16</v>
      </c>
      <c r="H6" s="52" t="s">
        <v>17</v>
      </c>
      <c r="I6" s="52" t="s">
        <v>3</v>
      </c>
      <c r="J6" s="54" t="s">
        <v>20</v>
      </c>
      <c r="K6" s="55" t="s">
        <v>4</v>
      </c>
    </row>
    <row r="7" spans="1:12" x14ac:dyDescent="0.35">
      <c r="A7" s="54">
        <v>1</v>
      </c>
      <c r="B7" s="255"/>
      <c r="C7" s="255"/>
      <c r="D7" s="130">
        <v>332</v>
      </c>
      <c r="E7" s="54" t="s">
        <v>45</v>
      </c>
      <c r="F7" s="62">
        <v>46131</v>
      </c>
      <c r="G7" s="54">
        <v>4</v>
      </c>
      <c r="H7" s="54"/>
      <c r="I7" s="54"/>
      <c r="J7" s="130" t="s">
        <v>170</v>
      </c>
      <c r="K7" s="54" t="s">
        <v>44</v>
      </c>
      <c r="L7" s="79" t="s">
        <v>67</v>
      </c>
    </row>
    <row r="8" spans="1:12" x14ac:dyDescent="0.35">
      <c r="A8" s="54">
        <v>2</v>
      </c>
      <c r="B8" s="255"/>
      <c r="C8" s="255"/>
      <c r="D8" s="130">
        <v>309</v>
      </c>
      <c r="E8" s="54" t="s">
        <v>70</v>
      </c>
      <c r="F8" s="62">
        <v>46128</v>
      </c>
      <c r="G8" s="54">
        <v>2</v>
      </c>
      <c r="H8" s="54"/>
      <c r="I8" s="54"/>
      <c r="J8" s="130" t="s">
        <v>170</v>
      </c>
      <c r="K8" s="54" t="s">
        <v>44</v>
      </c>
      <c r="L8" s="79" t="str">
        <f>IF(OR(NOT(ISERROR(MATCH(RIGHT(D8,3)+0,#REF!,0))),NOT(ISERROR(MATCH(LEFT(D8,3)+0,#REF!,0)))),"No Post","")</f>
        <v/>
      </c>
    </row>
    <row r="9" spans="1:12" x14ac:dyDescent="0.35">
      <c r="A9" s="170">
        <v>3</v>
      </c>
      <c r="B9" s="255"/>
      <c r="C9" s="255"/>
      <c r="D9" s="196">
        <v>815</v>
      </c>
      <c r="E9" s="54" t="s">
        <v>240</v>
      </c>
      <c r="F9" s="62">
        <v>46129</v>
      </c>
      <c r="G9" s="54">
        <v>2</v>
      </c>
      <c r="H9" s="54">
        <v>2</v>
      </c>
      <c r="I9" s="54"/>
      <c r="J9" s="196" t="s">
        <v>132</v>
      </c>
      <c r="K9" s="54" t="s">
        <v>239</v>
      </c>
      <c r="L9" s="79" t="str">
        <f>IF(OR(NOT(ISERROR(MATCH(RIGHT(D9,3)+0,#REF!,0))),NOT(ISERROR(MATCH(LEFT(D9,3)+0,#REF!,0)))),"No Post","")</f>
        <v/>
      </c>
    </row>
    <row r="10" spans="1:12" x14ac:dyDescent="0.35">
      <c r="A10" s="170">
        <v>4</v>
      </c>
      <c r="B10" s="255"/>
      <c r="C10" s="255"/>
      <c r="D10" s="105">
        <v>300</v>
      </c>
      <c r="E10" s="54" t="s">
        <v>292</v>
      </c>
      <c r="F10" s="62">
        <v>46130</v>
      </c>
      <c r="G10" s="54">
        <v>2</v>
      </c>
      <c r="H10" s="54"/>
      <c r="I10" s="54"/>
      <c r="J10" s="105" t="s">
        <v>124</v>
      </c>
      <c r="K10" s="54" t="s">
        <v>291</v>
      </c>
      <c r="L10" s="79" t="s">
        <v>449</v>
      </c>
    </row>
    <row r="11" spans="1:12" x14ac:dyDescent="0.35">
      <c r="A11" s="170">
        <v>5</v>
      </c>
      <c r="B11" s="255"/>
      <c r="C11" s="255"/>
      <c r="D11" s="130">
        <v>301</v>
      </c>
      <c r="E11" s="54" t="s">
        <v>375</v>
      </c>
      <c r="F11" s="62">
        <v>46129</v>
      </c>
      <c r="G11" s="54">
        <v>2</v>
      </c>
      <c r="H11" s="54"/>
      <c r="I11" s="54"/>
      <c r="J11" s="130" t="s">
        <v>170</v>
      </c>
      <c r="K11" s="54" t="s">
        <v>355</v>
      </c>
      <c r="L11" s="79" t="str">
        <f>IF(OR(NOT(ISERROR(MATCH(RIGHT(D11,3)+0,#REF!,0))),NOT(ISERROR(MATCH(LEFT(D11,3)+0,#REF!,0)))),"No Post","")</f>
        <v/>
      </c>
    </row>
    <row r="12" spans="1:12" x14ac:dyDescent="0.35">
      <c r="A12" s="170">
        <v>6</v>
      </c>
      <c r="B12" s="256"/>
      <c r="C12" s="256"/>
      <c r="D12" s="105">
        <v>603</v>
      </c>
      <c r="E12" s="54" t="s">
        <v>405</v>
      </c>
      <c r="F12" s="61">
        <v>46132</v>
      </c>
      <c r="G12" s="43">
        <v>2</v>
      </c>
      <c r="H12" s="43"/>
      <c r="I12" s="43" t="s">
        <v>436</v>
      </c>
      <c r="J12" s="105" t="s">
        <v>124</v>
      </c>
      <c r="K12" s="43" t="s">
        <v>135</v>
      </c>
      <c r="L12" s="43"/>
    </row>
    <row r="13" spans="1:12" x14ac:dyDescent="0.35">
      <c r="A13" s="170">
        <v>7</v>
      </c>
      <c r="B13" s="255"/>
      <c r="C13" s="255"/>
      <c r="D13" s="130">
        <v>873</v>
      </c>
      <c r="E13" s="54" t="s">
        <v>428</v>
      </c>
      <c r="F13" s="62">
        <v>46129</v>
      </c>
      <c r="G13" s="54">
        <v>2</v>
      </c>
      <c r="H13" s="54"/>
      <c r="I13" s="54"/>
      <c r="J13" s="130" t="s">
        <v>170</v>
      </c>
      <c r="K13" s="54" t="s">
        <v>427</v>
      </c>
      <c r="L13" s="79" t="str">
        <f>IF(OR(NOT(ISERROR(MATCH(RIGHT(D13,3)+0,#REF!,0))),NOT(ISERROR(MATCH(LEFT(D13,3)+0,#REF!,0)))),"No Post","")</f>
        <v/>
      </c>
    </row>
    <row r="14" spans="1:12" x14ac:dyDescent="0.35">
      <c r="A14" s="170">
        <v>8</v>
      </c>
      <c r="B14" s="255"/>
      <c r="C14" s="255"/>
      <c r="D14" s="196">
        <v>670</v>
      </c>
      <c r="E14" s="54" t="s">
        <v>433</v>
      </c>
      <c r="F14" s="62">
        <v>46139</v>
      </c>
      <c r="G14" s="54">
        <v>2</v>
      </c>
      <c r="H14" s="54"/>
      <c r="I14" s="54"/>
      <c r="J14" s="196" t="s">
        <v>132</v>
      </c>
      <c r="K14" s="54" t="s">
        <v>130</v>
      </c>
      <c r="L14" s="79" t="str">
        <f>IF(OR(NOT(ISERROR(MATCH(RIGHT(D14,3)+0,#REF!,0))),NOT(ISERROR(MATCH(LEFT(D14,3)+0,#REF!,0)))),"No Post","")</f>
        <v/>
      </c>
    </row>
    <row r="15" spans="1:12" x14ac:dyDescent="0.35">
      <c r="A15" s="170">
        <v>9</v>
      </c>
      <c r="B15" s="255"/>
      <c r="C15" s="255"/>
      <c r="D15" s="105">
        <v>812</v>
      </c>
      <c r="E15" s="54" t="s">
        <v>434</v>
      </c>
      <c r="F15" s="62">
        <v>46130</v>
      </c>
      <c r="G15" s="54">
        <v>2</v>
      </c>
      <c r="H15" s="54">
        <v>2</v>
      </c>
      <c r="I15" s="54"/>
      <c r="J15" s="105" t="s">
        <v>124</v>
      </c>
      <c r="K15" s="54" t="s">
        <v>164</v>
      </c>
      <c r="L15" s="79" t="s">
        <v>449</v>
      </c>
    </row>
    <row r="16" spans="1:12" x14ac:dyDescent="0.35">
      <c r="A16" s="54">
        <v>10</v>
      </c>
      <c r="B16" s="255"/>
      <c r="C16" s="255"/>
      <c r="D16" s="105">
        <v>875</v>
      </c>
      <c r="E16" s="54" t="s">
        <v>435</v>
      </c>
      <c r="F16" s="62">
        <v>46131</v>
      </c>
      <c r="G16" s="54">
        <v>2</v>
      </c>
      <c r="H16" s="54">
        <v>2</v>
      </c>
      <c r="I16" s="54"/>
      <c r="J16" s="105" t="s">
        <v>124</v>
      </c>
      <c r="K16" s="54" t="s">
        <v>164</v>
      </c>
      <c r="L16" s="79" t="s">
        <v>449</v>
      </c>
    </row>
    <row r="17" spans="1:12" ht="18.600000000000001" customHeight="1" x14ac:dyDescent="0.35">
      <c r="A17" s="54">
        <v>11</v>
      </c>
      <c r="B17" s="255"/>
      <c r="C17" s="255"/>
      <c r="D17" s="130">
        <v>333</v>
      </c>
      <c r="E17" s="47" t="s">
        <v>448</v>
      </c>
      <c r="F17" s="48">
        <v>46131</v>
      </c>
      <c r="G17" s="46">
        <v>2</v>
      </c>
      <c r="H17" s="46"/>
      <c r="I17" s="46"/>
      <c r="J17" s="130" t="s">
        <v>170</v>
      </c>
      <c r="K17" s="47"/>
      <c r="L17" s="79" t="str">
        <f>IF(OR(NOT(ISERROR(MATCH(RIGHT(D17,3)+0,#REF!,0))),NOT(ISERROR(MATCH(LEFT(D17,3)+0,#REF!,0)))),"No Post","")</f>
        <v/>
      </c>
    </row>
    <row r="18" spans="1:12" ht="18.600000000000001" customHeight="1" x14ac:dyDescent="0.35">
      <c r="A18" s="54">
        <v>12</v>
      </c>
      <c r="B18" s="54"/>
      <c r="C18" s="54"/>
      <c r="D18" s="46"/>
      <c r="E18" s="131" t="s">
        <v>321</v>
      </c>
      <c r="F18" s="48"/>
      <c r="G18" s="46"/>
      <c r="H18" s="46"/>
      <c r="I18" s="46"/>
      <c r="J18" s="47"/>
      <c r="K18" s="47"/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13</v>
      </c>
      <c r="B19" s="54"/>
      <c r="C19" s="54"/>
      <c r="D19" s="46"/>
      <c r="E19" s="47"/>
      <c r="F19" s="48"/>
      <c r="G19" s="46"/>
      <c r="H19" s="46"/>
      <c r="I19" s="46"/>
      <c r="J19" s="47"/>
      <c r="K19" s="47"/>
      <c r="L19" s="79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14</v>
      </c>
      <c r="B20" s="54"/>
      <c r="C20" s="54"/>
      <c r="D20" s="46"/>
      <c r="E20" s="47"/>
      <c r="F20" s="48"/>
      <c r="G20" s="46"/>
      <c r="H20" s="46"/>
      <c r="I20" s="46"/>
      <c r="J20" s="47"/>
      <c r="K20" s="47"/>
      <c r="L20" s="79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4">
        <v>15</v>
      </c>
      <c r="B21" s="54"/>
      <c r="C21" s="54"/>
      <c r="D21" s="46"/>
      <c r="E21" s="47"/>
      <c r="F21" s="48"/>
      <c r="G21" s="46"/>
      <c r="H21" s="46"/>
      <c r="I21" s="46"/>
      <c r="J21" s="47"/>
      <c r="K21" s="47"/>
      <c r="L21" s="79" t="str">
        <f>IF(OR(NOT(ISERROR(MATCH(RIGHT(D21,3)+0,#REF!,0))),NOT(ISERROR(MATCH(LEFT(D21,3)+0,#REF!,0)))),"No Post","")</f>
        <v/>
      </c>
    </row>
    <row r="22" spans="1:12" ht="18.600000000000001" customHeight="1" x14ac:dyDescent="0.35">
      <c r="A22" s="54">
        <v>16</v>
      </c>
      <c r="B22" s="54"/>
      <c r="C22" s="54"/>
      <c r="D22" s="46"/>
      <c r="E22" s="47"/>
      <c r="F22" s="48"/>
      <c r="G22" s="46"/>
      <c r="H22" s="46"/>
      <c r="I22" s="46"/>
      <c r="J22" s="47"/>
      <c r="K22" s="47"/>
      <c r="L22" s="79" t="str">
        <f>IF(OR(NOT(ISERROR(MATCH(RIGHT(D22,3)+0,#REF!,0))),NOT(ISERROR(MATCH(LEFT(D22,3)+0,#REF!,0)))),"No Post","")</f>
        <v/>
      </c>
    </row>
    <row r="23" spans="1:12" ht="18.600000000000001" customHeight="1" x14ac:dyDescent="0.35">
      <c r="A23" s="54">
        <v>17</v>
      </c>
      <c r="B23" s="54"/>
      <c r="C23" s="54"/>
      <c r="D23" s="46"/>
      <c r="E23" s="47"/>
      <c r="F23" s="48"/>
      <c r="G23" s="46"/>
      <c r="H23" s="46"/>
      <c r="I23" s="46"/>
      <c r="J23" s="47"/>
      <c r="K23" s="47"/>
      <c r="L23" s="79" t="str">
        <f>IF(OR(NOT(ISERROR(MATCH(RIGHT(D23,3)+0,#REF!,0))),NOT(ISERROR(MATCH(LEFT(D23,3)+0,#REF!,0)))),"No Post","")</f>
        <v/>
      </c>
    </row>
    <row r="24" spans="1:12" ht="18.600000000000001" customHeight="1" x14ac:dyDescent="0.35">
      <c r="A24" s="54">
        <v>18</v>
      </c>
      <c r="B24" s="54"/>
      <c r="C24" s="54"/>
      <c r="D24" s="46"/>
      <c r="E24" s="47"/>
      <c r="F24" s="48"/>
      <c r="G24" s="46"/>
      <c r="H24" s="46"/>
      <c r="I24" s="46"/>
      <c r="J24" s="47"/>
      <c r="K24" s="47"/>
      <c r="L24" s="79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54">
        <v>19</v>
      </c>
      <c r="B25" s="54"/>
      <c r="C25" s="54"/>
      <c r="D25" s="46"/>
      <c r="E25" s="47"/>
      <c r="F25" s="48"/>
      <c r="G25" s="46"/>
      <c r="H25" s="46"/>
      <c r="I25" s="46"/>
      <c r="J25" s="47"/>
      <c r="K25" s="47"/>
      <c r="L25" s="79" t="str">
        <f>IF(OR(NOT(ISERROR(MATCH(RIGHT(D25,3)+0,#REF!,0))),NOT(ISERROR(MATCH(LEFT(D25,3)+0,#REF!,0)))),"No Post","")</f>
        <v/>
      </c>
    </row>
    <row r="26" spans="1:12" s="26" customFormat="1" ht="18.600000000000001" customHeight="1" x14ac:dyDescent="0.4">
      <c r="A26" s="54">
        <v>20</v>
      </c>
      <c r="B26" s="54"/>
      <c r="C26" s="54"/>
      <c r="D26" s="46"/>
      <c r="E26" s="47"/>
      <c r="F26" s="48"/>
      <c r="G26" s="46"/>
      <c r="H26" s="46"/>
      <c r="I26" s="46"/>
      <c r="J26" s="47"/>
      <c r="K26" s="47"/>
      <c r="L26" s="79" t="str">
        <f>IF(OR(NOT(ISERROR(MATCH(RIGHT(D26,3)+0,#REF!,0))),NOT(ISERROR(MATCH(LEFT(D26,3)+0,#REF!,0)))),"No Post","")</f>
        <v/>
      </c>
    </row>
    <row r="27" spans="1:12" ht="20.25" customHeight="1" x14ac:dyDescent="0.35">
      <c r="A27" s="49"/>
      <c r="B27" s="49"/>
      <c r="C27" s="49"/>
      <c r="D27" s="49"/>
      <c r="E27" s="49" t="str">
        <f>"Remaning: "&amp;IFERROR(MID(A5, SEARCH("MAX", A5) + LEN("MAX"), SEARCH("PAX", A5) - SEARCH("MAX", A5) - LEN("MAX")), "")+0-SUM(G27:H27)</f>
        <v>Remaning: 18</v>
      </c>
      <c r="F27" s="50" t="s">
        <v>19</v>
      </c>
      <c r="G27" s="51">
        <f>SUM(G17:G26)</f>
        <v>2</v>
      </c>
      <c r="H27" s="51">
        <f>SUM(H17:H26)</f>
        <v>0</v>
      </c>
      <c r="I27" s="49"/>
      <c r="J27" s="49"/>
      <c r="K27" s="49"/>
    </row>
    <row r="28" spans="1:12" ht="20.25" customHeight="1" x14ac:dyDescent="0.35">
      <c r="D28" s="8" t="s">
        <v>5</v>
      </c>
      <c r="E28" s="8"/>
      <c r="F28" s="35"/>
      <c r="G28" s="8"/>
      <c r="H28" s="8"/>
      <c r="I28" s="8"/>
    </row>
    <row r="29" spans="1:12" ht="20.25" customHeight="1" x14ac:dyDescent="0.35">
      <c r="D29" s="15" t="s">
        <v>6</v>
      </c>
      <c r="E29" s="9"/>
      <c r="F29" s="36"/>
      <c r="G29" s="9"/>
      <c r="H29" s="9"/>
      <c r="I29" s="9"/>
    </row>
    <row r="30" spans="1:12" ht="20.25" customHeight="1" x14ac:dyDescent="0.35">
      <c r="D30" s="15" t="s">
        <v>7</v>
      </c>
      <c r="E30" s="9"/>
      <c r="F30" s="36"/>
      <c r="G30" s="9"/>
      <c r="H30" s="9"/>
      <c r="I30" s="9"/>
    </row>
    <row r="31" spans="1:12" ht="20.25" customHeight="1" x14ac:dyDescent="0.35">
      <c r="D31" s="15" t="s">
        <v>8</v>
      </c>
      <c r="E31" s="9"/>
      <c r="F31" s="36"/>
      <c r="G31" s="9"/>
      <c r="H31" s="9"/>
      <c r="I31" s="9"/>
    </row>
    <row r="32" spans="1:12" x14ac:dyDescent="0.35">
      <c r="D32" s="15" t="s">
        <v>9</v>
      </c>
      <c r="E32" s="9"/>
      <c r="F32" s="36"/>
      <c r="G32" s="9"/>
      <c r="H32" s="9"/>
      <c r="I32" s="9"/>
    </row>
    <row r="33" spans="4:9" x14ac:dyDescent="0.35">
      <c r="D33" s="15" t="s">
        <v>10</v>
      </c>
      <c r="E33" s="9"/>
      <c r="F33" s="36"/>
      <c r="G33" s="9"/>
      <c r="H33" s="9"/>
      <c r="I33" s="9"/>
    </row>
    <row r="34" spans="4:9" x14ac:dyDescent="0.35">
      <c r="D34" s="15" t="s">
        <v>11</v>
      </c>
      <c r="E34" s="9"/>
      <c r="F34" s="36"/>
      <c r="G34" s="9"/>
      <c r="H34" s="9"/>
      <c r="I34" s="9"/>
    </row>
    <row r="35" spans="4:9" s="11" customFormat="1" ht="15.6" x14ac:dyDescent="0.3">
      <c r="D35" s="16" t="s">
        <v>12</v>
      </c>
      <c r="E35" s="10"/>
      <c r="F35" s="37"/>
      <c r="G35" s="10"/>
      <c r="H35" s="10"/>
    </row>
    <row r="36" spans="4:9" s="11" customFormat="1" ht="15.6" x14ac:dyDescent="0.3">
      <c r="D36" s="16" t="s">
        <v>13</v>
      </c>
      <c r="E36" s="10"/>
      <c r="F36" s="37"/>
      <c r="G36" s="10"/>
      <c r="H36" s="10"/>
    </row>
    <row r="37" spans="4:9" s="13" customFormat="1" ht="20.25" customHeight="1" x14ac:dyDescent="0.35">
      <c r="D37" s="17" t="s">
        <v>14</v>
      </c>
      <c r="E37" s="12"/>
      <c r="F37" s="38"/>
    </row>
    <row r="38" spans="4:9" s="8" customFormat="1" ht="14.4" x14ac:dyDescent="0.3">
      <c r="D38" s="14"/>
      <c r="E38" s="9"/>
      <c r="F38" s="36"/>
      <c r="G38" s="9"/>
      <c r="H38" s="9"/>
      <c r="I38" s="9"/>
    </row>
    <row r="39" spans="4:9" x14ac:dyDescent="0.35">
      <c r="D39" s="9"/>
      <c r="E39" s="9"/>
      <c r="F39" s="36"/>
      <c r="G39" s="9"/>
      <c r="H39" s="9"/>
      <c r="I39" s="9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9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5" spans="4:9" x14ac:dyDescent="0.35">
      <c r="D45" s="14"/>
      <c r="E45" s="9"/>
      <c r="F45" s="36"/>
      <c r="G45" s="9"/>
      <c r="H45" s="9"/>
      <c r="I45" s="9"/>
    </row>
    <row r="46" spans="4:9" x14ac:dyDescent="0.35">
      <c r="D46" s="9"/>
      <c r="E46" s="9"/>
      <c r="F46" s="36"/>
      <c r="G46" s="9"/>
      <c r="H46" s="9"/>
      <c r="I46" s="9"/>
    </row>
    <row r="48" spans="4:9" x14ac:dyDescent="0.35">
      <c r="D48" s="1"/>
      <c r="E48" s="1"/>
      <c r="F48" s="33"/>
      <c r="G48" s="1"/>
      <c r="H48" s="1"/>
      <c r="I48" s="1"/>
    </row>
    <row r="63" spans="4:9" x14ac:dyDescent="0.35">
      <c r="D63" s="9"/>
      <c r="E63" s="9"/>
      <c r="F63" s="36"/>
      <c r="G63" s="9"/>
      <c r="H63" s="9"/>
      <c r="I63" s="9"/>
    </row>
    <row r="64" spans="4:9" x14ac:dyDescent="0.35">
      <c r="D64" s="9"/>
      <c r="E64" s="9"/>
      <c r="F64" s="36"/>
      <c r="G64" s="9"/>
      <c r="H64" s="9"/>
      <c r="I64" s="9"/>
    </row>
    <row r="65" spans="4:9" x14ac:dyDescent="0.35">
      <c r="D65" s="9"/>
      <c r="E65" s="9"/>
      <c r="F65" s="36"/>
      <c r="G65" s="9"/>
      <c r="H65" s="9"/>
      <c r="I65" s="9"/>
    </row>
    <row r="66" spans="4:9" x14ac:dyDescent="0.35">
      <c r="D66" s="14"/>
      <c r="E66" s="9"/>
      <c r="F66" s="36"/>
      <c r="G66" s="9"/>
      <c r="H66" s="9"/>
      <c r="I66" s="9"/>
    </row>
    <row r="67" spans="4:9" x14ac:dyDescent="0.35">
      <c r="D67" s="9"/>
      <c r="E67" s="9"/>
      <c r="F67" s="36"/>
      <c r="G67" s="9"/>
      <c r="H67" s="9"/>
      <c r="I67" s="9"/>
    </row>
  </sheetData>
  <customSheetViews>
    <customSheetView guid="{744BB052-D863-41D2-951C-2AB325855A97}" showPageBreaks="1" fitToPage="1" printArea="1">
      <selection activeCell="C19" sqref="C19"/>
      <colBreaks count="1" manualBreakCount="1">
        <brk id="11" max="30" man="1"/>
      </colBreaks>
      <pageMargins left="0.17" right="0.17" top="0.75" bottom="0.75" header="0.3" footer="0.3"/>
      <pageSetup scale="71" orientation="landscape" r:id="rId1"/>
    </customSheetView>
    <customSheetView guid="{E646B2A6-D876-4850-BD6A-9EDE7D7D90A5}" fitToPage="1" topLeftCell="A4">
      <selection activeCell="C22" sqref="C22"/>
      <colBreaks count="1" manualBreakCount="1">
        <brk id="11" max="30" man="1"/>
      </colBreaks>
      <pageMargins left="0.17" right="0.17" top="0.75" bottom="0.75" header="0.3" footer="0.3"/>
      <pageSetup scale="81" orientation="landscape" r:id="rId2"/>
    </customSheetView>
    <customSheetView guid="{BF5B6E81-A93C-498B-825D-A8F997D33B36}" showPageBreaks="1" fitToPage="1" printArea="1" topLeftCell="A4">
      <selection activeCell="C22" sqref="C22"/>
      <colBreaks count="1" manualBreakCount="1">
        <brk id="11" max="30" man="1"/>
      </colBreaks>
      <pageMargins left="0.17" right="0.17" top="0.75" bottom="0.75" header="0.3" footer="0.3"/>
      <pageSetup scale="73" orientation="landscape" r:id="rId3"/>
    </customSheetView>
    <customSheetView guid="{F72E1D2B-35A0-48DE-9DE8-D5DC19588220}" showPageBreaks="1" fitToPage="1" printArea="1" topLeftCell="A4">
      <selection activeCell="C22" sqref="C22"/>
      <colBreaks count="1" manualBreakCount="1">
        <brk id="11" max="30" man="1"/>
      </colBreaks>
      <pageMargins left="0.17" right="0.17" top="0.75" bottom="0.75" header="0.3" footer="0.3"/>
      <pageSetup scale="73" orientation="landscape" r:id="rId4"/>
    </customSheetView>
    <customSheetView guid="{4E59406A-696F-45F3-96CE-A9A2B9D4DCC4}" showPageBreaks="1" fitToPage="1" printArea="1" topLeftCell="A4">
      <selection activeCell="C22" sqref="C22"/>
      <colBreaks count="1" manualBreakCount="1">
        <brk id="11" max="30" man="1"/>
      </colBreaks>
      <pageMargins left="0.17" right="0.17" top="0.75" bottom="0.75" header="0.3" footer="0.3"/>
      <pageSetup scale="71" orientation="landscape" r:id="rId5"/>
    </customSheetView>
  </customSheetViews>
  <mergeCells count="1">
    <mergeCell ref="A5:I5"/>
  </mergeCells>
  <conditionalFormatting sqref="L7:L26">
    <cfRule type="containsText" dxfId="15" priority="1" operator="containsText" text="No Post">
      <formula>NOT(ISERROR(SEARCH("No Post",L7)))</formula>
    </cfRule>
  </conditionalFormatting>
  <pageMargins left="0.17" right="0.17" top="0.75" bottom="0.75" header="0.3" footer="0.3"/>
  <pageSetup scale="71" orientation="landscape" r:id="rId6"/>
  <colBreaks count="1" manualBreakCount="1">
    <brk id="11" max="30" man="1"/>
  </colBreaks>
  <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5"/>
  <sheetViews>
    <sheetView topLeftCell="A4" zoomScaleNormal="100" zoomScaleSheetLayoutView="100" workbookViewId="0">
      <selection activeCell="G8" sqref="G8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5.8867187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4" x14ac:dyDescent="0.35">
      <c r="E2" s="18" t="s">
        <v>0</v>
      </c>
      <c r="F2" s="32"/>
      <c r="G2" s="5"/>
      <c r="H2" s="5"/>
    </row>
    <row r="4" spans="1:14" s="1" customFormat="1" thickBot="1" x14ac:dyDescent="0.4">
      <c r="F4" s="33"/>
    </row>
    <row r="5" spans="1:14" s="2" customFormat="1" ht="24" thickBot="1" x14ac:dyDescent="0.5">
      <c r="A5" s="384" t="s">
        <v>15</v>
      </c>
      <c r="B5" s="386"/>
      <c r="C5" s="386"/>
      <c r="D5" s="385"/>
      <c r="E5" s="385"/>
      <c r="F5" s="385"/>
      <c r="G5" s="385"/>
      <c r="H5" s="385"/>
      <c r="I5" s="385"/>
      <c r="J5" s="30" t="s">
        <v>18</v>
      </c>
      <c r="K5" s="31" t="str">
        <f ca="1">CONCATENATE((MID(CELL("filename",K5),FIND("]",CELL("filename",K5))+1,255)),"/04/2026")</f>
        <v>16/04/2026</v>
      </c>
    </row>
    <row r="6" spans="1:14" ht="18.600000000000001" thickBot="1" x14ac:dyDescent="0.4">
      <c r="A6" s="270"/>
      <c r="B6" s="271"/>
      <c r="C6" s="271"/>
      <c r="D6" s="272" t="s">
        <v>1</v>
      </c>
      <c r="E6" s="272" t="s">
        <v>2</v>
      </c>
      <c r="F6" s="273" t="s">
        <v>21</v>
      </c>
      <c r="G6" s="272" t="s">
        <v>16</v>
      </c>
      <c r="H6" s="272" t="s">
        <v>17</v>
      </c>
      <c r="I6" s="272" t="s">
        <v>3</v>
      </c>
      <c r="J6" s="274" t="s">
        <v>20</v>
      </c>
      <c r="K6" s="275" t="s">
        <v>4</v>
      </c>
    </row>
    <row r="7" spans="1:14" x14ac:dyDescent="0.35">
      <c r="A7" s="43">
        <v>1</v>
      </c>
      <c r="B7" s="43"/>
      <c r="C7" s="43"/>
      <c r="D7" s="128">
        <v>303</v>
      </c>
      <c r="E7" s="106" t="s">
        <v>442</v>
      </c>
      <c r="F7" s="121">
        <v>46130</v>
      </c>
      <c r="G7" s="106" t="s">
        <v>166</v>
      </c>
      <c r="H7" s="106"/>
      <c r="I7" s="106"/>
      <c r="J7" s="128" t="s">
        <v>106</v>
      </c>
      <c r="K7" s="106" t="s">
        <v>421</v>
      </c>
    </row>
    <row r="8" spans="1:14" x14ac:dyDescent="0.35">
      <c r="A8" s="54">
        <v>2</v>
      </c>
      <c r="B8" s="176"/>
      <c r="C8" s="176"/>
      <c r="D8" s="98">
        <v>304</v>
      </c>
      <c r="E8" s="46" t="s">
        <v>440</v>
      </c>
      <c r="F8" s="48">
        <v>46129</v>
      </c>
      <c r="G8" s="46">
        <v>2</v>
      </c>
      <c r="H8" s="46"/>
      <c r="I8" s="46"/>
      <c r="J8" s="98" t="s">
        <v>106</v>
      </c>
      <c r="K8" s="46" t="s">
        <v>130</v>
      </c>
    </row>
    <row r="9" spans="1:14" x14ac:dyDescent="0.35">
      <c r="A9" s="54">
        <v>3</v>
      </c>
      <c r="B9" s="176"/>
      <c r="C9" s="176"/>
      <c r="D9" s="97">
        <v>308</v>
      </c>
      <c r="E9" s="21" t="s">
        <v>374</v>
      </c>
      <c r="F9" s="48">
        <v>46133</v>
      </c>
      <c r="G9" s="46">
        <v>2</v>
      </c>
      <c r="H9" s="46"/>
      <c r="I9" s="46"/>
      <c r="J9" s="97" t="s">
        <v>124</v>
      </c>
      <c r="K9" s="46" t="s">
        <v>355</v>
      </c>
    </row>
    <row r="10" spans="1:14" x14ac:dyDescent="0.35">
      <c r="A10" s="54">
        <v>4</v>
      </c>
      <c r="B10" s="176"/>
      <c r="C10" s="176"/>
      <c r="D10" s="100">
        <v>341</v>
      </c>
      <c r="E10" s="46" t="s">
        <v>441</v>
      </c>
      <c r="F10" s="48">
        <v>46135</v>
      </c>
      <c r="G10" s="46">
        <v>2</v>
      </c>
      <c r="H10" s="46"/>
      <c r="I10" s="46"/>
      <c r="J10" s="100" t="s">
        <v>132</v>
      </c>
      <c r="K10" s="46" t="s">
        <v>130</v>
      </c>
    </row>
    <row r="11" spans="1:14" x14ac:dyDescent="0.35">
      <c r="A11" s="54">
        <v>5</v>
      </c>
      <c r="B11" s="176"/>
      <c r="C11" s="176"/>
      <c r="D11" s="97">
        <v>602</v>
      </c>
      <c r="E11" s="46" t="s">
        <v>423</v>
      </c>
      <c r="F11" s="48">
        <v>46132</v>
      </c>
      <c r="G11" s="46">
        <v>2</v>
      </c>
      <c r="H11" s="46"/>
      <c r="I11" s="46"/>
      <c r="J11" s="97" t="s">
        <v>124</v>
      </c>
      <c r="K11" s="46" t="s">
        <v>421</v>
      </c>
    </row>
    <row r="12" spans="1:14" x14ac:dyDescent="0.35">
      <c r="A12" s="54">
        <v>6</v>
      </c>
      <c r="B12" s="176"/>
      <c r="C12" s="176"/>
      <c r="D12" s="97">
        <v>605</v>
      </c>
      <c r="E12" s="46" t="s">
        <v>422</v>
      </c>
      <c r="F12" s="48">
        <v>46132</v>
      </c>
      <c r="G12" s="46">
        <v>2</v>
      </c>
      <c r="H12" s="46"/>
      <c r="I12" s="46"/>
      <c r="J12" s="97" t="s">
        <v>124</v>
      </c>
      <c r="K12" s="46" t="s">
        <v>421</v>
      </c>
    </row>
    <row r="13" spans="1:14" x14ac:dyDescent="0.35">
      <c r="A13" s="54">
        <v>7</v>
      </c>
      <c r="B13" s="176"/>
      <c r="C13" s="176"/>
      <c r="D13" s="97">
        <v>620</v>
      </c>
      <c r="E13" s="21" t="s">
        <v>61</v>
      </c>
      <c r="F13" s="48">
        <v>46133</v>
      </c>
      <c r="G13" s="46">
        <v>2</v>
      </c>
      <c r="H13" s="46"/>
      <c r="I13" s="46"/>
      <c r="J13" s="97" t="s">
        <v>124</v>
      </c>
      <c r="K13" s="46" t="s">
        <v>50</v>
      </c>
      <c r="L13" s="4" t="s">
        <v>67</v>
      </c>
      <c r="N13" s="263"/>
    </row>
    <row r="14" spans="1:14" x14ac:dyDescent="0.35">
      <c r="A14" s="54">
        <v>8</v>
      </c>
      <c r="B14" s="176"/>
      <c r="C14" s="176"/>
      <c r="D14" s="98">
        <v>630</v>
      </c>
      <c r="E14" s="46" t="s">
        <v>456</v>
      </c>
      <c r="F14" s="48">
        <v>46129</v>
      </c>
      <c r="G14" s="46">
        <v>2</v>
      </c>
      <c r="H14" s="46"/>
      <c r="I14" s="46"/>
      <c r="J14" s="98" t="s">
        <v>106</v>
      </c>
      <c r="K14" s="46" t="s">
        <v>455</v>
      </c>
    </row>
    <row r="15" spans="1:14" x14ac:dyDescent="0.35">
      <c r="A15" s="54">
        <v>9</v>
      </c>
      <c r="B15" s="176"/>
      <c r="C15" s="176"/>
      <c r="D15" s="97">
        <v>654</v>
      </c>
      <c r="E15" s="46" t="s">
        <v>438</v>
      </c>
      <c r="F15" s="48">
        <v>46134</v>
      </c>
      <c r="G15" s="46">
        <v>2</v>
      </c>
      <c r="H15" s="46"/>
      <c r="I15" s="46"/>
      <c r="J15" s="97" t="s">
        <v>124</v>
      </c>
      <c r="K15" s="46" t="s">
        <v>130</v>
      </c>
    </row>
    <row r="16" spans="1:14" x14ac:dyDescent="0.35">
      <c r="A16" s="54">
        <v>10</v>
      </c>
      <c r="B16" s="176"/>
      <c r="C16" s="176"/>
      <c r="D16" s="99" t="s">
        <v>465</v>
      </c>
      <c r="E16" s="46" t="s">
        <v>429</v>
      </c>
      <c r="F16" s="48">
        <v>46128</v>
      </c>
      <c r="G16" s="46">
        <v>2</v>
      </c>
      <c r="H16" s="46"/>
      <c r="I16" s="46">
        <v>56.76</v>
      </c>
      <c r="J16" s="99" t="s">
        <v>125</v>
      </c>
      <c r="K16" s="46" t="s">
        <v>322</v>
      </c>
    </row>
    <row r="17" spans="1:11" ht="18.600000000000001" customHeight="1" x14ac:dyDescent="0.35">
      <c r="A17" s="54">
        <v>11</v>
      </c>
      <c r="B17" s="176"/>
      <c r="C17" s="176"/>
      <c r="D17" s="98" t="s">
        <v>469</v>
      </c>
      <c r="E17" s="46" t="s">
        <v>447</v>
      </c>
      <c r="F17" s="48">
        <v>46128</v>
      </c>
      <c r="G17" s="46">
        <v>2</v>
      </c>
      <c r="H17" s="46"/>
      <c r="I17" s="46"/>
      <c r="J17" s="98" t="s">
        <v>106</v>
      </c>
      <c r="K17" s="46" t="s">
        <v>446</v>
      </c>
    </row>
    <row r="18" spans="1:11" ht="18.600000000000001" customHeight="1" x14ac:dyDescent="0.35">
      <c r="A18" s="54">
        <v>12</v>
      </c>
      <c r="B18" s="176"/>
      <c r="C18" s="176"/>
      <c r="D18" s="117">
        <v>840</v>
      </c>
      <c r="E18" s="46" t="s">
        <v>453</v>
      </c>
      <c r="F18" s="48">
        <v>46131</v>
      </c>
      <c r="G18" s="46">
        <v>2</v>
      </c>
      <c r="H18" s="46"/>
      <c r="I18" s="46"/>
      <c r="J18" s="117" t="s">
        <v>417</v>
      </c>
      <c r="K18" s="46" t="s">
        <v>294</v>
      </c>
    </row>
    <row r="19" spans="1:11" ht="18.600000000000001" customHeight="1" x14ac:dyDescent="0.35">
      <c r="A19" s="54">
        <v>13</v>
      </c>
      <c r="B19" s="176"/>
      <c r="C19" s="176"/>
      <c r="D19" s="98">
        <v>848</v>
      </c>
      <c r="E19" s="46" t="s">
        <v>416</v>
      </c>
      <c r="F19" s="48">
        <v>46130</v>
      </c>
      <c r="G19" s="46">
        <v>2</v>
      </c>
      <c r="H19" s="46"/>
      <c r="I19" s="46"/>
      <c r="J19" s="98" t="s">
        <v>106</v>
      </c>
      <c r="K19" s="46" t="s">
        <v>135</v>
      </c>
    </row>
    <row r="20" spans="1:11" ht="18.600000000000001" customHeight="1" x14ac:dyDescent="0.35">
      <c r="A20" s="82">
        <v>14</v>
      </c>
      <c r="B20" s="276"/>
      <c r="C20" s="276"/>
      <c r="D20" s="139">
        <v>850</v>
      </c>
      <c r="E20" s="269" t="s">
        <v>410</v>
      </c>
      <c r="F20" s="137">
        <v>46130</v>
      </c>
      <c r="G20" s="136">
        <v>2</v>
      </c>
      <c r="H20" s="136"/>
      <c r="I20" s="136"/>
      <c r="J20" s="100" t="s">
        <v>132</v>
      </c>
      <c r="K20" s="136" t="s">
        <v>135</v>
      </c>
    </row>
    <row r="21" spans="1:11" ht="18.600000000000001" customHeight="1" x14ac:dyDescent="0.35">
      <c r="A21" s="258"/>
      <c r="B21" s="268"/>
      <c r="C21" s="268"/>
      <c r="D21" s="259"/>
      <c r="E21" s="260"/>
      <c r="F21" s="260" t="s">
        <v>321</v>
      </c>
      <c r="G21" s="259"/>
      <c r="H21" s="259"/>
      <c r="I21" s="259"/>
      <c r="J21" s="260"/>
      <c r="K21" s="261"/>
    </row>
    <row r="22" spans="1:11" ht="20.25" customHeight="1" x14ac:dyDescent="0.35">
      <c r="A22" s="264"/>
      <c r="B22" s="265"/>
      <c r="C22" s="265"/>
      <c r="D22" s="265"/>
      <c r="E22" s="265" t="str">
        <f>"Remaning: "&amp;IFERROR(MID(A5, SEARCH("MAX", A5) + LEN("MAX"), SEARCH("PAX", A5) - SEARCH("MAX", A5) - LEN("MAX")), "")+0-SUM(G22:H22)</f>
        <v>Remaning: -6</v>
      </c>
      <c r="F22" s="266" t="s">
        <v>19</v>
      </c>
      <c r="G22" s="267">
        <f>SUM(G7:G21)</f>
        <v>26</v>
      </c>
      <c r="H22" s="267">
        <f>SUM(H7:H21)</f>
        <v>0</v>
      </c>
      <c r="I22" s="267">
        <f>G22+H22</f>
        <v>26</v>
      </c>
      <c r="J22" s="265"/>
      <c r="K22" s="251"/>
    </row>
    <row r="23" spans="1:11" ht="20.25" customHeight="1" x14ac:dyDescent="0.35">
      <c r="D23" s="8" t="s">
        <v>5</v>
      </c>
      <c r="E23" s="8"/>
      <c r="F23" s="35"/>
      <c r="G23" s="8"/>
      <c r="H23" s="8"/>
      <c r="I23" s="8"/>
    </row>
    <row r="24" spans="1:11" ht="20.25" customHeight="1" x14ac:dyDescent="0.35">
      <c r="D24" s="15" t="s">
        <v>6</v>
      </c>
      <c r="E24" s="9"/>
      <c r="F24" s="36"/>
      <c r="G24" s="9"/>
      <c r="H24" s="9"/>
      <c r="I24" s="9"/>
    </row>
    <row r="25" spans="1:11" ht="20.25" customHeight="1" x14ac:dyDescent="0.35">
      <c r="D25" s="15" t="s">
        <v>7</v>
      </c>
      <c r="E25" s="9"/>
      <c r="F25" s="36"/>
      <c r="G25" s="9"/>
      <c r="H25" s="9"/>
      <c r="I25" s="9"/>
    </row>
    <row r="26" spans="1:11" ht="20.25" customHeight="1" x14ac:dyDescent="0.35">
      <c r="D26" s="15" t="s">
        <v>8</v>
      </c>
      <c r="E26" s="9"/>
      <c r="F26" s="36"/>
      <c r="G26" s="9"/>
      <c r="H26" s="9"/>
      <c r="I26" s="9"/>
    </row>
    <row r="27" spans="1:11" x14ac:dyDescent="0.35">
      <c r="D27" s="15" t="s">
        <v>9</v>
      </c>
      <c r="E27" s="9"/>
      <c r="F27" s="36"/>
      <c r="G27" s="9"/>
      <c r="H27" s="9"/>
      <c r="I27" s="9"/>
    </row>
    <row r="28" spans="1:11" x14ac:dyDescent="0.35">
      <c r="D28" s="15" t="s">
        <v>10</v>
      </c>
      <c r="E28" s="9"/>
      <c r="F28" s="36"/>
      <c r="G28" s="9"/>
      <c r="H28" s="9"/>
      <c r="I28" s="9"/>
    </row>
    <row r="29" spans="1:11" x14ac:dyDescent="0.35">
      <c r="D29" s="15" t="s">
        <v>11</v>
      </c>
      <c r="E29" s="9"/>
      <c r="F29" s="36"/>
      <c r="G29" s="9"/>
      <c r="H29" s="9"/>
      <c r="I29" s="9"/>
    </row>
    <row r="30" spans="1:11" s="11" customFormat="1" ht="15.6" x14ac:dyDescent="0.3">
      <c r="D30" s="16" t="s">
        <v>12</v>
      </c>
      <c r="E30" s="10"/>
      <c r="F30" s="37"/>
      <c r="G30" s="10"/>
      <c r="H30" s="10"/>
    </row>
    <row r="31" spans="1:11" s="11" customFormat="1" ht="15.6" x14ac:dyDescent="0.3">
      <c r="D31" s="16" t="s">
        <v>13</v>
      </c>
      <c r="E31" s="10"/>
      <c r="F31" s="37"/>
      <c r="G31" s="10"/>
      <c r="H31" s="10"/>
    </row>
    <row r="32" spans="1:11" s="13" customFormat="1" ht="20.25" customHeight="1" x14ac:dyDescent="0.35">
      <c r="D32" s="17" t="s">
        <v>14</v>
      </c>
      <c r="E32" s="12"/>
      <c r="F32" s="38"/>
    </row>
    <row r="33" spans="4:9" s="8" customFormat="1" ht="14.4" x14ac:dyDescent="0.3">
      <c r="D33" s="14"/>
      <c r="E33" s="9"/>
      <c r="F33" s="36"/>
      <c r="G33" s="9"/>
      <c r="H33" s="9"/>
      <c r="I33" s="9"/>
    </row>
    <row r="34" spans="4:9" s="9" customFormat="1" ht="13.8" x14ac:dyDescent="0.3">
      <c r="F34" s="36"/>
    </row>
    <row r="35" spans="4:9" x14ac:dyDescent="0.35">
      <c r="D35" s="9"/>
      <c r="E35" s="9"/>
      <c r="F35" s="36"/>
      <c r="G35" s="9"/>
      <c r="H35" s="9"/>
      <c r="I35" s="9"/>
    </row>
    <row r="36" spans="4:9" x14ac:dyDescent="0.35">
      <c r="D36" s="8"/>
      <c r="E36" s="8"/>
      <c r="F36" s="35"/>
      <c r="G36" s="8"/>
      <c r="H36" s="8"/>
      <c r="I36" s="8"/>
    </row>
    <row r="37" spans="4:9" x14ac:dyDescent="0.35">
      <c r="D37" s="9"/>
      <c r="E37" s="9"/>
      <c r="F37" s="36"/>
      <c r="G37" s="9"/>
      <c r="H37" s="9"/>
      <c r="I37" s="9"/>
    </row>
    <row r="38" spans="4:9" x14ac:dyDescent="0.35">
      <c r="D38" s="9"/>
      <c r="E38" s="9"/>
      <c r="F38" s="36"/>
      <c r="G38" s="9"/>
      <c r="H38" s="9"/>
      <c r="I38" s="9"/>
    </row>
    <row r="39" spans="4:9" x14ac:dyDescent="0.35">
      <c r="D39" s="9"/>
      <c r="E39" s="9"/>
      <c r="F39" s="36"/>
      <c r="G39" s="9"/>
      <c r="H39" s="9"/>
      <c r="I39" s="9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14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6" spans="4:9" x14ac:dyDescent="0.35">
      <c r="D46" s="1"/>
      <c r="E46" s="1"/>
      <c r="F46" s="33"/>
      <c r="G46" s="1"/>
      <c r="H46" s="1"/>
      <c r="I46" s="1"/>
    </row>
    <row r="61" spans="4:9" x14ac:dyDescent="0.35">
      <c r="D61" s="9"/>
      <c r="E61" s="9"/>
      <c r="F61" s="36"/>
      <c r="G61" s="9"/>
      <c r="H61" s="9"/>
      <c r="I61" s="9"/>
    </row>
    <row r="62" spans="4:9" x14ac:dyDescent="0.35">
      <c r="D62" s="9"/>
      <c r="E62" s="9"/>
      <c r="F62" s="36"/>
      <c r="G62" s="9"/>
      <c r="H62" s="9"/>
      <c r="I62" s="9"/>
    </row>
    <row r="63" spans="4:9" x14ac:dyDescent="0.35">
      <c r="D63" s="9"/>
      <c r="E63" s="9"/>
      <c r="F63" s="36"/>
      <c r="G63" s="9"/>
      <c r="H63" s="9"/>
      <c r="I63" s="9"/>
    </row>
    <row r="64" spans="4:9" x14ac:dyDescent="0.35">
      <c r="D64" s="14"/>
      <c r="E64" s="9"/>
      <c r="F64" s="36"/>
      <c r="G64" s="9"/>
      <c r="H64" s="9"/>
      <c r="I64" s="9"/>
    </row>
    <row r="65" spans="4:9" x14ac:dyDescent="0.35">
      <c r="D65" s="9"/>
      <c r="E65" s="9"/>
      <c r="F65" s="36"/>
      <c r="G65" s="9"/>
      <c r="H65" s="9"/>
      <c r="I65" s="9"/>
    </row>
  </sheetData>
  <sortState ref="D7:L20">
    <sortCondition ref="D7"/>
  </sortState>
  <customSheetViews>
    <customSheetView guid="{744BB052-D863-41D2-951C-2AB325855A97}" showPageBreaks="1" fitToPage="1" printArea="1" topLeftCell="A4">
      <selection activeCell="G8" sqref="G8"/>
      <rowBreaks count="1" manualBreakCount="1">
        <brk id="32" min="3" max="10" man="1"/>
      </rowBreaks>
      <colBreaks count="1" manualBreakCount="1">
        <brk id="13" max="30" man="1"/>
      </colBreaks>
      <pageMargins left="0.17" right="0.17" top="0.75" bottom="0.75" header="0.3" footer="0.3"/>
      <pageSetup scale="72" orientation="landscape" r:id="rId1"/>
    </customSheetView>
    <customSheetView guid="{E646B2A6-D876-4850-BD6A-9EDE7D7D90A5}">
      <selection activeCell="C12" sqref="C12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C12" sqref="C12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C12" sqref="C12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C12" sqref="C12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1">
    <cfRule type="containsText" dxfId="14" priority="1" operator="containsText" text="No Post">
      <formula>NOT(ISERROR(SEARCH("No Post",L7)))</formula>
    </cfRule>
  </conditionalFormatting>
  <pageMargins left="0.17" right="0.17" top="0.75" bottom="0.75" header="0.3" footer="0.3"/>
  <pageSetup scale="72" orientation="landscape" r:id="rId6"/>
  <rowBreaks count="1" manualBreakCount="1">
    <brk id="32" min="3" max="10" man="1"/>
  </rowBreaks>
  <colBreaks count="1" manualBreakCount="1">
    <brk id="13" max="30" man="1"/>
  </colBreaks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7"/>
  <sheetViews>
    <sheetView topLeftCell="A4" zoomScaleNormal="100" zoomScaleSheetLayoutView="100" workbookViewId="0">
      <selection activeCell="E18" sqref="E18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3" x14ac:dyDescent="0.35">
      <c r="E2" s="18" t="s">
        <v>0</v>
      </c>
      <c r="F2" s="32"/>
      <c r="G2" s="5"/>
      <c r="H2" s="5"/>
    </row>
    <row r="4" spans="1:13" s="1" customFormat="1" thickBot="1" x14ac:dyDescent="0.4">
      <c r="F4" s="33"/>
    </row>
    <row r="5" spans="1:13" s="2" customFormat="1" ht="23.4" x14ac:dyDescent="0.45">
      <c r="A5" s="381" t="s">
        <v>371</v>
      </c>
      <c r="B5" s="382"/>
      <c r="C5" s="382"/>
      <c r="D5" s="383"/>
      <c r="E5" s="383"/>
      <c r="F5" s="383"/>
      <c r="G5" s="383"/>
      <c r="H5" s="383"/>
      <c r="I5" s="383"/>
      <c r="J5" s="27" t="s">
        <v>18</v>
      </c>
      <c r="K5" s="28" t="str">
        <f ca="1">CONCATENATE((MID(CELL("filename",K5),FIND("]",CELL("filename",K5))+1,255)),"/04/2026")</f>
        <v>17/04/2026</v>
      </c>
    </row>
    <row r="6" spans="1:13" x14ac:dyDescent="0.35">
      <c r="A6" s="45"/>
      <c r="B6" s="251"/>
      <c r="C6" s="251"/>
      <c r="D6" s="52" t="s">
        <v>1</v>
      </c>
      <c r="E6" s="52" t="s">
        <v>2</v>
      </c>
      <c r="F6" s="53" t="s">
        <v>21</v>
      </c>
      <c r="G6" s="52" t="s">
        <v>16</v>
      </c>
      <c r="H6" s="52" t="s">
        <v>17</v>
      </c>
      <c r="I6" s="52" t="s">
        <v>3</v>
      </c>
      <c r="J6" s="54" t="s">
        <v>20</v>
      </c>
      <c r="K6" s="55" t="s">
        <v>4</v>
      </c>
    </row>
    <row r="7" spans="1:13" x14ac:dyDescent="0.35">
      <c r="A7" s="54">
        <v>1</v>
      </c>
      <c r="B7" s="279"/>
      <c r="C7" s="279"/>
      <c r="D7" s="105">
        <v>675</v>
      </c>
      <c r="E7" s="54" t="s">
        <v>444</v>
      </c>
      <c r="F7" s="62">
        <v>46134</v>
      </c>
      <c r="G7" s="54">
        <v>2</v>
      </c>
      <c r="H7" s="54"/>
      <c r="I7" s="54"/>
      <c r="J7" s="105" t="s">
        <v>124</v>
      </c>
      <c r="K7" s="54" t="s">
        <v>388</v>
      </c>
      <c r="L7" s="79"/>
      <c r="M7" s="4" t="s">
        <v>346</v>
      </c>
    </row>
    <row r="8" spans="1:13" x14ac:dyDescent="0.35">
      <c r="A8" s="54">
        <v>2</v>
      </c>
      <c r="B8" s="279"/>
      <c r="C8" s="279"/>
      <c r="D8" s="105">
        <v>609</v>
      </c>
      <c r="E8" s="54" t="s">
        <v>431</v>
      </c>
      <c r="F8" s="62">
        <v>46133</v>
      </c>
      <c r="G8" s="54">
        <v>2</v>
      </c>
      <c r="H8" s="54"/>
      <c r="I8" s="54" t="s">
        <v>477</v>
      </c>
      <c r="J8" s="105" t="s">
        <v>124</v>
      </c>
      <c r="K8" s="54" t="s">
        <v>322</v>
      </c>
      <c r="L8" s="79" t="str">
        <f>IF(OR(NOT(ISERROR(MATCH(RIGHT(#REF!,3)+0,#REF!,0))),NOT(ISERROR(MATCH(LEFT(#REF!,3)+0,#REF!,0)))),"No Post","")</f>
        <v/>
      </c>
    </row>
    <row r="9" spans="1:13" x14ac:dyDescent="0.35">
      <c r="A9" s="54">
        <v>3</v>
      </c>
      <c r="B9" s="279"/>
      <c r="C9" s="279"/>
      <c r="D9" s="105">
        <v>610</v>
      </c>
      <c r="E9" s="54" t="s">
        <v>432</v>
      </c>
      <c r="F9" s="62">
        <v>46133</v>
      </c>
      <c r="G9" s="54">
        <v>1</v>
      </c>
      <c r="H9" s="54">
        <v>1</v>
      </c>
      <c r="I9" s="54" t="s">
        <v>477</v>
      </c>
      <c r="J9" s="105" t="s">
        <v>124</v>
      </c>
      <c r="K9" s="54" t="s">
        <v>322</v>
      </c>
      <c r="L9" s="79"/>
    </row>
    <row r="10" spans="1:13" x14ac:dyDescent="0.35">
      <c r="A10" s="54">
        <v>4</v>
      </c>
      <c r="B10" s="170"/>
      <c r="C10" s="279"/>
      <c r="D10" s="105">
        <v>676</v>
      </c>
      <c r="E10" s="54" t="s">
        <v>457</v>
      </c>
      <c r="F10" s="62">
        <v>46132</v>
      </c>
      <c r="G10" s="54">
        <v>2</v>
      </c>
      <c r="H10" s="54">
        <v>2</v>
      </c>
      <c r="I10" s="54"/>
      <c r="J10" s="105" t="s">
        <v>124</v>
      </c>
      <c r="K10" s="54" t="s">
        <v>459</v>
      </c>
      <c r="L10" s="79"/>
      <c r="M10" s="4" t="s">
        <v>346</v>
      </c>
    </row>
    <row r="11" spans="1:13" x14ac:dyDescent="0.35">
      <c r="A11" s="54">
        <v>5</v>
      </c>
      <c r="B11" s="279"/>
      <c r="C11" s="279"/>
      <c r="D11" s="196">
        <v>343</v>
      </c>
      <c r="E11" s="54" t="s">
        <v>460</v>
      </c>
      <c r="F11" s="62">
        <v>46131</v>
      </c>
      <c r="G11" s="54">
        <v>2</v>
      </c>
      <c r="H11" s="54"/>
      <c r="I11" s="54"/>
      <c r="J11" s="196" t="s">
        <v>132</v>
      </c>
      <c r="K11" s="54" t="s">
        <v>458</v>
      </c>
      <c r="L11" s="79"/>
    </row>
    <row r="12" spans="1:13" x14ac:dyDescent="0.35">
      <c r="A12" s="54">
        <v>6</v>
      </c>
      <c r="B12" s="279"/>
      <c r="C12" s="279"/>
      <c r="D12" s="105">
        <v>842</v>
      </c>
      <c r="E12" s="54" t="s">
        <v>461</v>
      </c>
      <c r="F12" s="62">
        <v>46134</v>
      </c>
      <c r="G12" s="54">
        <v>2</v>
      </c>
      <c r="H12" s="54" t="s">
        <v>462</v>
      </c>
      <c r="I12" s="54" t="s">
        <v>477</v>
      </c>
      <c r="J12" s="105" t="s">
        <v>124</v>
      </c>
      <c r="K12" s="54" t="s">
        <v>135</v>
      </c>
      <c r="L12" s="79"/>
      <c r="M12" s="4" t="s">
        <v>346</v>
      </c>
    </row>
    <row r="13" spans="1:13" x14ac:dyDescent="0.35">
      <c r="A13" s="54">
        <v>7</v>
      </c>
      <c r="B13" s="279"/>
      <c r="C13" s="279"/>
      <c r="D13" s="128">
        <v>885</v>
      </c>
      <c r="E13" s="54" t="s">
        <v>464</v>
      </c>
      <c r="F13" s="62">
        <v>46131</v>
      </c>
      <c r="G13" s="54">
        <v>2</v>
      </c>
      <c r="H13" s="54"/>
      <c r="I13" s="54"/>
      <c r="J13" s="128" t="s">
        <v>106</v>
      </c>
      <c r="K13" s="54" t="s">
        <v>463</v>
      </c>
      <c r="L13" s="79"/>
    </row>
    <row r="14" spans="1:13" x14ac:dyDescent="0.35">
      <c r="A14" s="54">
        <v>8</v>
      </c>
      <c r="B14" s="279"/>
      <c r="C14" s="279"/>
      <c r="D14" s="128">
        <v>303</v>
      </c>
      <c r="E14" s="106" t="s">
        <v>442</v>
      </c>
      <c r="F14" s="121">
        <v>46130</v>
      </c>
      <c r="G14" s="106">
        <v>2</v>
      </c>
      <c r="H14" s="106"/>
      <c r="I14" s="106"/>
      <c r="J14" s="128" t="s">
        <v>106</v>
      </c>
      <c r="K14" s="106" t="s">
        <v>421</v>
      </c>
      <c r="L14" s="79"/>
    </row>
    <row r="15" spans="1:13" x14ac:dyDescent="0.35">
      <c r="A15" s="54">
        <v>9</v>
      </c>
      <c r="B15" s="279"/>
      <c r="C15" s="278"/>
      <c r="D15" s="105">
        <v>652</v>
      </c>
      <c r="E15" s="46" t="s">
        <v>467</v>
      </c>
      <c r="F15" s="48">
        <v>46132</v>
      </c>
      <c r="G15" s="46">
        <v>2</v>
      </c>
      <c r="H15" s="46"/>
      <c r="I15" s="46"/>
      <c r="J15" s="105" t="s">
        <v>124</v>
      </c>
      <c r="K15" s="47" t="s">
        <v>466</v>
      </c>
      <c r="L15" s="79"/>
    </row>
    <row r="16" spans="1:13" x14ac:dyDescent="0.35">
      <c r="A16" s="54">
        <v>10</v>
      </c>
      <c r="B16" s="280"/>
      <c r="C16" s="280"/>
      <c r="D16" s="97">
        <v>614</v>
      </c>
      <c r="E16" s="46" t="s">
        <v>481</v>
      </c>
      <c r="F16" s="48">
        <v>46131</v>
      </c>
      <c r="G16" s="46">
        <v>2</v>
      </c>
      <c r="H16" s="46"/>
      <c r="I16" s="46"/>
      <c r="J16" s="105" t="s">
        <v>124</v>
      </c>
      <c r="K16" s="47" t="s">
        <v>167</v>
      </c>
      <c r="L16" s="79"/>
      <c r="M16" s="4" t="s">
        <v>346</v>
      </c>
    </row>
    <row r="17" spans="1:12" ht="18.600000000000001" customHeight="1" x14ac:dyDescent="0.35">
      <c r="A17" s="54">
        <v>11</v>
      </c>
      <c r="B17" s="280"/>
      <c r="C17" s="279"/>
      <c r="D17" s="130">
        <v>106</v>
      </c>
      <c r="E17" s="46" t="s">
        <v>479</v>
      </c>
      <c r="F17" s="48">
        <v>46132</v>
      </c>
      <c r="G17" s="46">
        <v>2</v>
      </c>
      <c r="H17" s="46"/>
      <c r="I17" s="46"/>
      <c r="J17" s="98" t="s">
        <v>106</v>
      </c>
      <c r="K17" s="47" t="s">
        <v>480</v>
      </c>
      <c r="L17" s="79"/>
    </row>
    <row r="18" spans="1:12" ht="18.600000000000001" customHeight="1" x14ac:dyDescent="0.35">
      <c r="A18" s="54">
        <v>12</v>
      </c>
      <c r="B18" s="279"/>
      <c r="C18" s="279"/>
      <c r="D18" s="196">
        <v>878</v>
      </c>
      <c r="E18" s="54"/>
      <c r="F18" s="54"/>
      <c r="G18" s="54">
        <v>2</v>
      </c>
      <c r="H18" s="54"/>
      <c r="I18" s="54"/>
      <c r="J18" s="196" t="s">
        <v>132</v>
      </c>
      <c r="K18" s="54"/>
      <c r="L18" s="79"/>
    </row>
    <row r="19" spans="1:12" ht="18.600000000000001" customHeight="1" x14ac:dyDescent="0.35">
      <c r="A19" s="54">
        <v>13</v>
      </c>
      <c r="B19" s="54"/>
      <c r="C19" s="54"/>
      <c r="D19" s="77"/>
      <c r="E19" s="77"/>
      <c r="F19" s="262"/>
      <c r="G19" s="77"/>
      <c r="H19" s="77"/>
      <c r="I19" s="77"/>
      <c r="J19" s="77"/>
      <c r="K19" s="77"/>
      <c r="L19" s="79"/>
    </row>
    <row r="20" spans="1:12" ht="18.600000000000001" customHeight="1" x14ac:dyDescent="0.35">
      <c r="A20" s="54">
        <v>14</v>
      </c>
      <c r="B20" s="54"/>
      <c r="C20" s="54"/>
      <c r="D20" s="77"/>
      <c r="E20" s="77"/>
      <c r="F20" s="262"/>
      <c r="G20" s="77"/>
      <c r="H20" s="77"/>
      <c r="I20" s="77"/>
      <c r="J20" s="77"/>
      <c r="K20" s="77"/>
      <c r="L20" s="79"/>
    </row>
    <row r="21" spans="1:12" ht="18.600000000000001" customHeight="1" x14ac:dyDescent="0.35">
      <c r="A21" s="54">
        <v>15</v>
      </c>
      <c r="B21" s="54"/>
      <c r="C21" s="54"/>
      <c r="D21" s="105">
        <v>330</v>
      </c>
      <c r="E21" s="54" t="s">
        <v>439</v>
      </c>
      <c r="F21" s="62">
        <v>46133</v>
      </c>
      <c r="G21" s="54" t="s">
        <v>229</v>
      </c>
      <c r="H21" s="54"/>
      <c r="I21" s="54" t="s">
        <v>478</v>
      </c>
      <c r="J21" s="105" t="s">
        <v>124</v>
      </c>
      <c r="K21" s="54" t="s">
        <v>130</v>
      </c>
      <c r="L21" s="79" t="str">
        <f>IF(OR(NOT(ISERROR(MATCH(RIGHT(D21,3)+0,#REF!,0))),NOT(ISERROR(MATCH(LEFT(D21,3)+0,#REF!,0)))),"No Post","")</f>
        <v/>
      </c>
    </row>
    <row r="22" spans="1:12" ht="18.600000000000001" customHeight="1" x14ac:dyDescent="0.35">
      <c r="A22" s="54"/>
      <c r="B22" s="54"/>
      <c r="C22" s="54"/>
      <c r="D22" s="54" t="s">
        <v>23</v>
      </c>
      <c r="E22" s="54" t="s">
        <v>52</v>
      </c>
      <c r="F22" s="62">
        <v>46134</v>
      </c>
      <c r="G22" s="54" t="s">
        <v>220</v>
      </c>
      <c r="H22" s="54"/>
      <c r="I22" s="54"/>
      <c r="J22" s="54">
        <v>25899654</v>
      </c>
      <c r="K22" s="54" t="s">
        <v>24</v>
      </c>
      <c r="L22" s="79"/>
    </row>
    <row r="23" spans="1:12" ht="18.600000000000001" customHeight="1" x14ac:dyDescent="0.35">
      <c r="A23" s="54">
        <v>16</v>
      </c>
      <c r="B23" s="54"/>
      <c r="C23" s="54"/>
      <c r="D23" s="54" t="s">
        <v>23</v>
      </c>
      <c r="E23" s="125" t="s">
        <v>79</v>
      </c>
      <c r="F23" s="62">
        <v>46131</v>
      </c>
      <c r="G23" s="54" t="s">
        <v>166</v>
      </c>
      <c r="H23" s="54"/>
      <c r="I23" s="54"/>
      <c r="J23" s="277" t="s">
        <v>80</v>
      </c>
      <c r="K23" s="54" t="s">
        <v>44</v>
      </c>
      <c r="L23" s="79" t="str">
        <f>IF(OR(NOT(ISERROR(MATCH(RIGHT(D23,3)+0,#REF!,0))),NOT(ISERROR(MATCH(LEFT(D23,3)+0,#REF!,0)))),"No Post","")</f>
        <v/>
      </c>
    </row>
    <row r="24" spans="1:12" ht="20.25" customHeight="1" x14ac:dyDescent="0.35">
      <c r="A24" s="49"/>
      <c r="B24" s="49"/>
      <c r="C24" s="49"/>
      <c r="D24" s="49"/>
      <c r="E24" s="49" t="str">
        <f>"Remaning: "&amp;IFERROR(MID(A5, SEARCH("MAX", A5) + LEN("MAX"), SEARCH("PAX", A5) - SEARCH("MAX", A5) - LEN("MAX")), "")+0-SUM(G24:H24)</f>
        <v>Remaning: 2</v>
      </c>
      <c r="F24" s="50" t="s">
        <v>19</v>
      </c>
      <c r="G24" s="51">
        <f>SUM(G7:G23)</f>
        <v>23</v>
      </c>
      <c r="H24" s="51">
        <f>SUM(H7:H23)</f>
        <v>3</v>
      </c>
      <c r="I24" s="49"/>
      <c r="J24" s="49"/>
      <c r="K24" s="49"/>
    </row>
    <row r="25" spans="1:12" ht="20.25" customHeight="1" x14ac:dyDescent="0.35">
      <c r="D25" s="8" t="s">
        <v>5</v>
      </c>
      <c r="E25" s="8"/>
      <c r="F25" s="35"/>
      <c r="G25" s="8"/>
      <c r="H25" s="8"/>
      <c r="I25" s="8"/>
    </row>
    <row r="26" spans="1:12" ht="20.25" customHeight="1" x14ac:dyDescent="0.35">
      <c r="D26" s="15" t="s">
        <v>6</v>
      </c>
      <c r="E26" s="9"/>
      <c r="F26" s="36"/>
      <c r="G26" s="9"/>
      <c r="H26" s="9"/>
      <c r="I26" s="9"/>
    </row>
    <row r="27" spans="1:12" ht="20.25" customHeight="1" x14ac:dyDescent="0.35">
      <c r="D27" s="15" t="s">
        <v>7</v>
      </c>
      <c r="E27" s="9"/>
      <c r="F27" s="36"/>
      <c r="G27" s="9"/>
      <c r="H27" s="9"/>
      <c r="I27" s="9"/>
    </row>
    <row r="28" spans="1:12" ht="20.25" customHeight="1" x14ac:dyDescent="0.35">
      <c r="D28" s="15" t="s">
        <v>8</v>
      </c>
      <c r="E28" s="9"/>
      <c r="F28" s="36"/>
      <c r="G28" s="9"/>
      <c r="H28" s="9"/>
      <c r="I28" s="9"/>
    </row>
    <row r="29" spans="1:12" x14ac:dyDescent="0.35">
      <c r="D29" s="15" t="s">
        <v>9</v>
      </c>
      <c r="E29" s="9"/>
      <c r="F29" s="36"/>
      <c r="G29" s="9"/>
      <c r="H29" s="9"/>
      <c r="I29" s="9"/>
    </row>
    <row r="30" spans="1:12" x14ac:dyDescent="0.35">
      <c r="D30" s="15" t="s">
        <v>10</v>
      </c>
      <c r="E30" s="9"/>
      <c r="F30" s="36"/>
      <c r="G30" s="9"/>
      <c r="H30" s="9"/>
      <c r="I30" s="9"/>
    </row>
    <row r="31" spans="1:12" x14ac:dyDescent="0.35">
      <c r="D31" s="15" t="s">
        <v>11</v>
      </c>
      <c r="E31" s="9"/>
      <c r="F31" s="36"/>
      <c r="G31" s="9"/>
      <c r="H31" s="9"/>
      <c r="I31" s="9"/>
    </row>
    <row r="32" spans="1:12" s="11" customFormat="1" ht="15.6" x14ac:dyDescent="0.3">
      <c r="D32" s="16" t="s">
        <v>12</v>
      </c>
      <c r="E32" s="10"/>
      <c r="F32" s="37"/>
      <c r="G32" s="10"/>
      <c r="H32" s="10"/>
    </row>
    <row r="33" spans="4:9" s="11" customFormat="1" ht="15.6" x14ac:dyDescent="0.3">
      <c r="D33" s="16" t="s">
        <v>13</v>
      </c>
      <c r="E33" s="10"/>
      <c r="F33" s="37"/>
      <c r="G33" s="10"/>
      <c r="H33" s="10"/>
    </row>
    <row r="34" spans="4:9" s="13" customFormat="1" ht="20.25" customHeight="1" x14ac:dyDescent="0.35">
      <c r="D34" s="17" t="s">
        <v>14</v>
      </c>
      <c r="E34" s="12"/>
      <c r="F34" s="38"/>
    </row>
    <row r="35" spans="4:9" s="8" customFormat="1" ht="14.4" x14ac:dyDescent="0.3">
      <c r="D35" s="14"/>
      <c r="E35" s="9"/>
      <c r="F35" s="36"/>
      <c r="G35" s="9"/>
      <c r="H35" s="9"/>
      <c r="I35" s="9"/>
    </row>
    <row r="36" spans="4:9" s="9" customFormat="1" ht="13.8" x14ac:dyDescent="0.3">
      <c r="F36" s="36"/>
    </row>
    <row r="37" spans="4:9" x14ac:dyDescent="0.35">
      <c r="D37" s="9"/>
      <c r="E37" s="9"/>
      <c r="F37" s="36"/>
      <c r="G37" s="9"/>
      <c r="H37" s="9"/>
      <c r="I37" s="9"/>
    </row>
    <row r="38" spans="4:9" x14ac:dyDescent="0.35">
      <c r="D38" s="8"/>
      <c r="E38" s="8"/>
      <c r="F38" s="35"/>
      <c r="G38" s="8"/>
      <c r="H38" s="8"/>
      <c r="I38" s="8"/>
    </row>
    <row r="39" spans="4:9" x14ac:dyDescent="0.35">
      <c r="D39" s="9"/>
      <c r="E39" s="9"/>
      <c r="F39" s="36"/>
      <c r="G39" s="9"/>
      <c r="H39" s="9"/>
      <c r="I39" s="9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9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5" spans="4:9" x14ac:dyDescent="0.35">
      <c r="D45" s="14"/>
      <c r="E45" s="9"/>
      <c r="F45" s="36"/>
      <c r="G45" s="9"/>
      <c r="H45" s="9"/>
      <c r="I45" s="9"/>
    </row>
    <row r="46" spans="4:9" x14ac:dyDescent="0.35">
      <c r="D46" s="9"/>
      <c r="E46" s="9"/>
      <c r="F46" s="36"/>
      <c r="G46" s="9"/>
      <c r="H46" s="9"/>
      <c r="I46" s="9"/>
    </row>
    <row r="48" spans="4:9" x14ac:dyDescent="0.35">
      <c r="D48" s="1"/>
      <c r="E48" s="1"/>
      <c r="F48" s="33"/>
      <c r="G48" s="1"/>
      <c r="H48" s="1"/>
      <c r="I48" s="1"/>
    </row>
    <row r="63" spans="4:9" x14ac:dyDescent="0.35">
      <c r="D63" s="9"/>
      <c r="E63" s="9"/>
      <c r="F63" s="36"/>
      <c r="G63" s="9"/>
      <c r="H63" s="9"/>
      <c r="I63" s="9"/>
    </row>
    <row r="64" spans="4:9" x14ac:dyDescent="0.35">
      <c r="D64" s="9"/>
      <c r="E64" s="9"/>
      <c r="F64" s="36"/>
      <c r="G64" s="9"/>
      <c r="H64" s="9"/>
      <c r="I64" s="9"/>
    </row>
    <row r="65" spans="4:9" x14ac:dyDescent="0.35">
      <c r="D65" s="9"/>
      <c r="E65" s="9"/>
      <c r="F65" s="36"/>
      <c r="G65" s="9"/>
      <c r="H65" s="9"/>
      <c r="I65" s="9"/>
    </row>
    <row r="66" spans="4:9" x14ac:dyDescent="0.35">
      <c r="D66" s="14"/>
      <c r="E66" s="9"/>
      <c r="F66" s="36"/>
      <c r="G66" s="9"/>
      <c r="H66" s="9"/>
      <c r="I66" s="9"/>
    </row>
    <row r="67" spans="4:9" x14ac:dyDescent="0.35">
      <c r="D67" s="9"/>
      <c r="E67" s="9"/>
      <c r="F67" s="36"/>
      <c r="G67" s="9"/>
      <c r="H67" s="9"/>
      <c r="I67" s="9"/>
    </row>
  </sheetData>
  <customSheetViews>
    <customSheetView guid="{744BB052-D863-41D2-951C-2AB325855A97}" showPageBreaks="1" printArea="1" topLeftCell="A4">
      <selection activeCell="E18" sqref="E18"/>
      <rowBreaks count="1" manualBreakCount="1">
        <brk id="35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C16" sqref="C16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C16" sqref="C16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C16" sqref="C16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B17" sqref="B1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3">
    <cfRule type="containsText" dxfId="13" priority="1" operator="containsText" text="No Post">
      <formula>NOT(ISERROR(SEARCH("No Post",L7)))</formula>
    </cfRule>
  </conditionalFormatting>
  <pageMargins left="0.17" right="0.17" top="0.75" bottom="0.75" header="0.3" footer="0.3"/>
  <pageSetup scale="64" orientation="landscape" r:id="rId6"/>
  <rowBreaks count="1" manualBreakCount="1">
    <brk id="35" min="3" max="10" man="1"/>
  </rowBreaks>
  <colBreaks count="1" manualBreakCount="1">
    <brk id="13" max="30" man="1"/>
  </colBreaks>
  <drawing r:id="rId7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0"/>
  <sheetViews>
    <sheetView topLeftCell="A4" zoomScaleNormal="100" zoomScaleSheetLayoutView="100" workbookViewId="0">
      <selection activeCell="H11" sqref="H11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5.10937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3.4" x14ac:dyDescent="0.45">
      <c r="A5" s="381" t="s">
        <v>371</v>
      </c>
      <c r="B5" s="382"/>
      <c r="C5" s="382"/>
      <c r="D5" s="383"/>
      <c r="E5" s="383"/>
      <c r="F5" s="383"/>
      <c r="G5" s="383"/>
      <c r="H5" s="383"/>
      <c r="I5" s="383"/>
      <c r="J5" s="27" t="s">
        <v>18</v>
      </c>
      <c r="K5" s="28" t="str">
        <f ca="1">CONCATENATE((MID(CELL("filename",K5),FIND("]",CELL("filename",K5))+1,255)),"/04/2026")</f>
        <v>18/04/2026</v>
      </c>
    </row>
    <row r="6" spans="1:12" x14ac:dyDescent="0.35">
      <c r="A6" s="45"/>
      <c r="B6" s="251"/>
      <c r="C6" s="251"/>
      <c r="D6" s="52" t="s">
        <v>1</v>
      </c>
      <c r="E6" s="52" t="s">
        <v>2</v>
      </c>
      <c r="F6" s="53" t="s">
        <v>21</v>
      </c>
      <c r="G6" s="52" t="s">
        <v>16</v>
      </c>
      <c r="H6" s="52" t="s">
        <v>17</v>
      </c>
      <c r="I6" s="52" t="s">
        <v>3</v>
      </c>
      <c r="J6" s="54" t="s">
        <v>20</v>
      </c>
      <c r="K6" s="55" t="s">
        <v>4</v>
      </c>
    </row>
    <row r="7" spans="1:12" x14ac:dyDescent="0.35">
      <c r="A7" s="54">
        <v>1</v>
      </c>
      <c r="B7" s="279"/>
      <c r="C7" s="279"/>
      <c r="D7" s="98">
        <v>305</v>
      </c>
      <c r="E7" s="46" t="s">
        <v>476</v>
      </c>
      <c r="F7" s="48">
        <v>46133</v>
      </c>
      <c r="G7" s="46">
        <v>2</v>
      </c>
      <c r="H7" s="46"/>
      <c r="I7" s="46"/>
      <c r="J7" s="98" t="s">
        <v>106</v>
      </c>
      <c r="K7" s="46" t="s">
        <v>167</v>
      </c>
      <c r="L7" s="286" t="str">
        <f>IF(OR(NOT(ISERROR(MATCH(RIGHT(D7,3)+0,#REF!,0))),NOT(ISERROR(MATCH(LEFT(D7,3)+0,#REF!,0)))),"No Post","")</f>
        <v/>
      </c>
    </row>
    <row r="8" spans="1:12" x14ac:dyDescent="0.35">
      <c r="A8" s="54">
        <v>2</v>
      </c>
      <c r="B8" s="279"/>
      <c r="C8" s="279"/>
      <c r="D8" s="163">
        <v>306</v>
      </c>
      <c r="E8" s="46" t="s">
        <v>83</v>
      </c>
      <c r="F8" s="48">
        <v>46135</v>
      </c>
      <c r="G8" s="46">
        <v>2</v>
      </c>
      <c r="H8" s="46"/>
      <c r="I8" s="46"/>
      <c r="J8" s="97" t="s">
        <v>124</v>
      </c>
      <c r="K8" s="46" t="s">
        <v>24</v>
      </c>
      <c r="L8" s="286" t="s">
        <v>273</v>
      </c>
    </row>
    <row r="9" spans="1:12" x14ac:dyDescent="0.35">
      <c r="A9" s="54">
        <v>3</v>
      </c>
      <c r="B9" s="279"/>
      <c r="C9" s="279"/>
      <c r="D9" s="97">
        <v>319</v>
      </c>
      <c r="E9" s="284" t="s">
        <v>64</v>
      </c>
      <c r="F9" s="48">
        <v>46132</v>
      </c>
      <c r="G9" s="46">
        <v>2</v>
      </c>
      <c r="H9" s="46"/>
      <c r="I9" s="46" t="s">
        <v>67</v>
      </c>
      <c r="J9" s="287" t="s">
        <v>274</v>
      </c>
      <c r="K9" s="46" t="s">
        <v>44</v>
      </c>
      <c r="L9" s="286" t="s">
        <v>273</v>
      </c>
    </row>
    <row r="10" spans="1:12" x14ac:dyDescent="0.35">
      <c r="A10" s="54">
        <v>4</v>
      </c>
      <c r="B10" s="279"/>
      <c r="C10" s="279"/>
      <c r="D10" s="87">
        <v>633</v>
      </c>
      <c r="E10" s="110" t="s">
        <v>159</v>
      </c>
      <c r="F10" s="48">
        <v>46134</v>
      </c>
      <c r="G10" s="46">
        <v>2</v>
      </c>
      <c r="H10" s="46"/>
      <c r="I10" s="46"/>
      <c r="J10" s="98" t="s">
        <v>106</v>
      </c>
      <c r="K10" s="46" t="s">
        <v>44</v>
      </c>
      <c r="L10" s="286" t="s">
        <v>273</v>
      </c>
    </row>
    <row r="11" spans="1:12" x14ac:dyDescent="0.35">
      <c r="A11" s="54">
        <v>5</v>
      </c>
      <c r="B11" s="279"/>
      <c r="C11" s="279"/>
      <c r="D11" s="163">
        <v>650</v>
      </c>
      <c r="E11" s="285" t="s">
        <v>437</v>
      </c>
      <c r="F11" s="48">
        <v>46134</v>
      </c>
      <c r="G11" s="46">
        <v>2</v>
      </c>
      <c r="H11" s="46">
        <v>1</v>
      </c>
      <c r="I11" s="46"/>
      <c r="J11" s="287" t="s">
        <v>124</v>
      </c>
      <c r="K11" s="46" t="s">
        <v>355</v>
      </c>
      <c r="L11" s="286" t="s">
        <v>273</v>
      </c>
    </row>
    <row r="12" spans="1:12" x14ac:dyDescent="0.35">
      <c r="A12" s="54">
        <v>6</v>
      </c>
      <c r="B12" s="279"/>
      <c r="C12" s="279"/>
      <c r="D12" s="98">
        <v>665</v>
      </c>
      <c r="E12" s="46" t="s">
        <v>474</v>
      </c>
      <c r="F12" s="48">
        <v>46131</v>
      </c>
      <c r="G12" s="46">
        <v>2</v>
      </c>
      <c r="H12" s="46"/>
      <c r="I12" s="46"/>
      <c r="J12" s="98" t="s">
        <v>106</v>
      </c>
      <c r="K12" s="46" t="s">
        <v>167</v>
      </c>
      <c r="L12" s="286" t="str">
        <f>IF(OR(NOT(ISERROR(MATCH(RIGHT(D12,3)+0,#REF!,0))),NOT(ISERROR(MATCH(LEFT(D12,3)+0,#REF!,0)))),"No Post","")</f>
        <v/>
      </c>
    </row>
    <row r="13" spans="1:12" x14ac:dyDescent="0.35">
      <c r="A13" s="54">
        <v>7</v>
      </c>
      <c r="B13" s="279"/>
      <c r="C13" s="279"/>
      <c r="D13" s="99" t="s">
        <v>505</v>
      </c>
      <c r="E13" s="21" t="s">
        <v>445</v>
      </c>
      <c r="F13" s="23">
        <v>46130</v>
      </c>
      <c r="G13" s="21">
        <v>2</v>
      </c>
      <c r="H13" s="21"/>
      <c r="I13" s="21"/>
      <c r="J13" s="99" t="s">
        <v>125</v>
      </c>
      <c r="K13" s="21" t="s">
        <v>443</v>
      </c>
      <c r="L13" s="286" t="s">
        <v>273</v>
      </c>
    </row>
    <row r="14" spans="1:12" x14ac:dyDescent="0.35">
      <c r="A14" s="54">
        <v>8</v>
      </c>
      <c r="B14" s="279"/>
      <c r="C14" s="279"/>
      <c r="D14" s="98">
        <v>679</v>
      </c>
      <c r="E14" s="46" t="s">
        <v>475</v>
      </c>
      <c r="F14" s="48">
        <v>46131</v>
      </c>
      <c r="G14" s="46">
        <v>2</v>
      </c>
      <c r="H14" s="46"/>
      <c r="I14" s="46"/>
      <c r="J14" s="98" t="s">
        <v>106</v>
      </c>
      <c r="K14" s="46" t="s">
        <v>167</v>
      </c>
      <c r="L14" s="286" t="str">
        <f>IF(OR(NOT(ISERROR(MATCH(RIGHT(D14,3)+0,#REF!,0))),NOT(ISERROR(MATCH(LEFT(D14,3)+0,#REF!,0)))),"No Post","")</f>
        <v/>
      </c>
    </row>
    <row r="15" spans="1:12" x14ac:dyDescent="0.35">
      <c r="A15" s="54">
        <v>9</v>
      </c>
      <c r="B15" s="279"/>
      <c r="C15" s="279"/>
      <c r="D15" s="97">
        <v>817</v>
      </c>
      <c r="E15" s="46" t="s">
        <v>473</v>
      </c>
      <c r="F15" s="48">
        <v>46135</v>
      </c>
      <c r="G15" s="46">
        <v>2</v>
      </c>
      <c r="H15" s="46"/>
      <c r="I15" s="46"/>
      <c r="J15" s="97" t="s">
        <v>124</v>
      </c>
      <c r="K15" s="46" t="s">
        <v>290</v>
      </c>
      <c r="L15" s="286" t="s">
        <v>273</v>
      </c>
    </row>
    <row r="16" spans="1:12" x14ac:dyDescent="0.35">
      <c r="A16" s="54">
        <v>10</v>
      </c>
      <c r="B16" s="279"/>
      <c r="C16" s="279"/>
      <c r="D16" s="98">
        <v>845</v>
      </c>
      <c r="E16" s="46" t="s">
        <v>470</v>
      </c>
      <c r="F16" s="48">
        <v>46132</v>
      </c>
      <c r="G16" s="46">
        <v>2</v>
      </c>
      <c r="H16" s="46"/>
      <c r="I16" s="46"/>
      <c r="J16" s="98" t="s">
        <v>106</v>
      </c>
      <c r="K16" s="46" t="s">
        <v>468</v>
      </c>
      <c r="L16" s="286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54">
        <v>11</v>
      </c>
      <c r="B17" s="54"/>
      <c r="C17" s="54"/>
      <c r="D17" s="100">
        <v>878</v>
      </c>
      <c r="E17" s="46" t="s">
        <v>454</v>
      </c>
      <c r="F17" s="48">
        <v>46135</v>
      </c>
      <c r="G17" s="46" t="s">
        <v>229</v>
      </c>
      <c r="H17" s="46"/>
      <c r="I17" s="46"/>
      <c r="J17" s="100" t="s">
        <v>132</v>
      </c>
      <c r="K17" s="46" t="s">
        <v>135</v>
      </c>
      <c r="L17" s="286" t="str">
        <f>IF(OR(NOT(ISERROR(MATCH(RIGHT(D17,3)+0,#REF!,0))),NOT(ISERROR(MATCH(LEFT(D17,3)+0,#REF!,0)))),"No Post","")</f>
        <v/>
      </c>
    </row>
    <row r="18" spans="1:12" ht="18.600000000000001" customHeight="1" x14ac:dyDescent="0.35">
      <c r="A18" s="54">
        <v>12</v>
      </c>
      <c r="B18" s="279"/>
      <c r="C18" s="279"/>
      <c r="D18" s="97" t="s">
        <v>500</v>
      </c>
      <c r="E18" s="46" t="s">
        <v>471</v>
      </c>
      <c r="F18" s="48">
        <v>46129</v>
      </c>
      <c r="G18" s="46">
        <v>2</v>
      </c>
      <c r="H18" s="46"/>
      <c r="I18" s="46"/>
      <c r="J18" s="97" t="s">
        <v>124</v>
      </c>
      <c r="K18" s="46" t="s">
        <v>472</v>
      </c>
      <c r="L18" s="286" t="s">
        <v>273</v>
      </c>
    </row>
    <row r="19" spans="1:12" ht="18.600000000000001" customHeight="1" x14ac:dyDescent="0.35">
      <c r="A19" s="54">
        <v>13</v>
      </c>
      <c r="B19" s="279"/>
      <c r="C19" s="279"/>
      <c r="D19" s="87" t="s">
        <v>501</v>
      </c>
      <c r="E19" s="46" t="s">
        <v>81</v>
      </c>
      <c r="F19" s="48">
        <v>46132</v>
      </c>
      <c r="G19" s="46">
        <v>2</v>
      </c>
      <c r="H19" s="46"/>
      <c r="I19" s="46"/>
      <c r="J19" s="98" t="s">
        <v>106</v>
      </c>
      <c r="K19" s="46" t="s">
        <v>82</v>
      </c>
      <c r="L19" s="286"/>
    </row>
    <row r="20" spans="1:12" ht="18.600000000000001" customHeight="1" x14ac:dyDescent="0.35">
      <c r="A20" s="54">
        <v>14</v>
      </c>
      <c r="B20" s="43"/>
      <c r="C20" s="43"/>
      <c r="D20" s="290">
        <v>872</v>
      </c>
      <c r="E20" s="282" t="s">
        <v>65</v>
      </c>
      <c r="F20" s="283">
        <v>46128</v>
      </c>
      <c r="G20" s="290" t="s">
        <v>166</v>
      </c>
      <c r="H20" s="282"/>
      <c r="I20" s="282" t="s">
        <v>67</v>
      </c>
      <c r="J20" s="290" t="s">
        <v>106</v>
      </c>
      <c r="K20" s="282" t="s">
        <v>50</v>
      </c>
      <c r="L20" s="79" t="str">
        <f>IF(OR(NOT(ISERROR(MATCH(RIGHT('17'!D15,3)+0,#REF!,0))),NOT(ISERROR(MATCH(LEFT('17'!D15,3)+0,#REF!,0)))),"No Post","")</f>
        <v/>
      </c>
    </row>
    <row r="21" spans="1:12" ht="18.600000000000001" customHeight="1" x14ac:dyDescent="0.35">
      <c r="A21" s="54">
        <v>15</v>
      </c>
      <c r="B21" s="43"/>
      <c r="C21" s="43"/>
      <c r="D21" s="288"/>
      <c r="E21" s="288"/>
      <c r="F21" s="289"/>
      <c r="G21" s="288"/>
      <c r="H21" s="288"/>
      <c r="I21" s="288"/>
      <c r="J21" s="288"/>
      <c r="K21" s="288"/>
      <c r="L21" s="79" t="str">
        <f>IF(OR(NOT(ISERROR(MATCH(RIGHT('17'!D16,3)+0,#REF!,0))),NOT(ISERROR(MATCH(LEFT('17'!D16,3)+0,#REF!,0)))),"No Post","")</f>
        <v/>
      </c>
    </row>
    <row r="22" spans="1:12" ht="18.600000000000001" customHeight="1" x14ac:dyDescent="0.35">
      <c r="A22" s="54">
        <v>16</v>
      </c>
      <c r="B22" s="54"/>
      <c r="C22" s="54"/>
      <c r="D22" s="46"/>
      <c r="E22" s="243" t="s">
        <v>321</v>
      </c>
      <c r="F22" s="48"/>
      <c r="G22" s="46"/>
      <c r="H22" s="46"/>
      <c r="I22" s="46"/>
      <c r="J22" s="47"/>
      <c r="K22" s="47"/>
      <c r="L22" s="79" t="str">
        <f>IF(OR(NOT(ISERROR(MATCH(RIGHT(D22,3)+0,#REF!,0))),NOT(ISERROR(MATCH(LEFT(D22,3)+0,#REF!,0)))),"No Post","")</f>
        <v/>
      </c>
    </row>
    <row r="23" spans="1:12" ht="18.600000000000001" customHeight="1" x14ac:dyDescent="0.35">
      <c r="A23" s="54">
        <v>17</v>
      </c>
      <c r="B23" s="54"/>
      <c r="C23" s="54"/>
      <c r="D23" s="46"/>
      <c r="E23" s="107"/>
      <c r="F23" s="48"/>
      <c r="G23" s="46"/>
      <c r="H23" s="46"/>
      <c r="I23" s="46"/>
      <c r="J23" s="47"/>
      <c r="K23" s="47"/>
      <c r="L23" s="79" t="str">
        <f>IF(OR(NOT(ISERROR(MATCH(RIGHT(D23,3)+0,#REF!,0))),NOT(ISERROR(MATCH(LEFT(D23,3)+0,#REF!,0)))),"No Post","")</f>
        <v/>
      </c>
    </row>
    <row r="24" spans="1:12" ht="18.600000000000001" customHeight="1" x14ac:dyDescent="0.35">
      <c r="A24" s="54">
        <v>18</v>
      </c>
      <c r="B24" s="54"/>
      <c r="C24" s="54"/>
      <c r="D24" s="46"/>
      <c r="E24" s="107"/>
      <c r="F24" s="48"/>
      <c r="G24" s="46"/>
      <c r="H24" s="46"/>
      <c r="I24" s="46"/>
      <c r="J24" s="47"/>
      <c r="K24" s="47"/>
      <c r="L24" s="79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54">
        <v>19</v>
      </c>
      <c r="B25" s="54"/>
      <c r="C25" s="54"/>
      <c r="D25" s="46"/>
      <c r="E25" s="107"/>
      <c r="F25" s="48"/>
      <c r="G25" s="46"/>
      <c r="H25" s="46"/>
      <c r="I25" s="46"/>
      <c r="J25" s="47"/>
      <c r="K25" s="47"/>
      <c r="L25" s="79" t="str">
        <f>IF(OR(NOT(ISERROR(MATCH(RIGHT(D25,3)+0,#REF!,0))),NOT(ISERROR(MATCH(LEFT(D25,3)+0,#REF!,0)))),"No Post","")</f>
        <v/>
      </c>
    </row>
    <row r="26" spans="1:12" s="26" customFormat="1" ht="18.600000000000001" customHeight="1" x14ac:dyDescent="0.4">
      <c r="A26" s="54">
        <v>20</v>
      </c>
      <c r="B26" s="54"/>
      <c r="C26" s="54"/>
      <c r="D26" s="46"/>
      <c r="E26" s="47"/>
      <c r="F26" s="48"/>
      <c r="G26" s="46"/>
      <c r="H26" s="46"/>
      <c r="I26" s="46"/>
      <c r="J26" s="47"/>
      <c r="K26" s="47"/>
      <c r="L26" s="79" t="str">
        <f>IF(OR(NOT(ISERROR(MATCH(RIGHT(D26,3)+0,#REF!,0))),NOT(ISERROR(MATCH(LEFT(D26,3)+0,#REF!,0)))),"No Post","")</f>
        <v/>
      </c>
    </row>
    <row r="27" spans="1:12" ht="20.25" customHeight="1" x14ac:dyDescent="0.35">
      <c r="A27" s="49"/>
      <c r="B27" s="49"/>
      <c r="C27" s="49"/>
      <c r="D27" s="49"/>
      <c r="E27" s="49" t="str">
        <f>"Remaning: "&amp;IFERROR(MID(A5, SEARCH("MAX", A5) + LEN("MAX"), SEARCH("PAX", A5) - SEARCH("MAX", A5) - LEN("MAX")), "")+0-SUM(G27:H27)</f>
        <v>Remaning: 3</v>
      </c>
      <c r="F27" s="50" t="s">
        <v>19</v>
      </c>
      <c r="G27" s="51">
        <f>SUM(G7:G26)</f>
        <v>24</v>
      </c>
      <c r="H27" s="51">
        <f>SUM(H7:H26)</f>
        <v>1</v>
      </c>
      <c r="I27" s="49"/>
      <c r="J27" s="49"/>
      <c r="K27" s="49"/>
    </row>
    <row r="28" spans="1:12" ht="20.25" customHeight="1" x14ac:dyDescent="0.35">
      <c r="D28" s="8" t="s">
        <v>5</v>
      </c>
      <c r="E28" s="8"/>
      <c r="F28" s="35"/>
      <c r="G28" s="8"/>
      <c r="H28" s="8"/>
      <c r="I28" s="8"/>
    </row>
    <row r="29" spans="1:12" ht="20.25" customHeight="1" x14ac:dyDescent="0.35">
      <c r="D29" s="15" t="s">
        <v>6</v>
      </c>
      <c r="E29" s="9"/>
      <c r="F29" s="36"/>
      <c r="G29" s="9"/>
      <c r="H29" s="9"/>
      <c r="I29" s="9"/>
    </row>
    <row r="30" spans="1:12" ht="20.25" customHeight="1" x14ac:dyDescent="0.35">
      <c r="D30" s="15" t="s">
        <v>7</v>
      </c>
      <c r="E30" s="9"/>
      <c r="F30" s="36"/>
      <c r="G30" s="9"/>
      <c r="H30" s="9"/>
      <c r="I30" s="9"/>
    </row>
    <row r="31" spans="1:12" ht="20.25" customHeight="1" x14ac:dyDescent="0.35">
      <c r="D31" s="15" t="s">
        <v>8</v>
      </c>
      <c r="E31" s="9"/>
      <c r="F31" s="36"/>
      <c r="G31" s="9"/>
      <c r="H31" s="9"/>
      <c r="I31" s="9"/>
    </row>
    <row r="32" spans="1:12" x14ac:dyDescent="0.35">
      <c r="D32" s="15" t="s">
        <v>9</v>
      </c>
      <c r="E32" s="9"/>
      <c r="F32" s="36"/>
      <c r="G32" s="9"/>
      <c r="H32" s="9"/>
      <c r="I32" s="9"/>
    </row>
    <row r="33" spans="4:9" x14ac:dyDescent="0.35">
      <c r="D33" s="15" t="s">
        <v>10</v>
      </c>
      <c r="E33" s="9"/>
      <c r="F33" s="36"/>
      <c r="G33" s="9"/>
      <c r="H33" s="9"/>
      <c r="I33" s="9"/>
    </row>
    <row r="34" spans="4:9" x14ac:dyDescent="0.35">
      <c r="D34" s="15" t="s">
        <v>11</v>
      </c>
      <c r="E34" s="9"/>
      <c r="F34" s="36"/>
      <c r="G34" s="9"/>
      <c r="H34" s="9"/>
      <c r="I34" s="9"/>
    </row>
    <row r="35" spans="4:9" s="11" customFormat="1" ht="15.6" x14ac:dyDescent="0.3">
      <c r="D35" s="16" t="s">
        <v>12</v>
      </c>
      <c r="E35" s="10"/>
      <c r="F35" s="37"/>
      <c r="G35" s="10"/>
      <c r="H35" s="10"/>
    </row>
    <row r="36" spans="4:9" s="11" customFormat="1" ht="15.6" x14ac:dyDescent="0.3">
      <c r="D36" s="16" t="s">
        <v>13</v>
      </c>
      <c r="E36" s="10"/>
      <c r="F36" s="37"/>
      <c r="G36" s="10"/>
      <c r="H36" s="10"/>
    </row>
    <row r="37" spans="4:9" s="13" customFormat="1" ht="20.25" customHeight="1" x14ac:dyDescent="0.35">
      <c r="D37" s="17" t="s">
        <v>14</v>
      </c>
      <c r="E37" s="12"/>
      <c r="F37" s="38"/>
    </row>
    <row r="38" spans="4:9" s="8" customFormat="1" ht="14.4" x14ac:dyDescent="0.3">
      <c r="D38" s="14"/>
      <c r="E38" s="9"/>
      <c r="F38" s="36"/>
      <c r="G38" s="9"/>
      <c r="H38" s="9"/>
      <c r="I38" s="9"/>
    </row>
    <row r="39" spans="4:9" s="9" customFormat="1" ht="13.8" x14ac:dyDescent="0.3">
      <c r="F39" s="36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8"/>
      <c r="E41" s="8"/>
      <c r="F41" s="35"/>
      <c r="G41" s="8"/>
      <c r="H41" s="8"/>
      <c r="I41" s="8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9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5" spans="4:9" x14ac:dyDescent="0.35">
      <c r="D45" s="9"/>
      <c r="E45" s="9"/>
      <c r="F45" s="36"/>
      <c r="G45" s="9"/>
      <c r="H45" s="9"/>
      <c r="I45" s="9"/>
    </row>
    <row r="46" spans="4:9" x14ac:dyDescent="0.35">
      <c r="D46" s="9"/>
      <c r="E46" s="9"/>
      <c r="F46" s="36"/>
      <c r="G46" s="9"/>
      <c r="H46" s="9"/>
      <c r="I46" s="9"/>
    </row>
    <row r="47" spans="4:9" x14ac:dyDescent="0.35">
      <c r="D47" s="9"/>
      <c r="E47" s="9"/>
      <c r="F47" s="36"/>
      <c r="G47" s="9"/>
      <c r="H47" s="9"/>
      <c r="I47" s="9"/>
    </row>
    <row r="48" spans="4:9" x14ac:dyDescent="0.35">
      <c r="D48" s="14"/>
      <c r="E48" s="9"/>
      <c r="F48" s="36"/>
      <c r="G48" s="9"/>
      <c r="H48" s="9"/>
      <c r="I48" s="9"/>
    </row>
    <row r="49" spans="4:9" x14ac:dyDescent="0.35">
      <c r="D49" s="9"/>
      <c r="E49" s="9"/>
      <c r="F49" s="36"/>
      <c r="G49" s="9"/>
      <c r="H49" s="9"/>
      <c r="I49" s="9"/>
    </row>
    <row r="51" spans="4:9" x14ac:dyDescent="0.35">
      <c r="D51" s="1"/>
      <c r="E51" s="1"/>
      <c r="F51" s="33"/>
      <c r="G51" s="1"/>
      <c r="H51" s="1"/>
      <c r="I51" s="1"/>
    </row>
    <row r="66" spans="4:9" x14ac:dyDescent="0.35">
      <c r="D66" s="9"/>
      <c r="E66" s="9"/>
      <c r="F66" s="36"/>
      <c r="G66" s="9"/>
      <c r="H66" s="9"/>
      <c r="I66" s="9"/>
    </row>
    <row r="67" spans="4:9" x14ac:dyDescent="0.35">
      <c r="D67" s="9"/>
      <c r="E67" s="9"/>
      <c r="F67" s="36"/>
      <c r="G67" s="9"/>
      <c r="H67" s="9"/>
      <c r="I67" s="9"/>
    </row>
    <row r="68" spans="4:9" x14ac:dyDescent="0.35">
      <c r="D68" s="9"/>
      <c r="E68" s="9"/>
      <c r="F68" s="36"/>
      <c r="G68" s="9"/>
      <c r="H68" s="9"/>
      <c r="I68" s="9"/>
    </row>
    <row r="69" spans="4:9" x14ac:dyDescent="0.35">
      <c r="D69" s="14"/>
      <c r="E69" s="9"/>
      <c r="F69" s="36"/>
      <c r="G69" s="9"/>
      <c r="H69" s="9"/>
      <c r="I69" s="9"/>
    </row>
    <row r="70" spans="4:9" x14ac:dyDescent="0.35">
      <c r="D70" s="9"/>
      <c r="E70" s="9"/>
      <c r="F70" s="36"/>
      <c r="G70" s="9"/>
      <c r="H70" s="9"/>
      <c r="I70" s="9"/>
    </row>
  </sheetData>
  <sortState ref="D7:L20">
    <sortCondition ref="D7"/>
  </sortState>
  <customSheetViews>
    <customSheetView guid="{744BB052-D863-41D2-951C-2AB325855A97}" showPageBreaks="1" fitToPage="1" printArea="1" topLeftCell="A4">
      <selection activeCell="H11" sqref="H11"/>
      <rowBreaks count="1" manualBreakCount="1">
        <brk id="38" min="3" max="10" man="1"/>
      </rowBreaks>
      <colBreaks count="1" manualBreakCount="1">
        <brk id="13" max="30" man="1"/>
      </colBreaks>
      <pageMargins left="0.17" right="0.17" top="0.75" bottom="0.75" header="0.3" footer="0.3"/>
      <pageSetup scale="71" orientation="landscape" r:id="rId1"/>
    </customSheetView>
    <customSheetView guid="{E646B2A6-D876-4850-BD6A-9EDE7D7D90A5}">
      <selection activeCell="C14" sqref="C14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C8" sqref="C8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 topLeftCell="A13">
      <selection activeCell="K27" sqref="K2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C14" sqref="C14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6">
    <cfRule type="containsText" dxfId="12" priority="1" operator="containsText" text="No Post">
      <formula>NOT(ISERROR(SEARCH("No Post",L7)))</formula>
    </cfRule>
  </conditionalFormatting>
  <pageMargins left="0.17" right="0.17" top="0.75" bottom="0.75" header="0.3" footer="0.3"/>
  <pageSetup scale="71" orientation="landscape" r:id="rId6"/>
  <rowBreaks count="1" manualBreakCount="1">
    <brk id="38" min="3" max="10" man="1"/>
  </rowBreaks>
  <colBreaks count="1" manualBreakCount="1">
    <brk id="13" max="30" man="1"/>
  </colBreaks>
  <drawing r:id="rId7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0"/>
  <sheetViews>
    <sheetView zoomScaleNormal="100" zoomScaleSheetLayoutView="100" workbookViewId="0">
      <selection activeCell="D13" sqref="D13:K13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3.4" x14ac:dyDescent="0.45">
      <c r="A5" s="381" t="s">
        <v>15</v>
      </c>
      <c r="B5" s="382"/>
      <c r="C5" s="382"/>
      <c r="D5" s="383"/>
      <c r="E5" s="383"/>
      <c r="F5" s="383"/>
      <c r="G5" s="383"/>
      <c r="H5" s="383"/>
      <c r="I5" s="383"/>
      <c r="J5" s="27" t="s">
        <v>18</v>
      </c>
      <c r="K5" s="28" t="str">
        <f ca="1">CONCATENATE((MID(CELL("filename",K5),FIND("]",CELL("filename",K5))+1,255)),"/04/2026")</f>
        <v>19/04/2026</v>
      </c>
    </row>
    <row r="6" spans="1:12" x14ac:dyDescent="0.35">
      <c r="A6" s="45"/>
      <c r="B6" s="251"/>
      <c r="C6" s="251"/>
      <c r="D6" s="52" t="s">
        <v>1</v>
      </c>
      <c r="E6" s="52" t="s">
        <v>2</v>
      </c>
      <c r="F6" s="53" t="s">
        <v>21</v>
      </c>
      <c r="G6" s="52" t="s">
        <v>16</v>
      </c>
      <c r="H6" s="52" t="s">
        <v>17</v>
      </c>
      <c r="I6" s="52" t="s">
        <v>3</v>
      </c>
      <c r="J6" s="54" t="s">
        <v>20</v>
      </c>
      <c r="K6" s="55" t="s">
        <v>4</v>
      </c>
    </row>
    <row r="7" spans="1:12" x14ac:dyDescent="0.35">
      <c r="A7" s="54">
        <v>1</v>
      </c>
      <c r="B7" s="279"/>
      <c r="C7" s="279"/>
      <c r="D7" s="100">
        <v>109</v>
      </c>
      <c r="E7" s="46" t="s">
        <v>498</v>
      </c>
      <c r="F7" s="48">
        <v>46133</v>
      </c>
      <c r="G7" s="46">
        <v>2</v>
      </c>
      <c r="H7" s="46"/>
      <c r="I7" s="46"/>
      <c r="J7" s="100" t="s">
        <v>132</v>
      </c>
      <c r="K7" s="46" t="s">
        <v>458</v>
      </c>
      <c r="L7" s="79" t="str">
        <f>IF(OR(NOT(ISERROR(MATCH(RIGHT(D7,3)+0,#REF!,0))),NOT(ISERROR(MATCH(LEFT(D7,3)+0,#REF!,0)))),"No Post","")</f>
        <v/>
      </c>
    </row>
    <row r="8" spans="1:12" x14ac:dyDescent="0.35">
      <c r="A8" s="54">
        <v>2</v>
      </c>
      <c r="B8" s="280"/>
      <c r="C8" s="280"/>
      <c r="D8" s="124">
        <v>202</v>
      </c>
      <c r="E8" s="106" t="s">
        <v>96</v>
      </c>
      <c r="F8" s="121">
        <v>46138</v>
      </c>
      <c r="G8" s="106">
        <v>2</v>
      </c>
      <c r="H8" s="106"/>
      <c r="I8" s="46"/>
      <c r="J8" s="124" t="s">
        <v>132</v>
      </c>
      <c r="K8" s="106" t="s">
        <v>24</v>
      </c>
      <c r="L8" s="281" t="str">
        <f>IF(OR(NOT(ISERROR(MATCH(RIGHT(D8,3)+0,#REF!,0))),NOT(ISERROR(MATCH(LEFT(D8,3)+0,#REF!,0)))),"No Post","")</f>
        <v/>
      </c>
    </row>
    <row r="9" spans="1:12" x14ac:dyDescent="0.35">
      <c r="A9" s="54">
        <v>3</v>
      </c>
      <c r="B9" s="279"/>
      <c r="C9" s="279"/>
      <c r="D9" s="99">
        <v>310</v>
      </c>
      <c r="E9" s="46" t="s">
        <v>483</v>
      </c>
      <c r="F9" s="48">
        <v>46133</v>
      </c>
      <c r="G9" s="46">
        <v>2</v>
      </c>
      <c r="H9" s="46"/>
      <c r="I9" s="46"/>
      <c r="J9" s="99" t="s">
        <v>495</v>
      </c>
      <c r="K9" s="46" t="s">
        <v>472</v>
      </c>
      <c r="L9" s="281" t="s">
        <v>273</v>
      </c>
    </row>
    <row r="10" spans="1:12" x14ac:dyDescent="0.35">
      <c r="A10" s="54">
        <v>4</v>
      </c>
      <c r="B10" s="279"/>
      <c r="C10" s="279"/>
      <c r="D10" s="100">
        <v>613</v>
      </c>
      <c r="E10" s="46" t="s">
        <v>486</v>
      </c>
      <c r="F10" s="48">
        <v>46137</v>
      </c>
      <c r="G10" s="46">
        <v>2</v>
      </c>
      <c r="H10" s="46"/>
      <c r="I10" s="46"/>
      <c r="J10" s="100" t="s">
        <v>132</v>
      </c>
      <c r="K10" s="46" t="s">
        <v>349</v>
      </c>
      <c r="L10" s="281" t="str">
        <f>IF(OR(NOT(ISERROR(MATCH(RIGHT(D10,3)+0,#REF!,0))),NOT(ISERROR(MATCH(LEFT(D10,3)+0,#REF!,0)))),"No Post","")</f>
        <v/>
      </c>
    </row>
    <row r="11" spans="1:12" x14ac:dyDescent="0.35">
      <c r="A11" s="54">
        <v>5</v>
      </c>
      <c r="B11" s="279"/>
      <c r="C11" s="279"/>
      <c r="D11" s="99">
        <v>668</v>
      </c>
      <c r="E11" s="46" t="s">
        <v>504</v>
      </c>
      <c r="F11" s="48">
        <v>46132</v>
      </c>
      <c r="G11" s="46">
        <v>2</v>
      </c>
      <c r="H11" s="46"/>
      <c r="I11" s="46"/>
      <c r="J11" s="99" t="s">
        <v>495</v>
      </c>
      <c r="K11" s="46" t="s">
        <v>309</v>
      </c>
      <c r="L11" s="79" t="s">
        <v>273</v>
      </c>
    </row>
    <row r="12" spans="1:12" x14ac:dyDescent="0.35">
      <c r="A12" s="54">
        <v>6</v>
      </c>
      <c r="B12" s="279"/>
      <c r="C12" s="279"/>
      <c r="D12" s="97">
        <v>685</v>
      </c>
      <c r="E12" s="46" t="s">
        <v>482</v>
      </c>
      <c r="F12" s="48">
        <v>46137</v>
      </c>
      <c r="G12" s="46">
        <v>2</v>
      </c>
      <c r="H12" s="46"/>
      <c r="I12" s="46"/>
      <c r="J12" s="97" t="s">
        <v>124</v>
      </c>
      <c r="K12" s="46" t="s">
        <v>164</v>
      </c>
      <c r="L12" s="281" t="s">
        <v>273</v>
      </c>
    </row>
    <row r="13" spans="1:12" x14ac:dyDescent="0.35">
      <c r="A13" s="54">
        <v>7</v>
      </c>
      <c r="B13" s="279"/>
      <c r="C13" s="279"/>
      <c r="D13" s="97">
        <v>814</v>
      </c>
      <c r="E13" s="46" t="s">
        <v>490</v>
      </c>
      <c r="F13" s="48">
        <v>46134</v>
      </c>
      <c r="G13" s="46">
        <v>2</v>
      </c>
      <c r="H13" s="46"/>
      <c r="I13" s="46"/>
      <c r="J13" s="97" t="s">
        <v>124</v>
      </c>
      <c r="K13" s="46" t="s">
        <v>250</v>
      </c>
      <c r="L13" s="281" t="s">
        <v>273</v>
      </c>
    </row>
    <row r="14" spans="1:12" x14ac:dyDescent="0.35">
      <c r="A14" s="54">
        <v>8</v>
      </c>
      <c r="B14" s="279"/>
      <c r="C14" s="279"/>
      <c r="D14" s="97">
        <v>843</v>
      </c>
      <c r="E14" s="46" t="s">
        <v>485</v>
      </c>
      <c r="F14" s="48">
        <v>46133</v>
      </c>
      <c r="G14" s="46">
        <v>2</v>
      </c>
      <c r="H14" s="46"/>
      <c r="I14" s="46"/>
      <c r="J14" s="97" t="s">
        <v>124</v>
      </c>
      <c r="K14" s="46" t="s">
        <v>164</v>
      </c>
      <c r="L14" s="281" t="s">
        <v>273</v>
      </c>
    </row>
    <row r="15" spans="1:12" x14ac:dyDescent="0.35">
      <c r="A15" s="54">
        <v>9</v>
      </c>
      <c r="B15" s="279"/>
      <c r="C15" s="279"/>
      <c r="D15" s="100">
        <v>855</v>
      </c>
      <c r="E15" s="46" t="s">
        <v>484</v>
      </c>
      <c r="F15" s="48">
        <v>46132</v>
      </c>
      <c r="G15" s="46">
        <v>2</v>
      </c>
      <c r="H15" s="46"/>
      <c r="I15" s="46"/>
      <c r="J15" s="100" t="s">
        <v>132</v>
      </c>
      <c r="K15" s="46" t="s">
        <v>173</v>
      </c>
      <c r="L15" s="281" t="str">
        <f>IF(OR(NOT(ISERROR(MATCH(RIGHT(D15,3)+0,#REF!,0))),NOT(ISERROR(MATCH(LEFT(D15,3)+0,#REF!,0)))),"No Post","")</f>
        <v/>
      </c>
    </row>
    <row r="16" spans="1:12" x14ac:dyDescent="0.35">
      <c r="A16" s="54">
        <v>10</v>
      </c>
      <c r="B16" s="279"/>
      <c r="C16" s="279"/>
      <c r="D16" s="98">
        <v>857</v>
      </c>
      <c r="E16" s="46" t="s">
        <v>503</v>
      </c>
      <c r="F16" s="48">
        <v>46134</v>
      </c>
      <c r="G16" s="46">
        <v>2</v>
      </c>
      <c r="H16" s="46"/>
      <c r="I16" s="46"/>
      <c r="J16" s="98" t="s">
        <v>106</v>
      </c>
      <c r="K16" s="46" t="s">
        <v>135</v>
      </c>
      <c r="L16" s="79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54">
        <v>11</v>
      </c>
      <c r="B17" s="54"/>
      <c r="C17" s="54"/>
      <c r="D17" s="144">
        <v>877</v>
      </c>
      <c r="E17" s="144" t="s">
        <v>54</v>
      </c>
      <c r="F17" s="193">
        <v>46135</v>
      </c>
      <c r="G17" s="144" t="s">
        <v>208</v>
      </c>
      <c r="H17" s="144"/>
      <c r="I17" s="144" t="s">
        <v>67</v>
      </c>
      <c r="J17" s="144" t="s">
        <v>106</v>
      </c>
      <c r="K17" s="46" t="s">
        <v>24</v>
      </c>
      <c r="L17" s="281"/>
    </row>
    <row r="18" spans="1:12" ht="18.600000000000001" customHeight="1" x14ac:dyDescent="0.35">
      <c r="A18" s="54">
        <v>12</v>
      </c>
      <c r="B18" s="279"/>
      <c r="C18" s="279"/>
      <c r="D18" s="98">
        <v>889</v>
      </c>
      <c r="E18" s="46" t="s">
        <v>488</v>
      </c>
      <c r="F18" s="48">
        <v>46132</v>
      </c>
      <c r="G18" s="46">
        <v>2</v>
      </c>
      <c r="H18" s="46"/>
      <c r="I18" s="46"/>
      <c r="J18" s="98" t="s">
        <v>106</v>
      </c>
      <c r="K18" s="46" t="s">
        <v>250</v>
      </c>
      <c r="L18" s="281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13</v>
      </c>
      <c r="B19" s="279"/>
      <c r="C19" s="279"/>
      <c r="D19" s="98" t="s">
        <v>506</v>
      </c>
      <c r="E19" s="46" t="s">
        <v>491</v>
      </c>
      <c r="F19" s="48">
        <v>46131</v>
      </c>
      <c r="G19" s="46">
        <v>2</v>
      </c>
      <c r="H19" s="46"/>
      <c r="I19" s="46"/>
      <c r="J19" s="98" t="s">
        <v>106</v>
      </c>
      <c r="K19" s="46" t="s">
        <v>167</v>
      </c>
      <c r="L19" s="281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14</v>
      </c>
      <c r="B20" s="279"/>
      <c r="C20" s="279"/>
      <c r="D20" s="97" t="s">
        <v>507</v>
      </c>
      <c r="E20" s="46" t="s">
        <v>489</v>
      </c>
      <c r="F20" s="48">
        <v>46131</v>
      </c>
      <c r="G20" s="46">
        <v>2</v>
      </c>
      <c r="H20" s="46"/>
      <c r="I20" s="46"/>
      <c r="J20" s="97" t="s">
        <v>124</v>
      </c>
      <c r="K20" s="46" t="s">
        <v>164</v>
      </c>
      <c r="L20" s="281" t="s">
        <v>273</v>
      </c>
    </row>
    <row r="21" spans="1:12" ht="18.600000000000001" customHeight="1" x14ac:dyDescent="0.35">
      <c r="A21" s="54">
        <v>15</v>
      </c>
      <c r="B21" s="54"/>
      <c r="C21" s="54"/>
      <c r="D21" s="46"/>
      <c r="E21" s="47"/>
      <c r="F21" s="48"/>
      <c r="G21" s="46"/>
      <c r="H21" s="46"/>
      <c r="I21" s="46"/>
      <c r="J21" s="47"/>
      <c r="K21" s="47"/>
      <c r="L21" s="79" t="str">
        <f>IF(OR(NOT(ISERROR(MATCH(RIGHT(D21,3)+0,#REF!,0))),NOT(ISERROR(MATCH(LEFT(D21,3)+0,#REF!,0)))),"No Post","")</f>
        <v/>
      </c>
    </row>
    <row r="22" spans="1:12" ht="18.600000000000001" customHeight="1" x14ac:dyDescent="0.35">
      <c r="A22" s="54">
        <v>16</v>
      </c>
      <c r="B22" s="54"/>
      <c r="C22" s="54"/>
      <c r="D22" s="46"/>
      <c r="E22" s="47"/>
      <c r="F22" s="48"/>
      <c r="G22" s="46"/>
      <c r="H22" s="46"/>
      <c r="I22" s="46"/>
      <c r="J22" s="47"/>
      <c r="K22" s="47"/>
      <c r="L22" s="79" t="str">
        <f>IF(OR(NOT(ISERROR(MATCH(RIGHT(D22,3)+0,#REF!,0))),NOT(ISERROR(MATCH(LEFT(D22,3)+0,#REF!,0)))),"No Post","")</f>
        <v/>
      </c>
    </row>
    <row r="23" spans="1:12" ht="18.600000000000001" customHeight="1" x14ac:dyDescent="0.35">
      <c r="A23" s="54">
        <v>17</v>
      </c>
      <c r="B23" s="54"/>
      <c r="C23" s="54"/>
      <c r="D23" s="46"/>
      <c r="E23" s="47"/>
      <c r="F23" s="48"/>
      <c r="G23" s="46"/>
      <c r="H23" s="46"/>
      <c r="I23" s="46"/>
      <c r="J23" s="47"/>
      <c r="K23" s="47"/>
      <c r="L23" s="79" t="str">
        <f>IF(OR(NOT(ISERROR(MATCH(RIGHT(D23,3)+0,#REF!,0))),NOT(ISERROR(MATCH(LEFT(D23,3)+0,#REF!,0)))),"No Post","")</f>
        <v/>
      </c>
    </row>
    <row r="24" spans="1:12" ht="18.600000000000001" customHeight="1" x14ac:dyDescent="0.35">
      <c r="A24" s="54">
        <v>18</v>
      </c>
      <c r="B24" s="54"/>
      <c r="C24" s="54"/>
      <c r="D24" s="46"/>
      <c r="E24" s="47"/>
      <c r="F24" s="48"/>
      <c r="G24" s="46"/>
      <c r="H24" s="46"/>
      <c r="I24" s="46"/>
      <c r="J24" s="47"/>
      <c r="K24" s="47"/>
      <c r="L24" s="79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54">
        <v>19</v>
      </c>
      <c r="B25" s="54"/>
      <c r="C25" s="54"/>
      <c r="D25" s="46"/>
      <c r="E25" s="47"/>
      <c r="F25" s="48"/>
      <c r="G25" s="46"/>
      <c r="H25" s="46"/>
      <c r="I25" s="46"/>
      <c r="J25" s="47"/>
      <c r="K25" s="47"/>
      <c r="L25" s="79" t="str">
        <f>IF(OR(NOT(ISERROR(MATCH(RIGHT(D25,3)+0,#REF!,0))),NOT(ISERROR(MATCH(LEFT(D25,3)+0,#REF!,0)))),"No Post","")</f>
        <v/>
      </c>
    </row>
    <row r="26" spans="1:12" s="26" customFormat="1" ht="18.600000000000001" customHeight="1" x14ac:dyDescent="0.4">
      <c r="A26" s="54">
        <v>20</v>
      </c>
      <c r="B26" s="54"/>
      <c r="C26" s="54"/>
      <c r="D26" s="46"/>
      <c r="E26" s="47"/>
      <c r="F26" s="48"/>
      <c r="G26" s="46"/>
      <c r="H26" s="46"/>
      <c r="I26" s="46"/>
      <c r="J26" s="47"/>
      <c r="K26" s="47"/>
      <c r="L26" s="79" t="str">
        <f>IF(OR(NOT(ISERROR(MATCH(RIGHT(D26,3)+0,#REF!,0))),NOT(ISERROR(MATCH(LEFT(D26,3)+0,#REF!,0)))),"No Post","")</f>
        <v/>
      </c>
    </row>
    <row r="27" spans="1:12" ht="20.25" customHeight="1" x14ac:dyDescent="0.35">
      <c r="A27" s="49"/>
      <c r="B27" s="49"/>
      <c r="C27" s="49"/>
      <c r="D27" s="49"/>
      <c r="E27" s="49" t="str">
        <f>"Remaning: "&amp;IFERROR(MID(A5, SEARCH("MAX", A5) + LEN("MAX"), SEARCH("PAX", A5) - SEARCH("MAX", A5) - LEN("MAX")), "")+0-SUM(G27:H27)</f>
        <v>Remaning: -6</v>
      </c>
      <c r="F27" s="50" t="s">
        <v>19</v>
      </c>
      <c r="G27" s="51">
        <f>SUM(G7:G26)</f>
        <v>26</v>
      </c>
      <c r="H27" s="51">
        <f>SUM(H7:H26)</f>
        <v>0</v>
      </c>
      <c r="I27" s="49"/>
      <c r="J27" s="49"/>
      <c r="K27" s="49"/>
    </row>
    <row r="28" spans="1:12" ht="20.25" customHeight="1" x14ac:dyDescent="0.35">
      <c r="D28" s="8" t="s">
        <v>5</v>
      </c>
      <c r="E28" s="8"/>
      <c r="F28" s="35"/>
      <c r="G28" s="8"/>
      <c r="H28" s="8"/>
      <c r="I28" s="8"/>
    </row>
    <row r="29" spans="1:12" ht="20.25" customHeight="1" x14ac:dyDescent="0.35">
      <c r="D29" s="15" t="s">
        <v>6</v>
      </c>
      <c r="E29" s="9"/>
      <c r="F29" s="36"/>
      <c r="G29" s="9"/>
      <c r="H29" s="9"/>
      <c r="I29" s="9"/>
    </row>
    <row r="30" spans="1:12" ht="20.25" customHeight="1" x14ac:dyDescent="0.35">
      <c r="D30" s="15" t="s">
        <v>7</v>
      </c>
      <c r="E30" s="9"/>
      <c r="F30" s="36"/>
      <c r="G30" s="9"/>
      <c r="H30" s="9"/>
      <c r="I30" s="9"/>
    </row>
    <row r="31" spans="1:12" ht="20.25" customHeight="1" x14ac:dyDescent="0.35">
      <c r="D31" s="15" t="s">
        <v>8</v>
      </c>
      <c r="E31" s="9"/>
      <c r="F31" s="36"/>
      <c r="G31" s="9"/>
      <c r="H31" s="9"/>
      <c r="I31" s="9"/>
    </row>
    <row r="32" spans="1:12" x14ac:dyDescent="0.35">
      <c r="D32" s="15" t="s">
        <v>9</v>
      </c>
      <c r="E32" s="9"/>
      <c r="F32" s="36"/>
      <c r="G32" s="9"/>
      <c r="H32" s="9"/>
      <c r="I32" s="9"/>
    </row>
    <row r="33" spans="4:9" x14ac:dyDescent="0.35">
      <c r="D33" s="15" t="s">
        <v>10</v>
      </c>
      <c r="E33" s="9"/>
      <c r="F33" s="36"/>
      <c r="G33" s="9"/>
      <c r="H33" s="9"/>
      <c r="I33" s="9"/>
    </row>
    <row r="34" spans="4:9" x14ac:dyDescent="0.35">
      <c r="D34" s="15" t="s">
        <v>11</v>
      </c>
      <c r="E34" s="9"/>
      <c r="F34" s="36"/>
      <c r="G34" s="9"/>
      <c r="H34" s="9"/>
      <c r="I34" s="9"/>
    </row>
    <row r="35" spans="4:9" s="11" customFormat="1" ht="15.6" x14ac:dyDescent="0.3">
      <c r="D35" s="16" t="s">
        <v>12</v>
      </c>
      <c r="E35" s="10"/>
      <c r="F35" s="37"/>
      <c r="G35" s="10"/>
      <c r="H35" s="10"/>
    </row>
    <row r="36" spans="4:9" s="11" customFormat="1" ht="15.6" x14ac:dyDescent="0.3">
      <c r="D36" s="16" t="s">
        <v>13</v>
      </c>
      <c r="E36" s="10"/>
      <c r="F36" s="37"/>
      <c r="G36" s="10"/>
      <c r="H36" s="10"/>
    </row>
    <row r="37" spans="4:9" s="13" customFormat="1" ht="20.25" customHeight="1" x14ac:dyDescent="0.35">
      <c r="D37" s="17" t="s">
        <v>14</v>
      </c>
      <c r="E37" s="12"/>
      <c r="F37" s="38"/>
    </row>
    <row r="38" spans="4:9" s="8" customFormat="1" ht="14.4" x14ac:dyDescent="0.3">
      <c r="D38" s="14"/>
      <c r="E38" s="9"/>
      <c r="F38" s="36"/>
      <c r="G38" s="9"/>
      <c r="H38" s="9"/>
      <c r="I38" s="9"/>
    </row>
    <row r="39" spans="4:9" s="9" customFormat="1" ht="13.8" x14ac:dyDescent="0.3">
      <c r="F39" s="36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8"/>
      <c r="E41" s="8"/>
      <c r="F41" s="35"/>
      <c r="G41" s="8"/>
      <c r="H41" s="8"/>
      <c r="I41" s="8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9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5" spans="4:9" x14ac:dyDescent="0.35">
      <c r="D45" s="9"/>
      <c r="E45" s="9"/>
      <c r="F45" s="36"/>
      <c r="G45" s="9"/>
      <c r="H45" s="9"/>
      <c r="I45" s="9"/>
    </row>
    <row r="46" spans="4:9" x14ac:dyDescent="0.35">
      <c r="D46" s="9"/>
      <c r="E46" s="9"/>
      <c r="F46" s="36"/>
      <c r="G46" s="9"/>
      <c r="H46" s="9"/>
      <c r="I46" s="9"/>
    </row>
    <row r="47" spans="4:9" x14ac:dyDescent="0.35">
      <c r="D47" s="9"/>
      <c r="E47" s="9"/>
      <c r="F47" s="36"/>
      <c r="G47" s="9"/>
      <c r="H47" s="9"/>
      <c r="I47" s="9"/>
    </row>
    <row r="48" spans="4:9" x14ac:dyDescent="0.35">
      <c r="D48" s="14"/>
      <c r="E48" s="9"/>
      <c r="F48" s="36"/>
      <c r="G48" s="9"/>
      <c r="H48" s="9"/>
      <c r="I48" s="9"/>
    </row>
    <row r="49" spans="4:9" x14ac:dyDescent="0.35">
      <c r="D49" s="9"/>
      <c r="E49" s="9"/>
      <c r="F49" s="36"/>
      <c r="G49" s="9"/>
      <c r="H49" s="9"/>
      <c r="I49" s="9"/>
    </row>
    <row r="51" spans="4:9" x14ac:dyDescent="0.35">
      <c r="D51" s="1"/>
      <c r="E51" s="1"/>
      <c r="F51" s="33"/>
      <c r="G51" s="1"/>
      <c r="H51" s="1"/>
      <c r="I51" s="1"/>
    </row>
    <row r="66" spans="4:9" x14ac:dyDescent="0.35">
      <c r="D66" s="9"/>
      <c r="E66" s="9"/>
      <c r="F66" s="36"/>
      <c r="G66" s="9"/>
      <c r="H66" s="9"/>
      <c r="I66" s="9"/>
    </row>
    <row r="67" spans="4:9" x14ac:dyDescent="0.35">
      <c r="D67" s="9"/>
      <c r="E67" s="9"/>
      <c r="F67" s="36"/>
      <c r="G67" s="9"/>
      <c r="H67" s="9"/>
      <c r="I67" s="9"/>
    </row>
    <row r="68" spans="4:9" x14ac:dyDescent="0.35">
      <c r="D68" s="9"/>
      <c r="E68" s="9"/>
      <c r="F68" s="36"/>
      <c r="G68" s="9"/>
      <c r="H68" s="9"/>
      <c r="I68" s="9"/>
    </row>
    <row r="69" spans="4:9" x14ac:dyDescent="0.35">
      <c r="D69" s="14"/>
      <c r="E69" s="9"/>
      <c r="F69" s="36"/>
      <c r="G69" s="9"/>
      <c r="H69" s="9"/>
      <c r="I69" s="9"/>
    </row>
    <row r="70" spans="4:9" x14ac:dyDescent="0.35">
      <c r="D70" s="9"/>
      <c r="E70" s="9"/>
      <c r="F70" s="36"/>
      <c r="G70" s="9"/>
      <c r="H70" s="9"/>
      <c r="I70" s="9"/>
    </row>
  </sheetData>
  <sortState ref="D7:L20">
    <sortCondition ref="D7"/>
  </sortState>
  <customSheetViews>
    <customSheetView guid="{744BB052-D863-41D2-951C-2AB325855A97}" showPageBreaks="1" fitToPage="1" printArea="1">
      <selection activeCell="D13" sqref="D13:K13"/>
      <rowBreaks count="1" manualBreakCount="1">
        <brk id="38" min="3" max="10" man="1"/>
      </rowBreaks>
      <colBreaks count="1" manualBreakCount="1">
        <brk id="13" max="30" man="1"/>
      </colBreaks>
      <pageMargins left="0.17" right="0.17" top="0.75" bottom="0.75" header="0.3" footer="0.3"/>
      <pageSetup scale="71" orientation="landscape" r:id="rId1"/>
    </customSheetView>
    <customSheetView guid="{E646B2A6-D876-4850-BD6A-9EDE7D7D90A5}">
      <selection activeCell="I7" sqref="B7:I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I7" sqref="B7:I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I7" sqref="B7:I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I7" sqref="B7:I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6">
    <cfRule type="containsText" dxfId="11" priority="1" operator="containsText" text="No Post">
      <formula>NOT(ISERROR(SEARCH("No Post",L7)))</formula>
    </cfRule>
  </conditionalFormatting>
  <pageMargins left="0.17" right="0.17" top="0.75" bottom="0.75" header="0.3" footer="0.3"/>
  <pageSetup scale="71" orientation="landscape" r:id="rId6"/>
  <rowBreaks count="1" manualBreakCount="1">
    <brk id="38" min="3" max="10" man="1"/>
  </rowBreaks>
  <colBreaks count="1" manualBreakCount="1">
    <brk id="13" max="30" man="1"/>
  </colBreaks>
  <drawing r:id="rId7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63"/>
  <sheetViews>
    <sheetView topLeftCell="A5" zoomScale="107" zoomScaleNormal="107" zoomScaleSheetLayoutView="100" workbookViewId="0">
      <selection activeCell="A12" sqref="A12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9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2"/>
      <c r="E2" s="5"/>
      <c r="F2" s="5"/>
    </row>
    <row r="4" spans="1:10" s="1" customFormat="1" thickBot="1" x14ac:dyDescent="0.4">
      <c r="D4" s="33"/>
    </row>
    <row r="5" spans="1:10" s="2" customFormat="1" ht="23.4" x14ac:dyDescent="0.45">
      <c r="A5" s="381" t="s">
        <v>15</v>
      </c>
      <c r="B5" s="383"/>
      <c r="C5" s="383"/>
      <c r="D5" s="383"/>
      <c r="E5" s="383"/>
      <c r="F5" s="383"/>
      <c r="G5" s="383"/>
      <c r="H5" s="27" t="s">
        <v>18</v>
      </c>
      <c r="I5" s="28" t="str">
        <f ca="1">CONCATENATE((MID(CELL("filename",I5),FIND("]",CELL("filename",I5))+1,255)),"/04/2026")</f>
        <v>20/04/2026</v>
      </c>
    </row>
    <row r="6" spans="1:10" x14ac:dyDescent="0.35">
      <c r="A6" s="45"/>
      <c r="B6" s="52" t="s">
        <v>1</v>
      </c>
      <c r="C6" s="52" t="s">
        <v>2</v>
      </c>
      <c r="D6" s="53" t="s">
        <v>21</v>
      </c>
      <c r="E6" s="52" t="s">
        <v>16</v>
      </c>
      <c r="F6" s="52" t="s">
        <v>17</v>
      </c>
      <c r="G6" s="52" t="s">
        <v>3</v>
      </c>
      <c r="H6" s="54" t="s">
        <v>20</v>
      </c>
      <c r="I6" s="55" t="s">
        <v>4</v>
      </c>
    </row>
    <row r="7" spans="1:10" x14ac:dyDescent="0.35">
      <c r="A7" s="176">
        <v>1</v>
      </c>
      <c r="B7" s="130">
        <v>307</v>
      </c>
      <c r="C7" s="54" t="s">
        <v>508</v>
      </c>
      <c r="D7" s="62">
        <v>46134</v>
      </c>
      <c r="E7" s="54">
        <v>2</v>
      </c>
      <c r="F7" s="54"/>
      <c r="G7" s="54"/>
      <c r="H7" s="98" t="s">
        <v>106</v>
      </c>
      <c r="I7" s="54" t="s">
        <v>509</v>
      </c>
      <c r="J7" s="79" t="str">
        <f>IF(OR(NOT(ISERROR(MATCH(RIGHT(B7,3)+0,#REF!,0))),NOT(ISERROR(MATCH(LEFT(B7,3)+0,#REF!,0)))),"No Post","")</f>
        <v/>
      </c>
    </row>
    <row r="8" spans="1:10" x14ac:dyDescent="0.35">
      <c r="A8" s="176">
        <v>2</v>
      </c>
      <c r="B8" s="196">
        <v>331</v>
      </c>
      <c r="C8" s="54" t="s">
        <v>511</v>
      </c>
      <c r="D8" s="62">
        <v>46137</v>
      </c>
      <c r="E8" s="54">
        <v>2</v>
      </c>
      <c r="F8" s="54">
        <v>1</v>
      </c>
      <c r="G8" s="54"/>
      <c r="H8" s="196" t="s">
        <v>132</v>
      </c>
      <c r="I8" s="54" t="s">
        <v>458</v>
      </c>
      <c r="J8" s="79" t="str">
        <f>IF(OR(NOT(ISERROR(MATCH(RIGHT(B8,3)+0,#REF!,0))),NOT(ISERROR(MATCH(LEFT(B8,3)+0,#REF!,0)))),"No Post","")</f>
        <v/>
      </c>
    </row>
    <row r="9" spans="1:10" x14ac:dyDescent="0.35">
      <c r="A9" s="176">
        <v>3</v>
      </c>
      <c r="B9" s="196">
        <v>611</v>
      </c>
      <c r="C9" s="54" t="s">
        <v>514</v>
      </c>
      <c r="D9" s="62">
        <v>46133</v>
      </c>
      <c r="E9" s="54">
        <v>2</v>
      </c>
      <c r="F9" s="54"/>
      <c r="G9" s="54"/>
      <c r="H9" s="196" t="s">
        <v>132</v>
      </c>
      <c r="I9" s="54" t="s">
        <v>510</v>
      </c>
      <c r="J9" s="79" t="str">
        <f>IF(OR(NOT(ISERROR(MATCH(RIGHT(B9,3)+0,#REF!,0))),NOT(ISERROR(MATCH(LEFT(B9,3)+0,#REF!,0)))),"No Post","")</f>
        <v/>
      </c>
    </row>
    <row r="10" spans="1:10" x14ac:dyDescent="0.35">
      <c r="A10" s="176">
        <v>4</v>
      </c>
      <c r="B10" s="105">
        <v>816</v>
      </c>
      <c r="C10" s="54" t="s">
        <v>487</v>
      </c>
      <c r="D10" s="62">
        <v>46138</v>
      </c>
      <c r="E10" s="54">
        <v>2</v>
      </c>
      <c r="F10" s="54"/>
      <c r="G10" s="54"/>
      <c r="H10" s="105" t="s">
        <v>124</v>
      </c>
      <c r="I10" s="54" t="s">
        <v>164</v>
      </c>
      <c r="J10" s="79" t="s">
        <v>273</v>
      </c>
    </row>
    <row r="11" spans="1:10" x14ac:dyDescent="0.35">
      <c r="A11" s="176">
        <v>5</v>
      </c>
      <c r="B11" s="105">
        <v>862</v>
      </c>
      <c r="C11" s="54" t="s">
        <v>502</v>
      </c>
      <c r="D11" s="62">
        <v>46138</v>
      </c>
      <c r="E11" s="54">
        <v>2</v>
      </c>
      <c r="F11" s="54"/>
      <c r="G11" s="54"/>
      <c r="H11" s="105" t="s">
        <v>124</v>
      </c>
      <c r="I11" s="54" t="s">
        <v>135</v>
      </c>
      <c r="J11" s="79" t="str">
        <f>IF(OR(NOT(ISERROR(MATCH(RIGHT(B11,3)+0,#REF!,0))),NOT(ISERROR(MATCH(LEFT(B11,3)+0,#REF!,0)))),"No Post","")</f>
        <v/>
      </c>
    </row>
    <row r="12" spans="1:10" x14ac:dyDescent="0.35">
      <c r="A12" s="176">
        <v>6</v>
      </c>
      <c r="B12" s="98">
        <v>877</v>
      </c>
      <c r="C12" s="46" t="s">
        <v>54</v>
      </c>
      <c r="D12" s="48">
        <v>46135</v>
      </c>
      <c r="E12" s="46">
        <v>2</v>
      </c>
      <c r="F12" s="46"/>
      <c r="G12" s="46" t="s">
        <v>67</v>
      </c>
      <c r="H12" s="98" t="s">
        <v>106</v>
      </c>
      <c r="I12" s="46" t="s">
        <v>24</v>
      </c>
      <c r="J12" s="79" t="str">
        <f>IF(OR(NOT(ISERROR(MATCH(RIGHT(B12,3)+0,#REF!,0))),NOT(ISERROR(MATCH(LEFT(B12,3)+0,#REF!,0)))),"No Post","")</f>
        <v/>
      </c>
    </row>
    <row r="13" spans="1:10" x14ac:dyDescent="0.35">
      <c r="A13" s="176">
        <v>7</v>
      </c>
      <c r="B13" s="105">
        <v>880</v>
      </c>
      <c r="C13" s="54" t="s">
        <v>515</v>
      </c>
      <c r="D13" s="62">
        <v>46134</v>
      </c>
      <c r="E13" s="54">
        <v>2</v>
      </c>
      <c r="F13" s="54"/>
      <c r="G13" s="54"/>
      <c r="H13" s="105" t="s">
        <v>124</v>
      </c>
      <c r="I13" s="54" t="s">
        <v>513</v>
      </c>
      <c r="J13" s="79" t="s">
        <v>273</v>
      </c>
    </row>
    <row r="14" spans="1:10" x14ac:dyDescent="0.35">
      <c r="A14" s="176">
        <v>8</v>
      </c>
      <c r="B14" s="130">
        <v>625</v>
      </c>
      <c r="C14" s="54" t="s">
        <v>520</v>
      </c>
      <c r="D14" s="62">
        <v>46133</v>
      </c>
      <c r="E14" s="54">
        <v>2</v>
      </c>
      <c r="F14" s="54"/>
      <c r="G14" s="54"/>
      <c r="H14" s="98" t="s">
        <v>106</v>
      </c>
      <c r="I14" s="54" t="s">
        <v>455</v>
      </c>
      <c r="J14" s="79" t="str">
        <f>IF(OR(NOT(ISERROR(MATCH(RIGHT(B14,3)+0,#REF!,0))),NOT(ISERROR(MATCH(LEFT(B14,3)+0,#REF!,0)))),"No Post","")</f>
        <v/>
      </c>
    </row>
    <row r="15" spans="1:10" x14ac:dyDescent="0.35">
      <c r="A15" s="176">
        <v>9</v>
      </c>
      <c r="B15" s="130">
        <v>627</v>
      </c>
      <c r="C15" s="54" t="s">
        <v>521</v>
      </c>
      <c r="D15" s="62">
        <v>46133</v>
      </c>
      <c r="E15" s="54">
        <v>2</v>
      </c>
      <c r="F15" s="54"/>
      <c r="G15" s="54"/>
      <c r="H15" s="98" t="s">
        <v>106</v>
      </c>
      <c r="I15" s="54" t="s">
        <v>455</v>
      </c>
      <c r="J15" s="79" t="str">
        <f>IF(OR(NOT(ISERROR(MATCH(RIGHT(B15,3)+0,#REF!,0))),NOT(ISERROR(MATCH(LEFT(B15,3)+0,#REF!,0)))),"No Post","")</f>
        <v/>
      </c>
    </row>
    <row r="16" spans="1:10" x14ac:dyDescent="0.35">
      <c r="A16" s="176">
        <v>10</v>
      </c>
      <c r="B16" s="105">
        <v>214</v>
      </c>
      <c r="C16" s="54" t="s">
        <v>522</v>
      </c>
      <c r="D16" s="62">
        <v>46133</v>
      </c>
      <c r="E16" s="54">
        <v>2</v>
      </c>
      <c r="F16" s="54"/>
      <c r="G16" s="54"/>
      <c r="H16" s="105" t="s">
        <v>359</v>
      </c>
      <c r="I16" s="54" t="s">
        <v>458</v>
      </c>
      <c r="J16" s="79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4">
        <v>11</v>
      </c>
      <c r="B17" s="46"/>
      <c r="C17" s="47"/>
      <c r="D17" s="48"/>
      <c r="E17" s="46"/>
      <c r="F17" s="46"/>
      <c r="G17" s="46"/>
      <c r="H17" s="47"/>
      <c r="I17" s="47"/>
      <c r="J17" s="79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4">
        <v>12</v>
      </c>
      <c r="B18" s="46"/>
      <c r="C18" s="47"/>
      <c r="D18" s="48"/>
      <c r="E18" s="46"/>
      <c r="F18" s="46"/>
      <c r="G18" s="46"/>
      <c r="H18" s="47"/>
      <c r="I18" s="47"/>
      <c r="J18" s="79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4">
        <v>13</v>
      </c>
      <c r="B19" s="46"/>
      <c r="C19" s="47"/>
      <c r="D19" s="48"/>
      <c r="E19" s="46"/>
      <c r="F19" s="46"/>
      <c r="G19" s="46"/>
      <c r="H19" s="47"/>
      <c r="I19" s="47"/>
      <c r="J19" s="79" t="str">
        <f>IF(OR(NOT(ISERROR(MATCH(RIGHT(B19,3)+0,#REF!,0))),NOT(ISERROR(MATCH(LEFT(B19,3)+0,#REF!,0)))),"No Post","")</f>
        <v/>
      </c>
    </row>
    <row r="20" spans="1:10" ht="20.25" customHeight="1" x14ac:dyDescent="0.35">
      <c r="A20" s="49"/>
      <c r="B20" s="49"/>
      <c r="C20" s="49" t="str">
        <f>"Remaning: "&amp;IFERROR(MID(A5, SEARCH("MAX", A5) + LEN("MAX"), SEARCH("PAX", A5) - SEARCH("MAX", A5) - LEN("MAX")), "")+0-SUM(E20:F20)</f>
        <v>Remaning: -1</v>
      </c>
      <c r="D20" s="50" t="s">
        <v>19</v>
      </c>
      <c r="E20" s="51">
        <f>SUM(E7:E19)</f>
        <v>20</v>
      </c>
      <c r="F20" s="51">
        <f>SUM(F7:F19)</f>
        <v>1</v>
      </c>
      <c r="G20" s="49"/>
      <c r="H20" s="49"/>
      <c r="I20" s="49"/>
    </row>
    <row r="21" spans="1:10" ht="20.25" customHeight="1" x14ac:dyDescent="0.35">
      <c r="B21" s="8" t="s">
        <v>5</v>
      </c>
      <c r="C21" s="8"/>
      <c r="D21" s="35"/>
      <c r="E21" s="8"/>
      <c r="F21" s="8"/>
      <c r="G21" s="8"/>
    </row>
    <row r="22" spans="1:10" ht="20.25" customHeight="1" x14ac:dyDescent="0.35">
      <c r="B22" s="15" t="s">
        <v>6</v>
      </c>
      <c r="C22" s="9"/>
      <c r="D22" s="36"/>
      <c r="E22" s="9"/>
      <c r="F22" s="9"/>
      <c r="G22" s="9"/>
    </row>
    <row r="23" spans="1:10" ht="20.25" customHeight="1" x14ac:dyDescent="0.35">
      <c r="B23" s="15" t="s">
        <v>7</v>
      </c>
      <c r="C23" s="9"/>
      <c r="D23" s="36"/>
      <c r="E23" s="9"/>
      <c r="F23" s="9"/>
      <c r="G23" s="9"/>
    </row>
    <row r="24" spans="1:10" ht="20.25" customHeight="1" x14ac:dyDescent="0.35">
      <c r="B24" s="15" t="s">
        <v>8</v>
      </c>
      <c r="C24" s="9"/>
      <c r="D24" s="36"/>
      <c r="E24" s="9"/>
      <c r="F24" s="9"/>
      <c r="G24" s="9"/>
    </row>
    <row r="25" spans="1:10" x14ac:dyDescent="0.35">
      <c r="B25" s="15" t="s">
        <v>9</v>
      </c>
      <c r="C25" s="9"/>
      <c r="D25" s="36"/>
      <c r="E25" s="9"/>
      <c r="F25" s="9"/>
      <c r="G25" s="9"/>
    </row>
    <row r="26" spans="1:10" x14ac:dyDescent="0.35">
      <c r="B26" s="15" t="s">
        <v>10</v>
      </c>
      <c r="C26" s="9"/>
      <c r="D26" s="36"/>
      <c r="E26" s="9"/>
      <c r="F26" s="9"/>
      <c r="G26" s="9"/>
    </row>
    <row r="27" spans="1:10" x14ac:dyDescent="0.35">
      <c r="B27" s="15" t="s">
        <v>11</v>
      </c>
      <c r="C27" s="9"/>
      <c r="D27" s="36"/>
      <c r="E27" s="9"/>
      <c r="F27" s="9"/>
      <c r="G27" s="9"/>
    </row>
    <row r="28" spans="1:10" s="11" customFormat="1" ht="15.6" x14ac:dyDescent="0.3">
      <c r="B28" s="16" t="s">
        <v>12</v>
      </c>
      <c r="C28" s="10"/>
      <c r="D28" s="37"/>
      <c r="E28" s="10"/>
      <c r="F28" s="10"/>
    </row>
    <row r="29" spans="1:10" s="11" customFormat="1" ht="15.6" x14ac:dyDescent="0.3">
      <c r="B29" s="16" t="s">
        <v>13</v>
      </c>
      <c r="C29" s="10"/>
      <c r="D29" s="37"/>
      <c r="E29" s="10"/>
      <c r="F29" s="10"/>
    </row>
    <row r="30" spans="1:10" s="13" customFormat="1" ht="20.25" customHeight="1" x14ac:dyDescent="0.35">
      <c r="B30" s="17" t="s">
        <v>14</v>
      </c>
      <c r="C30" s="12"/>
      <c r="D30" s="38"/>
    </row>
    <row r="31" spans="1:10" s="8" customFormat="1" ht="14.4" x14ac:dyDescent="0.3">
      <c r="B31" s="14"/>
      <c r="C31" s="9"/>
      <c r="D31" s="36"/>
      <c r="E31" s="9"/>
      <c r="F31" s="9"/>
      <c r="G31" s="9"/>
    </row>
    <row r="32" spans="1:10" s="9" customFormat="1" ht="13.8" x14ac:dyDescent="0.3">
      <c r="D32" s="36"/>
    </row>
    <row r="33" spans="2:7" x14ac:dyDescent="0.35">
      <c r="B33" s="9"/>
      <c r="C33" s="9"/>
      <c r="D33" s="36"/>
      <c r="E33" s="9"/>
      <c r="F33" s="9"/>
      <c r="G33" s="9"/>
    </row>
    <row r="34" spans="2:7" x14ac:dyDescent="0.35">
      <c r="B34" s="8"/>
      <c r="C34" s="8"/>
      <c r="D34" s="35"/>
      <c r="E34" s="8"/>
      <c r="F34" s="8"/>
      <c r="G34" s="8"/>
    </row>
    <row r="35" spans="2:7" x14ac:dyDescent="0.35">
      <c r="B35" s="9"/>
      <c r="C35" s="9"/>
      <c r="D35" s="36"/>
      <c r="E35" s="9"/>
      <c r="F35" s="9"/>
      <c r="G35" s="9"/>
    </row>
    <row r="36" spans="2:7" x14ac:dyDescent="0.35">
      <c r="B36" s="9"/>
      <c r="C36" s="9"/>
      <c r="D36" s="36"/>
      <c r="E36" s="9"/>
      <c r="F36" s="9"/>
      <c r="G36" s="9"/>
    </row>
    <row r="37" spans="2:7" x14ac:dyDescent="0.35">
      <c r="B37" s="9"/>
      <c r="C37" s="9"/>
      <c r="D37" s="36"/>
      <c r="E37" s="9"/>
      <c r="F37" s="9"/>
      <c r="G37" s="9"/>
    </row>
    <row r="38" spans="2:7" x14ac:dyDescent="0.35">
      <c r="B38" s="9"/>
      <c r="C38" s="9"/>
      <c r="D38" s="36"/>
      <c r="E38" s="9"/>
      <c r="F38" s="9"/>
      <c r="G38" s="9"/>
    </row>
    <row r="39" spans="2:7" x14ac:dyDescent="0.35">
      <c r="B39" s="9"/>
      <c r="C39" s="9"/>
      <c r="D39" s="36"/>
      <c r="E39" s="9"/>
      <c r="F39" s="9"/>
      <c r="G39" s="9"/>
    </row>
    <row r="40" spans="2:7" x14ac:dyDescent="0.35">
      <c r="B40" s="9"/>
      <c r="C40" s="9"/>
      <c r="D40" s="36"/>
      <c r="E40" s="9"/>
      <c r="F40" s="9"/>
      <c r="G40" s="9"/>
    </row>
    <row r="41" spans="2:7" x14ac:dyDescent="0.35">
      <c r="B41" s="14"/>
      <c r="C41" s="9"/>
      <c r="D41" s="36"/>
      <c r="E41" s="9"/>
      <c r="F41" s="9"/>
      <c r="G41" s="9"/>
    </row>
    <row r="42" spans="2:7" x14ac:dyDescent="0.35">
      <c r="B42" s="9"/>
      <c r="C42" s="9"/>
      <c r="D42" s="36"/>
      <c r="E42" s="9"/>
      <c r="F42" s="9"/>
      <c r="G42" s="9"/>
    </row>
    <row r="44" spans="2:7" x14ac:dyDescent="0.35">
      <c r="B44" s="1"/>
      <c r="C44" s="1"/>
      <c r="D44" s="33"/>
      <c r="E44" s="1"/>
      <c r="F44" s="1"/>
      <c r="G44" s="1"/>
    </row>
    <row r="59" spans="2:7" x14ac:dyDescent="0.35">
      <c r="B59" s="9"/>
      <c r="C59" s="9"/>
      <c r="D59" s="36"/>
      <c r="E59" s="9"/>
      <c r="F59" s="9"/>
      <c r="G59" s="9"/>
    </row>
    <row r="60" spans="2:7" x14ac:dyDescent="0.35">
      <c r="B60" s="9"/>
      <c r="C60" s="9"/>
      <c r="D60" s="36"/>
      <c r="E60" s="9"/>
      <c r="F60" s="9"/>
      <c r="G60" s="9"/>
    </row>
    <row r="61" spans="2:7" x14ac:dyDescent="0.35">
      <c r="B61" s="9"/>
      <c r="C61" s="9"/>
      <c r="D61" s="36"/>
      <c r="E61" s="9"/>
      <c r="F61" s="9"/>
      <c r="G61" s="9"/>
    </row>
    <row r="62" spans="2:7" x14ac:dyDescent="0.35">
      <c r="B62" s="14"/>
      <c r="C62" s="9"/>
      <c r="D62" s="36"/>
      <c r="E62" s="9"/>
      <c r="F62" s="9"/>
      <c r="G62" s="9"/>
    </row>
    <row r="63" spans="2:7" x14ac:dyDescent="0.35">
      <c r="B63" s="9"/>
      <c r="C63" s="9"/>
      <c r="D63" s="36"/>
      <c r="E63" s="9"/>
      <c r="F63" s="9"/>
      <c r="G63" s="9"/>
    </row>
  </sheetData>
  <sortState ref="B7:J15">
    <sortCondition ref="B7"/>
  </sortState>
  <customSheetViews>
    <customSheetView guid="{744BB052-D863-41D2-951C-2AB325855A97}" scale="107" showPageBreaks="1" fitToPage="1" printArea="1" topLeftCell="A5">
      <selection activeCell="A12" sqref="A12"/>
      <rowBreaks count="1" manualBreakCount="1">
        <brk id="31" min="1" max="8" man="1"/>
      </rowBreaks>
      <colBreaks count="1" manualBreakCount="1">
        <brk id="11" max="30" man="1"/>
      </colBreaks>
      <pageMargins left="0.17" right="0.17" top="0.75" bottom="0.75" header="0.3" footer="0.3"/>
      <pageSetup scale="81" orientation="landscape" r:id="rId1"/>
    </customSheetView>
    <customSheetView guid="{E646B2A6-D876-4850-BD6A-9EDE7D7D90A5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 topLeftCell="A4">
      <selection activeCell="D21" sqref="D21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G5"/>
  </mergeCells>
  <conditionalFormatting sqref="J7:J19">
    <cfRule type="containsText" dxfId="10" priority="1" operator="containsText" text="No Post">
      <formula>NOT(ISERROR(SEARCH("No Post",J7)))</formula>
    </cfRule>
  </conditionalFormatting>
  <pageMargins left="0.17" right="0.17" top="0.75" bottom="0.75" header="0.3" footer="0.3"/>
  <pageSetup scale="81" orientation="landscape" r:id="rId6"/>
  <rowBreaks count="1" manualBreakCount="1">
    <brk id="31" min="1" max="8" man="1"/>
  </rowBreaks>
  <colBreaks count="1" manualBreakCount="1">
    <brk id="11" max="30" man="1"/>
  </colBreaks>
  <drawing r:id="rId7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5"/>
  <sheetViews>
    <sheetView zoomScale="85" zoomScaleNormal="85" zoomScaleSheetLayoutView="100" workbookViewId="0">
      <selection activeCell="D18" sqref="D18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5.2187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3.4" x14ac:dyDescent="0.45">
      <c r="A5" s="381" t="s">
        <v>15</v>
      </c>
      <c r="B5" s="382"/>
      <c r="C5" s="382"/>
      <c r="D5" s="383"/>
      <c r="E5" s="383"/>
      <c r="F5" s="383"/>
      <c r="G5" s="383"/>
      <c r="H5" s="383"/>
      <c r="I5" s="383"/>
      <c r="J5" s="27" t="s">
        <v>18</v>
      </c>
      <c r="K5" s="28" t="str">
        <f ca="1">CONCATENATE((MID(CELL("filename",K5),FIND("]",CELL("filename",K5))+1,255)),"/04/2026")</f>
        <v>21/04/2026</v>
      </c>
    </row>
    <row r="6" spans="1:12" x14ac:dyDescent="0.35">
      <c r="A6" s="45"/>
      <c r="B6" s="251"/>
      <c r="C6" s="251"/>
      <c r="D6" s="52" t="s">
        <v>1</v>
      </c>
      <c r="E6" s="52" t="s">
        <v>2</v>
      </c>
      <c r="F6" s="53" t="s">
        <v>21</v>
      </c>
      <c r="G6" s="52" t="s">
        <v>16</v>
      </c>
      <c r="H6" s="52" t="s">
        <v>17</v>
      </c>
      <c r="I6" s="52" t="s">
        <v>3</v>
      </c>
      <c r="J6" s="54" t="s">
        <v>20</v>
      </c>
      <c r="K6" s="55" t="s">
        <v>4</v>
      </c>
    </row>
    <row r="7" spans="1:12" x14ac:dyDescent="0.35">
      <c r="A7" s="54">
        <v>1</v>
      </c>
      <c r="B7" s="279"/>
      <c r="C7" s="279"/>
      <c r="D7" s="97">
        <v>204</v>
      </c>
      <c r="E7" s="123" t="s">
        <v>527</v>
      </c>
      <c r="F7" s="48">
        <v>46135</v>
      </c>
      <c r="G7" s="46">
        <v>2</v>
      </c>
      <c r="H7" s="46"/>
      <c r="I7" s="46"/>
      <c r="J7" s="97" t="s">
        <v>124</v>
      </c>
      <c r="K7" s="46" t="s">
        <v>135</v>
      </c>
      <c r="L7" s="79" t="str">
        <f>IF(OR(NOT(ISERROR(MATCH(RIGHT(D7,3)+0,#REF!,0))),NOT(ISERROR(MATCH(LEFT(D7,3)+0,#REF!,0)))),"No Post","")</f>
        <v/>
      </c>
    </row>
    <row r="8" spans="1:12" x14ac:dyDescent="0.35">
      <c r="A8" s="54">
        <v>2</v>
      </c>
      <c r="B8" s="279"/>
      <c r="C8" s="279"/>
      <c r="D8" s="99">
        <v>612</v>
      </c>
      <c r="E8" s="46" t="s">
        <v>523</v>
      </c>
      <c r="F8" s="48">
        <v>46135</v>
      </c>
      <c r="G8" s="46">
        <v>2</v>
      </c>
      <c r="H8" s="46"/>
      <c r="I8" s="46"/>
      <c r="J8" s="99" t="s">
        <v>125</v>
      </c>
      <c r="K8" s="46" t="s">
        <v>531</v>
      </c>
      <c r="L8" s="79" t="s">
        <v>273</v>
      </c>
    </row>
    <row r="9" spans="1:12" x14ac:dyDescent="0.35">
      <c r="A9" s="54">
        <v>3</v>
      </c>
      <c r="B9" s="279"/>
      <c r="C9" s="279"/>
      <c r="D9" s="98">
        <v>619</v>
      </c>
      <c r="E9" s="285" t="s">
        <v>77</v>
      </c>
      <c r="F9" s="48">
        <v>46136</v>
      </c>
      <c r="G9" s="46">
        <v>2</v>
      </c>
      <c r="H9" s="46"/>
      <c r="I9" s="46"/>
      <c r="J9" s="98" t="s">
        <v>106</v>
      </c>
      <c r="K9" s="46" t="s">
        <v>26</v>
      </c>
      <c r="L9" s="79" t="str">
        <f>IF(OR(NOT(ISERROR(MATCH(RIGHT(D9,3)+0,#REF!,0))),NOT(ISERROR(MATCH(LEFT(D9,3)+0,#REF!,0)))),"No Post","")</f>
        <v/>
      </c>
    </row>
    <row r="10" spans="1:12" x14ac:dyDescent="0.35">
      <c r="A10" s="54">
        <v>4</v>
      </c>
      <c r="B10" s="279"/>
      <c r="C10" s="279"/>
      <c r="D10" s="97">
        <v>667</v>
      </c>
      <c r="E10" s="46" t="s">
        <v>525</v>
      </c>
      <c r="F10" s="48">
        <v>46135</v>
      </c>
      <c r="G10" s="46">
        <v>2</v>
      </c>
      <c r="H10" s="46"/>
      <c r="I10" s="46"/>
      <c r="J10" s="97" t="s">
        <v>124</v>
      </c>
      <c r="K10" s="46" t="s">
        <v>135</v>
      </c>
      <c r="L10" s="79" t="s">
        <v>273</v>
      </c>
    </row>
    <row r="11" spans="1:12" x14ac:dyDescent="0.35">
      <c r="A11" s="54">
        <v>5</v>
      </c>
      <c r="B11" s="279"/>
      <c r="C11" s="279"/>
      <c r="D11" s="97">
        <v>691</v>
      </c>
      <c r="E11" s="46" t="s">
        <v>516</v>
      </c>
      <c r="F11" s="48">
        <v>46134</v>
      </c>
      <c r="G11" s="46">
        <v>2</v>
      </c>
      <c r="H11" s="46"/>
      <c r="I11" s="46" t="s">
        <v>532</v>
      </c>
      <c r="J11" s="97" t="s">
        <v>124</v>
      </c>
      <c r="K11" s="46" t="s">
        <v>135</v>
      </c>
      <c r="L11" s="79" t="s">
        <v>273</v>
      </c>
    </row>
    <row r="12" spans="1:12" x14ac:dyDescent="0.35">
      <c r="A12" s="54">
        <v>6</v>
      </c>
      <c r="B12" s="279"/>
      <c r="C12" s="279"/>
      <c r="D12" s="117">
        <v>814</v>
      </c>
      <c r="E12" s="46" t="s">
        <v>490</v>
      </c>
      <c r="F12" s="48">
        <v>46134</v>
      </c>
      <c r="G12" s="46">
        <v>2</v>
      </c>
      <c r="H12" s="46"/>
      <c r="I12" s="46" t="s">
        <v>397</v>
      </c>
      <c r="J12" s="117" t="s">
        <v>397</v>
      </c>
      <c r="K12" s="46" t="s">
        <v>250</v>
      </c>
      <c r="L12" s="79" t="str">
        <f>IF(OR(NOT(ISERROR(MATCH(RIGHT(D12,3)+0,#REF!,0))),NOT(ISERROR(MATCH(LEFT(D12,3)+0,#REF!,0)))),"No Post","")</f>
        <v/>
      </c>
    </row>
    <row r="13" spans="1:12" x14ac:dyDescent="0.35">
      <c r="A13" s="54">
        <v>7</v>
      </c>
      <c r="B13" s="279"/>
      <c r="C13" s="279"/>
      <c r="D13" s="97">
        <v>851</v>
      </c>
      <c r="E13" s="46" t="s">
        <v>518</v>
      </c>
      <c r="F13" s="48">
        <v>46136</v>
      </c>
      <c r="G13" s="46">
        <v>2</v>
      </c>
      <c r="H13" s="46"/>
      <c r="I13" s="46"/>
      <c r="J13" s="97" t="s">
        <v>124</v>
      </c>
      <c r="K13" s="46" t="s">
        <v>510</v>
      </c>
      <c r="L13" s="79" t="s">
        <v>273</v>
      </c>
    </row>
    <row r="14" spans="1:12" x14ac:dyDescent="0.35">
      <c r="A14" s="54">
        <v>8</v>
      </c>
      <c r="B14" s="279"/>
      <c r="C14" s="279"/>
      <c r="D14" s="97">
        <v>874</v>
      </c>
      <c r="E14" s="46" t="s">
        <v>526</v>
      </c>
      <c r="F14" s="48">
        <v>46137</v>
      </c>
      <c r="G14" s="46">
        <v>2</v>
      </c>
      <c r="H14" s="46"/>
      <c r="I14" s="46" t="s">
        <v>524</v>
      </c>
      <c r="J14" s="97" t="s">
        <v>124</v>
      </c>
      <c r="K14" s="46" t="s">
        <v>135</v>
      </c>
      <c r="L14" s="79" t="s">
        <v>273</v>
      </c>
    </row>
    <row r="15" spans="1:12" x14ac:dyDescent="0.35">
      <c r="A15" s="54">
        <v>9</v>
      </c>
      <c r="B15" s="279"/>
      <c r="C15" s="279"/>
      <c r="D15" s="97">
        <v>886</v>
      </c>
      <c r="E15" s="46" t="s">
        <v>517</v>
      </c>
      <c r="F15" s="48">
        <v>46134</v>
      </c>
      <c r="G15" s="46">
        <v>2</v>
      </c>
      <c r="H15" s="46"/>
      <c r="I15" s="46" t="s">
        <v>532</v>
      </c>
      <c r="J15" s="97" t="s">
        <v>124</v>
      </c>
      <c r="K15" s="46" t="s">
        <v>135</v>
      </c>
      <c r="L15" s="79" t="s">
        <v>273</v>
      </c>
    </row>
    <row r="16" spans="1:12" x14ac:dyDescent="0.35">
      <c r="A16" s="54">
        <v>10</v>
      </c>
      <c r="B16" s="279"/>
      <c r="C16" s="279"/>
      <c r="D16" s="98">
        <v>887</v>
      </c>
      <c r="E16" s="46" t="s">
        <v>519</v>
      </c>
      <c r="F16" s="48">
        <v>46135</v>
      </c>
      <c r="G16" s="46">
        <v>2</v>
      </c>
      <c r="H16" s="46"/>
      <c r="I16" s="46"/>
      <c r="J16" s="98" t="s">
        <v>106</v>
      </c>
      <c r="K16" s="46" t="s">
        <v>512</v>
      </c>
      <c r="L16" s="79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54">
        <v>11</v>
      </c>
      <c r="B17" s="54"/>
      <c r="C17" s="54"/>
      <c r="D17" s="144" t="s">
        <v>23</v>
      </c>
      <c r="E17" s="46" t="s">
        <v>494</v>
      </c>
      <c r="F17" s="48"/>
      <c r="G17" s="144" t="s">
        <v>122</v>
      </c>
      <c r="H17" s="46"/>
      <c r="I17" s="46"/>
      <c r="J17" s="46" t="s">
        <v>417</v>
      </c>
      <c r="K17" s="46" t="s">
        <v>294</v>
      </c>
      <c r="L17" s="79" t="str">
        <f>IF(OR(NOT(ISERROR(MATCH(RIGHT(D17,3)+0,#REF!,0))),NOT(ISERROR(MATCH(LEFT(D17,3)+0,#REF!,0)))),"No Post","")</f>
        <v/>
      </c>
    </row>
    <row r="18" spans="1:12" ht="18.600000000000001" customHeight="1" x14ac:dyDescent="0.35">
      <c r="A18" s="54">
        <v>12</v>
      </c>
      <c r="B18" s="54"/>
      <c r="C18" s="54"/>
      <c r="D18" s="144" t="s">
        <v>23</v>
      </c>
      <c r="E18" s="46" t="s">
        <v>496</v>
      </c>
      <c r="F18" s="48"/>
      <c r="G18" s="144" t="s">
        <v>121</v>
      </c>
      <c r="H18" s="46"/>
      <c r="I18" s="46"/>
      <c r="J18" s="46" t="s">
        <v>279</v>
      </c>
      <c r="K18" s="46" t="s">
        <v>497</v>
      </c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13</v>
      </c>
      <c r="B19" s="54"/>
      <c r="C19" s="54"/>
      <c r="D19" s="54"/>
      <c r="E19" s="78"/>
      <c r="F19" s="62"/>
      <c r="G19" s="54"/>
      <c r="H19" s="54"/>
      <c r="I19" s="54"/>
      <c r="J19" s="54"/>
      <c r="K19" s="54"/>
      <c r="L19" s="79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14</v>
      </c>
      <c r="B20" s="54"/>
      <c r="C20" s="54"/>
      <c r="D20" s="54"/>
      <c r="E20" s="54"/>
      <c r="F20" s="62"/>
      <c r="G20" s="54"/>
      <c r="H20" s="54"/>
      <c r="I20" s="54"/>
      <c r="J20" s="54"/>
      <c r="K20" s="54"/>
      <c r="L20" s="79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4">
        <v>15</v>
      </c>
      <c r="B21" s="54"/>
      <c r="C21" s="54"/>
      <c r="D21" s="46"/>
      <c r="E21" s="47"/>
      <c r="F21" s="48"/>
      <c r="G21" s="46"/>
      <c r="H21" s="46"/>
      <c r="I21" s="46"/>
      <c r="J21" s="47"/>
      <c r="K21" s="47"/>
      <c r="L21" s="79" t="str">
        <f>IF(OR(NOT(ISERROR(MATCH(RIGHT(D21,3)+0,#REF!,0))),NOT(ISERROR(MATCH(LEFT(D21,3)+0,#REF!,0)))),"No Post","")</f>
        <v/>
      </c>
    </row>
    <row r="22" spans="1:12" ht="20.25" customHeight="1" x14ac:dyDescent="0.35">
      <c r="A22" s="264"/>
      <c r="B22" s="265"/>
      <c r="C22" s="265"/>
      <c r="D22" s="265"/>
      <c r="E22" s="265" t="str">
        <f>"Remaning: "&amp;IFERROR(MID(A5, SEARCH("MAX", A5) + LEN("MAX"), SEARCH("PAX", A5) - SEARCH("MAX", A5) - LEN("MAX")), "")+0-SUM(G22:H22)</f>
        <v>Remaning: 0</v>
      </c>
      <c r="F22" s="266" t="s">
        <v>19</v>
      </c>
      <c r="G22" s="267">
        <f>SUM(G7:G21)</f>
        <v>20</v>
      </c>
      <c r="H22" s="267">
        <f>SUM(H17:H21)</f>
        <v>0</v>
      </c>
      <c r="I22" s="265"/>
      <c r="J22" s="265"/>
      <c r="K22" s="251"/>
    </row>
    <row r="23" spans="1:12" ht="20.25" customHeight="1" x14ac:dyDescent="0.35">
      <c r="D23" s="8" t="s">
        <v>5</v>
      </c>
      <c r="E23" s="8"/>
      <c r="F23" s="35"/>
      <c r="G23" s="8"/>
      <c r="H23" s="8"/>
      <c r="I23" s="8"/>
    </row>
    <row r="24" spans="1:12" ht="20.25" customHeight="1" x14ac:dyDescent="0.35">
      <c r="D24" s="15" t="s">
        <v>6</v>
      </c>
      <c r="E24" s="9"/>
      <c r="F24" s="36"/>
      <c r="G24" s="9"/>
      <c r="H24" s="9"/>
      <c r="I24" s="9"/>
    </row>
    <row r="25" spans="1:12" ht="20.25" customHeight="1" x14ac:dyDescent="0.35">
      <c r="D25" s="15" t="s">
        <v>7</v>
      </c>
      <c r="E25" s="9"/>
      <c r="F25" s="36"/>
      <c r="G25" s="9"/>
      <c r="H25" s="9"/>
      <c r="I25" s="9"/>
    </row>
    <row r="26" spans="1:12" ht="20.25" customHeight="1" x14ac:dyDescent="0.35">
      <c r="D26" s="15" t="s">
        <v>8</v>
      </c>
      <c r="E26" s="9"/>
      <c r="F26" s="36"/>
      <c r="G26" s="9"/>
      <c r="H26" s="9"/>
      <c r="I26" s="9"/>
    </row>
    <row r="27" spans="1:12" x14ac:dyDescent="0.35">
      <c r="D27" s="15" t="s">
        <v>9</v>
      </c>
      <c r="E27" s="9"/>
      <c r="F27" s="36"/>
      <c r="G27" s="9"/>
      <c r="H27" s="9"/>
      <c r="I27" s="9"/>
    </row>
    <row r="28" spans="1:12" x14ac:dyDescent="0.35">
      <c r="D28" s="15" t="s">
        <v>10</v>
      </c>
      <c r="E28" s="9"/>
      <c r="F28" s="36"/>
      <c r="G28" s="9"/>
      <c r="H28" s="9"/>
      <c r="I28" s="9"/>
    </row>
    <row r="29" spans="1:12" x14ac:dyDescent="0.35">
      <c r="D29" s="15" t="s">
        <v>11</v>
      </c>
      <c r="E29" s="9"/>
      <c r="F29" s="36"/>
      <c r="G29" s="9"/>
      <c r="H29" s="9"/>
      <c r="I29" s="9"/>
    </row>
    <row r="30" spans="1:12" s="11" customFormat="1" ht="15.6" x14ac:dyDescent="0.3">
      <c r="D30" s="16" t="s">
        <v>12</v>
      </c>
      <c r="E30" s="10"/>
      <c r="F30" s="37"/>
      <c r="G30" s="10"/>
      <c r="H30" s="10"/>
    </row>
    <row r="31" spans="1:12" s="11" customFormat="1" ht="15.6" x14ac:dyDescent="0.3">
      <c r="D31" s="16" t="s">
        <v>13</v>
      </c>
      <c r="E31" s="10"/>
      <c r="F31" s="37"/>
      <c r="G31" s="10"/>
      <c r="H31" s="10"/>
    </row>
    <row r="32" spans="1:12" s="13" customFormat="1" ht="20.25" customHeight="1" x14ac:dyDescent="0.35">
      <c r="D32" s="17" t="s">
        <v>14</v>
      </c>
      <c r="E32" s="12"/>
      <c r="F32" s="38"/>
    </row>
    <row r="33" spans="4:9" s="8" customFormat="1" ht="14.4" x14ac:dyDescent="0.3">
      <c r="D33" s="14"/>
      <c r="E33" s="9"/>
      <c r="F33" s="36"/>
      <c r="G33" s="9"/>
      <c r="H33" s="9"/>
      <c r="I33" s="9"/>
    </row>
    <row r="34" spans="4:9" s="9" customFormat="1" ht="13.8" x14ac:dyDescent="0.3">
      <c r="F34" s="36"/>
    </row>
    <row r="35" spans="4:9" x14ac:dyDescent="0.35">
      <c r="D35" s="9"/>
      <c r="E35" s="9"/>
      <c r="F35" s="36"/>
      <c r="G35" s="9"/>
      <c r="H35" s="9"/>
      <c r="I35" s="9"/>
    </row>
    <row r="36" spans="4:9" x14ac:dyDescent="0.35">
      <c r="D36" s="8"/>
      <c r="E36" s="8"/>
      <c r="F36" s="35"/>
      <c r="G36" s="8"/>
      <c r="H36" s="8"/>
      <c r="I36" s="8"/>
    </row>
    <row r="37" spans="4:9" x14ac:dyDescent="0.35">
      <c r="D37" s="9"/>
      <c r="E37" s="9"/>
      <c r="F37" s="36"/>
      <c r="G37" s="9"/>
      <c r="H37" s="9"/>
      <c r="I37" s="9"/>
    </row>
    <row r="38" spans="4:9" x14ac:dyDescent="0.35">
      <c r="D38" s="9"/>
      <c r="E38" s="9"/>
      <c r="F38" s="36"/>
      <c r="G38" s="9"/>
      <c r="H38" s="9"/>
      <c r="I38" s="9"/>
    </row>
    <row r="39" spans="4:9" x14ac:dyDescent="0.35">
      <c r="D39" s="9"/>
      <c r="E39" s="9"/>
      <c r="F39" s="36"/>
      <c r="G39" s="9"/>
      <c r="H39" s="9"/>
      <c r="I39" s="9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14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6" spans="4:9" x14ac:dyDescent="0.35">
      <c r="D46" s="1"/>
      <c r="E46" s="1"/>
      <c r="F46" s="33"/>
      <c r="G46" s="1"/>
      <c r="H46" s="1"/>
      <c r="I46" s="1"/>
    </row>
    <row r="61" spans="4:9" x14ac:dyDescent="0.35">
      <c r="D61" s="9"/>
      <c r="E61" s="9"/>
      <c r="F61" s="36"/>
      <c r="G61" s="9"/>
      <c r="H61" s="9"/>
      <c r="I61" s="9"/>
    </row>
    <row r="62" spans="4:9" x14ac:dyDescent="0.35">
      <c r="D62" s="9"/>
      <c r="E62" s="9"/>
      <c r="F62" s="36"/>
      <c r="G62" s="9"/>
      <c r="H62" s="9"/>
      <c r="I62" s="9"/>
    </row>
    <row r="63" spans="4:9" x14ac:dyDescent="0.35">
      <c r="D63" s="9"/>
      <c r="E63" s="9"/>
      <c r="F63" s="36"/>
      <c r="G63" s="9"/>
      <c r="H63" s="9"/>
      <c r="I63" s="9"/>
    </row>
    <row r="64" spans="4:9" x14ac:dyDescent="0.35">
      <c r="D64" s="14"/>
      <c r="E64" s="9"/>
      <c r="F64" s="36"/>
      <c r="G64" s="9"/>
      <c r="H64" s="9"/>
      <c r="I64" s="9"/>
    </row>
    <row r="65" spans="4:9" x14ac:dyDescent="0.35">
      <c r="D65" s="9"/>
      <c r="E65" s="9"/>
      <c r="F65" s="36"/>
      <c r="G65" s="9"/>
      <c r="H65" s="9"/>
      <c r="I65" s="9"/>
    </row>
  </sheetData>
  <sortState ref="D7:L16">
    <sortCondition ref="D7"/>
  </sortState>
  <customSheetViews>
    <customSheetView guid="{744BB052-D863-41D2-951C-2AB325855A97}" scale="85" showPageBreaks="1" fitToPage="1" printArea="1">
      <selection activeCell="D18" sqref="D18"/>
      <rowBreaks count="1" manualBreakCount="1">
        <brk id="33" min="3" max="10" man="1"/>
      </rowBreaks>
      <colBreaks count="1" manualBreakCount="1">
        <brk id="13" max="30" man="1"/>
      </colBreaks>
      <pageMargins left="0.17" right="0.17" top="0.75" bottom="0.75" header="0.3" footer="0.3"/>
      <pageSetup scale="71" orientation="landscape" r:id="rId1"/>
    </customSheetView>
    <customSheetView guid="{E646B2A6-D876-4850-BD6A-9EDE7D7D90A5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1">
    <cfRule type="containsText" dxfId="9" priority="1" operator="containsText" text="No Post">
      <formula>NOT(ISERROR(SEARCH("No Post",L7)))</formula>
    </cfRule>
  </conditionalFormatting>
  <pageMargins left="0.17" right="0.17" top="0.75" bottom="0.75" header="0.3" footer="0.3"/>
  <pageSetup scale="71" orientation="landscape" r:id="rId6"/>
  <rowBreaks count="1" manualBreakCount="1">
    <brk id="33" min="3" max="10" man="1"/>
  </rowBreaks>
  <colBreaks count="1" manualBreakCount="1">
    <brk id="13" max="30" man="1"/>
  </colBreaks>
  <drawing r:id="rId7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2"/>
  <sheetViews>
    <sheetView topLeftCell="A7" zoomScaleNormal="100" zoomScaleSheetLayoutView="100" workbookViewId="0">
      <selection activeCell="G20" activeCellId="2" sqref="G9:G14 G16:G18 G20:G26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3.4" x14ac:dyDescent="0.45">
      <c r="A5" s="381" t="s">
        <v>15</v>
      </c>
      <c r="B5" s="382"/>
      <c r="C5" s="382"/>
      <c r="D5" s="383"/>
      <c r="E5" s="383"/>
      <c r="F5" s="383"/>
      <c r="G5" s="383"/>
      <c r="H5" s="383"/>
      <c r="I5" s="383"/>
      <c r="J5" s="27" t="s">
        <v>18</v>
      </c>
      <c r="K5" s="28" t="str">
        <f ca="1">CONCATENATE((MID(CELL("filename",K5),FIND("]",CELL("filename",K5))+1,255)),"/04/2026")</f>
        <v>22/04/2026</v>
      </c>
    </row>
    <row r="6" spans="1:12" x14ac:dyDescent="0.35">
      <c r="A6" s="291"/>
      <c r="B6" s="292"/>
      <c r="C6" s="292"/>
      <c r="D6" s="293" t="s">
        <v>1</v>
      </c>
      <c r="E6" s="293" t="s">
        <v>2</v>
      </c>
      <c r="F6" s="294" t="s">
        <v>21</v>
      </c>
      <c r="G6" s="293" t="s">
        <v>16</v>
      </c>
      <c r="H6" s="293" t="s">
        <v>17</v>
      </c>
      <c r="I6" s="293" t="s">
        <v>3</v>
      </c>
      <c r="J6" s="82" t="s">
        <v>20</v>
      </c>
      <c r="K6" s="295" t="s">
        <v>4</v>
      </c>
    </row>
    <row r="7" spans="1:12" x14ac:dyDescent="0.35">
      <c r="A7" s="299"/>
      <c r="B7" s="300"/>
      <c r="C7" s="300"/>
      <c r="D7" s="301"/>
      <c r="E7" s="305" t="s">
        <v>267</v>
      </c>
      <c r="F7" s="306" t="s">
        <v>268</v>
      </c>
      <c r="G7" s="301"/>
      <c r="H7" s="301"/>
      <c r="I7" s="301"/>
      <c r="J7" s="300"/>
      <c r="K7" s="302"/>
    </row>
    <row r="8" spans="1:12" x14ac:dyDescent="0.35">
      <c r="A8" s="43">
        <v>1</v>
      </c>
      <c r="B8" s="43"/>
      <c r="C8" s="43"/>
      <c r="D8" s="128">
        <v>100</v>
      </c>
      <c r="E8" s="297" t="s">
        <v>533</v>
      </c>
      <c r="F8" s="121">
        <v>46137</v>
      </c>
      <c r="G8" s="106">
        <v>2</v>
      </c>
      <c r="H8" s="106"/>
      <c r="I8" s="106"/>
      <c r="J8" s="128" t="s">
        <v>106</v>
      </c>
      <c r="K8" s="106" t="s">
        <v>30</v>
      </c>
      <c r="L8" s="79" t="str">
        <f>IF(OR(NOT(ISERROR(MATCH(RIGHT(D8,3)+0,#REF!,0))),NOT(ISERROR(MATCH(LEFT(D8,3)+0,#REF!,0)))),"No Post","")</f>
        <v/>
      </c>
    </row>
    <row r="9" spans="1:12" x14ac:dyDescent="0.35">
      <c r="A9" s="54">
        <v>2</v>
      </c>
      <c r="B9" s="309"/>
      <c r="C9" s="309"/>
      <c r="D9" s="98">
        <v>101</v>
      </c>
      <c r="E9" s="21" t="s">
        <v>182</v>
      </c>
      <c r="F9" s="48">
        <v>46137</v>
      </c>
      <c r="G9" s="46">
        <v>2</v>
      </c>
      <c r="H9" s="46"/>
      <c r="I9" s="46"/>
      <c r="J9" s="98" t="s">
        <v>106</v>
      </c>
      <c r="K9" s="46" t="s">
        <v>30</v>
      </c>
      <c r="L9" s="79" t="str">
        <f>IF(OR(NOT(ISERROR(MATCH(RIGHT(D9,3)+0,#REF!,0))),NOT(ISERROR(MATCH(LEFT(D9,3)+0,#REF!,0)))),"No Post","")</f>
        <v/>
      </c>
    </row>
    <row r="10" spans="1:12" x14ac:dyDescent="0.35">
      <c r="A10" s="54">
        <v>3</v>
      </c>
      <c r="B10" s="309"/>
      <c r="C10" s="309"/>
      <c r="D10" s="98">
        <v>102</v>
      </c>
      <c r="E10" s="21" t="s">
        <v>197</v>
      </c>
      <c r="F10" s="48">
        <v>46137</v>
      </c>
      <c r="G10" s="46">
        <v>2</v>
      </c>
      <c r="H10" s="46"/>
      <c r="I10" s="46"/>
      <c r="J10" s="98" t="s">
        <v>106</v>
      </c>
      <c r="K10" s="46" t="s">
        <v>30</v>
      </c>
      <c r="L10" s="79" t="str">
        <f>IF(OR(NOT(ISERROR(MATCH(RIGHT(D10,3)+0,#REF!,0))),NOT(ISERROR(MATCH(LEFT(D10,3)+0,#REF!,0)))),"No Post","")</f>
        <v/>
      </c>
    </row>
    <row r="11" spans="1:12" x14ac:dyDescent="0.35">
      <c r="A11" s="54">
        <v>4</v>
      </c>
      <c r="B11" s="309"/>
      <c r="C11" s="309"/>
      <c r="D11" s="98">
        <v>103</v>
      </c>
      <c r="E11" s="21" t="s">
        <v>187</v>
      </c>
      <c r="F11" s="48">
        <v>46137</v>
      </c>
      <c r="G11" s="46">
        <v>2</v>
      </c>
      <c r="H11" s="46"/>
      <c r="I11" s="46"/>
      <c r="J11" s="98" t="s">
        <v>106</v>
      </c>
      <c r="K11" s="46" t="s">
        <v>30</v>
      </c>
      <c r="L11" s="79" t="str">
        <f>IF(OR(NOT(ISERROR(MATCH(RIGHT(D11,3)+0,#REF!,0))),NOT(ISERROR(MATCH(LEFT(D11,3)+0,#REF!,0)))),"No Post","")</f>
        <v/>
      </c>
    </row>
    <row r="12" spans="1:12" x14ac:dyDescent="0.35">
      <c r="A12" s="54">
        <v>5</v>
      </c>
      <c r="B12" s="309"/>
      <c r="C12" s="309"/>
      <c r="D12" s="98">
        <v>104</v>
      </c>
      <c r="E12" s="21" t="s">
        <v>183</v>
      </c>
      <c r="F12" s="48">
        <v>46137</v>
      </c>
      <c r="G12" s="46">
        <v>2</v>
      </c>
      <c r="H12" s="46"/>
      <c r="I12" s="46"/>
      <c r="J12" s="98" t="s">
        <v>106</v>
      </c>
      <c r="K12" s="46" t="s">
        <v>30</v>
      </c>
      <c r="L12" s="79" t="str">
        <f>IF(OR(NOT(ISERROR(MATCH(RIGHT(D12,3)+0,#REF!,0))),NOT(ISERROR(MATCH(LEFT(D12,3)+0,#REF!,0)))),"No Post","")</f>
        <v/>
      </c>
    </row>
    <row r="13" spans="1:12" x14ac:dyDescent="0.35">
      <c r="A13" s="54">
        <v>6</v>
      </c>
      <c r="B13" s="309"/>
      <c r="C13" s="309"/>
      <c r="D13" s="98">
        <v>105</v>
      </c>
      <c r="E13" s="21" t="s">
        <v>534</v>
      </c>
      <c r="F13" s="48">
        <v>46137</v>
      </c>
      <c r="G13" s="46">
        <v>2</v>
      </c>
      <c r="H13" s="46"/>
      <c r="I13" s="46"/>
      <c r="J13" s="98" t="s">
        <v>106</v>
      </c>
      <c r="K13" s="46" t="s">
        <v>30</v>
      </c>
      <c r="L13" s="79" t="str">
        <f>IF(OR(NOT(ISERROR(MATCH(RIGHT(D13,3)+0,#REF!,0))),NOT(ISERROR(MATCH(LEFT(D13,3)+0,#REF!,0)))),"No Post","")</f>
        <v/>
      </c>
    </row>
    <row r="14" spans="1:12" x14ac:dyDescent="0.35">
      <c r="A14" s="82">
        <v>7</v>
      </c>
      <c r="B14" s="310"/>
      <c r="C14" s="310"/>
      <c r="D14" s="296">
        <v>107</v>
      </c>
      <c r="E14" s="269" t="s">
        <v>184</v>
      </c>
      <c r="F14" s="137">
        <v>46137</v>
      </c>
      <c r="G14" s="136">
        <v>2</v>
      </c>
      <c r="H14" s="136"/>
      <c r="I14" s="136"/>
      <c r="J14" s="296" t="s">
        <v>106</v>
      </c>
      <c r="K14" s="136" t="s">
        <v>30</v>
      </c>
      <c r="L14" s="79" t="str">
        <f>IF(OR(NOT(ISERROR(MATCH(RIGHT(D14,3)+0,#REF!,0))),NOT(ISERROR(MATCH(LEFT(D14,3)+0,#REF!,0)))),"No Post","")</f>
        <v/>
      </c>
    </row>
    <row r="15" spans="1:12" x14ac:dyDescent="0.35">
      <c r="A15" s="299"/>
      <c r="B15" s="300"/>
      <c r="C15" s="300"/>
      <c r="D15" s="303"/>
      <c r="E15" s="307" t="s">
        <v>269</v>
      </c>
      <c r="F15" s="308" t="s">
        <v>270</v>
      </c>
      <c r="G15" s="303"/>
      <c r="H15" s="303"/>
      <c r="I15" s="303"/>
      <c r="J15" s="303"/>
      <c r="K15" s="304"/>
      <c r="L15" s="79"/>
    </row>
    <row r="16" spans="1:12" x14ac:dyDescent="0.35">
      <c r="A16" s="43">
        <v>8</v>
      </c>
      <c r="B16" s="311"/>
      <c r="C16" s="311"/>
      <c r="D16" s="128">
        <v>108</v>
      </c>
      <c r="E16" s="297" t="s">
        <v>185</v>
      </c>
      <c r="F16" s="121">
        <v>46137</v>
      </c>
      <c r="G16" s="106">
        <v>3</v>
      </c>
      <c r="H16" s="106"/>
      <c r="I16" s="106"/>
      <c r="J16" s="128" t="s">
        <v>106</v>
      </c>
      <c r="K16" s="106" t="s">
        <v>30</v>
      </c>
      <c r="L16" s="79" t="str">
        <f>IF(OR(NOT(ISERROR(MATCH(RIGHT(D16,3)+0,#REF!,0))),NOT(ISERROR(MATCH(LEFT(D16,3)+0,#REF!,0)))),"No Post","")</f>
        <v/>
      </c>
    </row>
    <row r="17" spans="1:12" x14ac:dyDescent="0.35">
      <c r="A17" s="54">
        <v>9</v>
      </c>
      <c r="B17" s="309"/>
      <c r="C17" s="309"/>
      <c r="D17" s="98">
        <v>110</v>
      </c>
      <c r="E17" s="21" t="s">
        <v>192</v>
      </c>
      <c r="F17" s="48">
        <v>46137</v>
      </c>
      <c r="G17" s="46">
        <v>2</v>
      </c>
      <c r="H17" s="46"/>
      <c r="I17" s="46"/>
      <c r="J17" s="98" t="s">
        <v>106</v>
      </c>
      <c r="K17" s="46" t="s">
        <v>30</v>
      </c>
      <c r="L17" s="79" t="str">
        <f>IF(OR(NOT(ISERROR(MATCH(RIGHT(D17,3)+0,#REF!,0))),NOT(ISERROR(MATCH(LEFT(D17,3)+0,#REF!,0)))),"No Post","")</f>
        <v/>
      </c>
    </row>
    <row r="18" spans="1:12" x14ac:dyDescent="0.35">
      <c r="A18" s="54">
        <v>10</v>
      </c>
      <c r="B18" s="309"/>
      <c r="C18" s="309"/>
      <c r="D18" s="98">
        <v>111</v>
      </c>
      <c r="E18" s="21" t="s">
        <v>189</v>
      </c>
      <c r="F18" s="48">
        <v>46137</v>
      </c>
      <c r="G18" s="46">
        <v>2</v>
      </c>
      <c r="H18" s="46"/>
      <c r="I18" s="46"/>
      <c r="J18" s="98" t="s">
        <v>106</v>
      </c>
      <c r="K18" s="46" t="s">
        <v>30</v>
      </c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11</v>
      </c>
      <c r="B19" s="54"/>
      <c r="C19" s="54"/>
      <c r="D19" s="98">
        <v>113</v>
      </c>
      <c r="E19" s="21" t="s">
        <v>195</v>
      </c>
      <c r="F19" s="48">
        <v>46137</v>
      </c>
      <c r="G19" s="46">
        <v>2</v>
      </c>
      <c r="H19" s="46"/>
      <c r="I19" s="46"/>
      <c r="J19" s="98" t="s">
        <v>106</v>
      </c>
      <c r="K19" s="46" t="s">
        <v>30</v>
      </c>
      <c r="L19" s="79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12</v>
      </c>
      <c r="B20" s="309"/>
      <c r="C20" s="309"/>
      <c r="D20" s="98">
        <v>118</v>
      </c>
      <c r="E20" s="21" t="s">
        <v>190</v>
      </c>
      <c r="F20" s="48">
        <v>46137</v>
      </c>
      <c r="G20" s="46">
        <v>2</v>
      </c>
      <c r="H20" s="46"/>
      <c r="I20" s="46"/>
      <c r="J20" s="98" t="s">
        <v>106</v>
      </c>
      <c r="K20" s="46" t="s">
        <v>30</v>
      </c>
      <c r="L20" s="79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4">
        <v>13</v>
      </c>
      <c r="B21" s="309"/>
      <c r="C21" s="309"/>
      <c r="D21" s="98">
        <v>120</v>
      </c>
      <c r="E21" s="21" t="s">
        <v>194</v>
      </c>
      <c r="F21" s="48">
        <v>46137</v>
      </c>
      <c r="G21" s="46">
        <v>2</v>
      </c>
      <c r="H21" s="46"/>
      <c r="I21" s="46"/>
      <c r="J21" s="98" t="s">
        <v>106</v>
      </c>
      <c r="K21" s="46" t="s">
        <v>30</v>
      </c>
      <c r="L21" s="79" t="str">
        <f>IF(OR(NOT(ISERROR(MATCH(RIGHT(D21,3)+0,#REF!,0))),NOT(ISERROR(MATCH(LEFT(D21,3)+0,#REF!,0)))),"No Post","")</f>
        <v/>
      </c>
    </row>
    <row r="22" spans="1:12" ht="18.600000000000001" customHeight="1" x14ac:dyDescent="0.35">
      <c r="A22" s="54">
        <v>14</v>
      </c>
      <c r="B22" s="309"/>
      <c r="C22" s="309"/>
      <c r="D22" s="98">
        <v>121</v>
      </c>
      <c r="E22" s="21" t="s">
        <v>196</v>
      </c>
      <c r="F22" s="48">
        <v>46137</v>
      </c>
      <c r="G22" s="46">
        <v>2</v>
      </c>
      <c r="H22" s="46"/>
      <c r="I22" s="46"/>
      <c r="J22" s="98" t="s">
        <v>106</v>
      </c>
      <c r="K22" s="46" t="s">
        <v>30</v>
      </c>
      <c r="L22" s="79" t="str">
        <f>IF(OR(NOT(ISERROR(MATCH(RIGHT(D22,3)+0,#REF!,0))),NOT(ISERROR(MATCH(LEFT(D22,3)+0,#REF!,0)))),"No Post","")</f>
        <v/>
      </c>
    </row>
    <row r="23" spans="1:12" ht="18.600000000000001" customHeight="1" x14ac:dyDescent="0.35">
      <c r="A23" s="54">
        <v>15</v>
      </c>
      <c r="B23" s="309"/>
      <c r="C23" s="309"/>
      <c r="D23" s="98">
        <v>122</v>
      </c>
      <c r="E23" s="21" t="s">
        <v>193</v>
      </c>
      <c r="F23" s="48">
        <v>46137</v>
      </c>
      <c r="G23" s="46">
        <v>2</v>
      </c>
      <c r="H23" s="46"/>
      <c r="I23" s="46"/>
      <c r="J23" s="98" t="s">
        <v>106</v>
      </c>
      <c r="K23" s="46" t="s">
        <v>30</v>
      </c>
      <c r="L23" s="79" t="str">
        <f>IF(OR(NOT(ISERROR(MATCH(RIGHT(D23,3)+0,#REF!,0))),NOT(ISERROR(MATCH(LEFT(D23,3)+0,#REF!,0)))),"No Post","")</f>
        <v/>
      </c>
    </row>
    <row r="24" spans="1:12" ht="18.600000000000001" customHeight="1" x14ac:dyDescent="0.35">
      <c r="A24" s="54">
        <v>16</v>
      </c>
      <c r="B24" s="309"/>
      <c r="C24" s="309"/>
      <c r="D24" s="98">
        <v>124</v>
      </c>
      <c r="E24" s="21" t="s">
        <v>188</v>
      </c>
      <c r="F24" s="48">
        <v>46137</v>
      </c>
      <c r="G24" s="46">
        <v>2</v>
      </c>
      <c r="H24" s="46"/>
      <c r="I24" s="46"/>
      <c r="J24" s="98" t="s">
        <v>106</v>
      </c>
      <c r="K24" s="46" t="s">
        <v>30</v>
      </c>
      <c r="L24" s="79" t="str">
        <f>IF(OR(NOT(ISERROR(MATCH(RIGHT(D24,3)+0,#REF!,0))),NOT(ISERROR(MATCH(LEFT(D24,3)+0,#REF!,0)))),"No Post","")</f>
        <v/>
      </c>
    </row>
    <row r="25" spans="1:12" ht="18.600000000000001" customHeight="1" x14ac:dyDescent="0.35">
      <c r="A25" s="54">
        <v>17</v>
      </c>
      <c r="B25" s="309"/>
      <c r="C25" s="309"/>
      <c r="D25" s="98">
        <v>126</v>
      </c>
      <c r="E25" s="21" t="s">
        <v>186</v>
      </c>
      <c r="F25" s="48">
        <v>46137</v>
      </c>
      <c r="G25" s="46">
        <v>2</v>
      </c>
      <c r="H25" s="46"/>
      <c r="I25" s="46"/>
      <c r="J25" s="98" t="s">
        <v>106</v>
      </c>
      <c r="K25" s="46" t="s">
        <v>30</v>
      </c>
      <c r="L25" s="79" t="str">
        <f>IF(OR(NOT(ISERROR(MATCH(RIGHT(D25,3)+0,#REF!,0))),NOT(ISERROR(MATCH(LEFT(D25,3)+0,#REF!,0)))),"No Post","")</f>
        <v/>
      </c>
    </row>
    <row r="26" spans="1:12" ht="18.600000000000001" customHeight="1" x14ac:dyDescent="0.35">
      <c r="A26" s="54">
        <v>18</v>
      </c>
      <c r="B26" s="309"/>
      <c r="C26" s="309"/>
      <c r="D26" s="98">
        <v>128</v>
      </c>
      <c r="E26" s="21" t="s">
        <v>191</v>
      </c>
      <c r="F26" s="48">
        <v>46137</v>
      </c>
      <c r="G26" s="46">
        <v>2</v>
      </c>
      <c r="H26" s="46"/>
      <c r="I26" s="46"/>
      <c r="J26" s="98" t="s">
        <v>106</v>
      </c>
      <c r="K26" s="46" t="s">
        <v>30</v>
      </c>
      <c r="L26" s="79" t="str">
        <f>IF(OR(NOT(ISERROR(MATCH(RIGHT(D26,3)+0,#REF!,0))),NOT(ISERROR(MATCH(LEFT(D26,3)+0,#REF!,0)))),"No Post","")</f>
        <v/>
      </c>
    </row>
    <row r="27" spans="1:12" ht="18.600000000000001" customHeight="1" x14ac:dyDescent="0.35">
      <c r="A27" s="54">
        <v>19</v>
      </c>
      <c r="B27" s="54"/>
      <c r="C27" s="54"/>
      <c r="D27" s="46"/>
      <c r="E27" s="47"/>
      <c r="F27" s="48"/>
      <c r="G27" s="46"/>
      <c r="H27" s="46"/>
      <c r="I27" s="46"/>
      <c r="J27" s="47"/>
      <c r="K27" s="47"/>
      <c r="L27" s="79" t="str">
        <f>IF(OR(NOT(ISERROR(MATCH(RIGHT(D27,3)+0,#REF!,0))),NOT(ISERROR(MATCH(LEFT(D27,3)+0,#REF!,0)))),"No Post","")</f>
        <v/>
      </c>
    </row>
    <row r="28" spans="1:12" s="26" customFormat="1" ht="18.600000000000001" customHeight="1" x14ac:dyDescent="0.4">
      <c r="A28" s="54">
        <v>20</v>
      </c>
      <c r="B28" s="54"/>
      <c r="C28" s="54"/>
      <c r="D28" s="46"/>
      <c r="E28" s="47"/>
      <c r="F28" s="48"/>
      <c r="G28" s="46"/>
      <c r="H28" s="46"/>
      <c r="I28" s="46"/>
      <c r="J28" s="47"/>
      <c r="K28" s="47"/>
      <c r="L28" s="79" t="str">
        <f>IF(OR(NOT(ISERROR(MATCH(RIGHT(D28,3)+0,#REF!,0))),NOT(ISERROR(MATCH(LEFT(D28,3)+0,#REF!,0)))),"No Post","")</f>
        <v/>
      </c>
    </row>
    <row r="29" spans="1:12" ht="20.25" customHeight="1" x14ac:dyDescent="0.35">
      <c r="A29" s="49"/>
      <c r="B29" s="49"/>
      <c r="C29" s="49"/>
      <c r="D29" s="49"/>
      <c r="E29" s="49" t="str">
        <f>"Remaning: "&amp;IFERROR(MID(A5, SEARCH("MAX", A5) + LEN("MAX"), SEARCH("PAX", A5) - SEARCH("MAX", A5) - LEN("MAX")), "")+0-SUM(G29:H29)</f>
        <v>Remaning: -17</v>
      </c>
      <c r="F29" s="50" t="s">
        <v>19</v>
      </c>
      <c r="G29" s="51">
        <f>SUM(G8:G28)</f>
        <v>37</v>
      </c>
      <c r="H29" s="51">
        <f>SUM(H8:H28)</f>
        <v>0</v>
      </c>
      <c r="I29" s="49"/>
      <c r="J29" s="49"/>
      <c r="K29" s="49"/>
    </row>
    <row r="30" spans="1:12" ht="20.25" customHeight="1" x14ac:dyDescent="0.35">
      <c r="D30" s="8" t="s">
        <v>5</v>
      </c>
      <c r="E30" s="8"/>
      <c r="F30" s="35"/>
      <c r="G30" s="8"/>
      <c r="H30" s="8"/>
      <c r="I30" s="8"/>
    </row>
    <row r="31" spans="1:12" ht="20.25" customHeight="1" x14ac:dyDescent="0.35">
      <c r="D31" s="15" t="s">
        <v>6</v>
      </c>
      <c r="E31" s="9"/>
      <c r="F31" s="36"/>
      <c r="G31" s="9"/>
      <c r="H31" s="9"/>
      <c r="I31" s="9"/>
    </row>
    <row r="32" spans="1:12" ht="20.25" customHeight="1" x14ac:dyDescent="0.35">
      <c r="D32" s="15" t="s">
        <v>7</v>
      </c>
      <c r="E32" s="9"/>
      <c r="F32" s="36"/>
      <c r="G32" s="9"/>
      <c r="H32" s="9"/>
      <c r="I32" s="9"/>
    </row>
    <row r="33" spans="4:9" ht="20.25" customHeight="1" x14ac:dyDescent="0.35">
      <c r="D33" s="15" t="s">
        <v>8</v>
      </c>
      <c r="E33" s="9"/>
      <c r="F33" s="36"/>
      <c r="G33" s="9"/>
      <c r="H33" s="9"/>
      <c r="I33" s="9"/>
    </row>
    <row r="34" spans="4:9" x14ac:dyDescent="0.35">
      <c r="D34" s="15" t="s">
        <v>9</v>
      </c>
      <c r="E34" s="9"/>
      <c r="F34" s="36"/>
      <c r="G34" s="9"/>
      <c r="H34" s="9"/>
      <c r="I34" s="9"/>
    </row>
    <row r="35" spans="4:9" x14ac:dyDescent="0.35">
      <c r="D35" s="15" t="s">
        <v>10</v>
      </c>
      <c r="E35" s="9"/>
      <c r="F35" s="36"/>
      <c r="G35" s="9"/>
      <c r="H35" s="9"/>
      <c r="I35" s="9"/>
    </row>
    <row r="36" spans="4:9" x14ac:dyDescent="0.35">
      <c r="D36" s="15" t="s">
        <v>11</v>
      </c>
      <c r="E36" s="9"/>
      <c r="F36" s="36"/>
      <c r="G36" s="9"/>
      <c r="H36" s="9"/>
      <c r="I36" s="9"/>
    </row>
    <row r="37" spans="4:9" s="11" customFormat="1" ht="15.6" x14ac:dyDescent="0.3">
      <c r="D37" s="16" t="s">
        <v>12</v>
      </c>
      <c r="E37" s="10"/>
      <c r="F37" s="37"/>
      <c r="G37" s="10"/>
      <c r="H37" s="10"/>
    </row>
    <row r="38" spans="4:9" s="11" customFormat="1" ht="15.6" x14ac:dyDescent="0.3">
      <c r="D38" s="16" t="s">
        <v>13</v>
      </c>
      <c r="E38" s="10"/>
      <c r="F38" s="37"/>
      <c r="G38" s="10"/>
      <c r="H38" s="10"/>
    </row>
    <row r="39" spans="4:9" s="13" customFormat="1" ht="20.25" customHeight="1" x14ac:dyDescent="0.35">
      <c r="D39" s="17" t="s">
        <v>14</v>
      </c>
      <c r="E39" s="12"/>
      <c r="F39" s="38"/>
    </row>
    <row r="40" spans="4:9" s="8" customFormat="1" ht="14.4" x14ac:dyDescent="0.3">
      <c r="D40" s="14"/>
      <c r="E40" s="9"/>
      <c r="F40" s="36"/>
      <c r="G40" s="9"/>
      <c r="H40" s="9"/>
      <c r="I40" s="9"/>
    </row>
    <row r="41" spans="4:9" s="9" customFormat="1" ht="13.8" x14ac:dyDescent="0.3">
      <c r="F41" s="36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8"/>
      <c r="E43" s="8"/>
      <c r="F43" s="35"/>
      <c r="G43" s="8"/>
      <c r="H43" s="8"/>
      <c r="I43" s="8"/>
    </row>
    <row r="44" spans="4:9" x14ac:dyDescent="0.35">
      <c r="D44" s="9"/>
      <c r="E44" s="9"/>
      <c r="F44" s="36"/>
      <c r="G44" s="9"/>
      <c r="H44" s="9"/>
      <c r="I44" s="9"/>
    </row>
    <row r="45" spans="4:9" x14ac:dyDescent="0.35">
      <c r="D45" s="9"/>
      <c r="E45" s="9"/>
      <c r="F45" s="36"/>
      <c r="G45" s="9"/>
      <c r="H45" s="9"/>
      <c r="I45" s="9"/>
    </row>
    <row r="46" spans="4:9" x14ac:dyDescent="0.35">
      <c r="D46" s="9"/>
      <c r="E46" s="9"/>
      <c r="F46" s="36"/>
      <c r="G46" s="9"/>
      <c r="H46" s="9"/>
      <c r="I46" s="9"/>
    </row>
    <row r="47" spans="4:9" x14ac:dyDescent="0.35">
      <c r="D47" s="9"/>
      <c r="E47" s="9"/>
      <c r="F47" s="36"/>
      <c r="G47" s="9"/>
      <c r="H47" s="9"/>
      <c r="I47" s="9"/>
    </row>
    <row r="48" spans="4:9" x14ac:dyDescent="0.35">
      <c r="D48" s="9"/>
      <c r="E48" s="9"/>
      <c r="F48" s="36"/>
      <c r="G48" s="9"/>
      <c r="H48" s="9"/>
      <c r="I48" s="9"/>
    </row>
    <row r="49" spans="4:9" x14ac:dyDescent="0.35">
      <c r="D49" s="9"/>
      <c r="E49" s="9"/>
      <c r="F49" s="36"/>
      <c r="G49" s="9"/>
      <c r="H49" s="9"/>
      <c r="I49" s="9"/>
    </row>
    <row r="50" spans="4:9" x14ac:dyDescent="0.35">
      <c r="D50" s="14"/>
      <c r="E50" s="9"/>
      <c r="F50" s="36"/>
      <c r="G50" s="9"/>
      <c r="H50" s="9"/>
      <c r="I50" s="9"/>
    </row>
    <row r="51" spans="4:9" x14ac:dyDescent="0.35">
      <c r="D51" s="9"/>
      <c r="E51" s="9"/>
      <c r="F51" s="36"/>
      <c r="G51" s="9"/>
      <c r="H51" s="9"/>
      <c r="I51" s="9"/>
    </row>
    <row r="53" spans="4:9" x14ac:dyDescent="0.35">
      <c r="D53" s="1"/>
      <c r="E53" s="1"/>
      <c r="F53" s="33"/>
      <c r="G53" s="1"/>
      <c r="H53" s="1"/>
      <c r="I53" s="1"/>
    </row>
    <row r="68" spans="4:9" x14ac:dyDescent="0.35">
      <c r="D68" s="9"/>
      <c r="E68" s="9"/>
      <c r="F68" s="36"/>
      <c r="G68" s="9"/>
      <c r="H68" s="9"/>
      <c r="I68" s="9"/>
    </row>
    <row r="69" spans="4:9" x14ac:dyDescent="0.35">
      <c r="D69" s="9"/>
      <c r="E69" s="9"/>
      <c r="F69" s="36"/>
      <c r="G69" s="9"/>
      <c r="H69" s="9"/>
      <c r="I69" s="9"/>
    </row>
    <row r="70" spans="4:9" x14ac:dyDescent="0.35">
      <c r="D70" s="9"/>
      <c r="E70" s="9"/>
      <c r="F70" s="36"/>
      <c r="G70" s="9"/>
      <c r="H70" s="9"/>
      <c r="I70" s="9"/>
    </row>
    <row r="71" spans="4:9" x14ac:dyDescent="0.35">
      <c r="D71" s="14"/>
      <c r="E71" s="9"/>
      <c r="F71" s="36"/>
      <c r="G71" s="9"/>
      <c r="H71" s="9"/>
      <c r="I71" s="9"/>
    </row>
    <row r="72" spans="4:9" x14ac:dyDescent="0.35">
      <c r="D72" s="9"/>
      <c r="E72" s="9"/>
      <c r="F72" s="36"/>
      <c r="G72" s="9"/>
      <c r="H72" s="9"/>
      <c r="I72" s="9"/>
    </row>
  </sheetData>
  <sortState ref="D7:K24">
    <sortCondition ref="D7"/>
  </sortState>
  <customSheetViews>
    <customSheetView guid="{744BB052-D863-41D2-951C-2AB325855A97}" showPageBreaks="1" fitToPage="1" printArea="1" topLeftCell="A7">
      <selection activeCell="G20" activeCellId="2" sqref="G9:G14 G16:G18 G20:G26"/>
      <rowBreaks count="1" manualBreakCount="1">
        <brk id="40" min="3" max="10" man="1"/>
      </rowBreaks>
      <colBreaks count="1" manualBreakCount="1">
        <brk id="13" max="30" man="1"/>
      </colBreaks>
      <pageMargins left="0.17" right="0.17" top="0.75" bottom="0.75" header="0.3" footer="0.3"/>
      <pageSetup scale="67" orientation="landscape" r:id="rId1"/>
    </customSheetView>
    <customSheetView guid="{E646B2A6-D876-4850-BD6A-9EDE7D7D90A5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C4" sqref="C4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8:L28">
    <cfRule type="containsText" dxfId="8" priority="1" operator="containsText" text="No Post">
      <formula>NOT(ISERROR(SEARCH("No Post",L8)))</formula>
    </cfRule>
  </conditionalFormatting>
  <pageMargins left="0.17" right="0.17" top="0.75" bottom="0.75" header="0.3" footer="0.3"/>
  <pageSetup scale="67" orientation="landscape" r:id="rId6"/>
  <rowBreaks count="1" manualBreakCount="1">
    <brk id="40" min="3" max="10" man="1"/>
  </rowBreaks>
  <colBreaks count="1" manualBreakCount="1">
    <brk id="13" max="30" man="1"/>
  </colBreaks>
  <drawing r:id="rId7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3"/>
  <sheetViews>
    <sheetView topLeftCell="A7" zoomScaleNormal="100" zoomScaleSheetLayoutView="100" workbookViewId="0">
      <selection activeCell="C22" sqref="C22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6" style="39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2"/>
      <c r="E2" s="5"/>
      <c r="F2" s="5"/>
    </row>
    <row r="4" spans="1:10" s="1" customFormat="1" thickBot="1" x14ac:dyDescent="0.4">
      <c r="D4" s="33"/>
    </row>
    <row r="5" spans="1:10" s="2" customFormat="1" ht="23.4" x14ac:dyDescent="0.45">
      <c r="A5" s="381" t="s">
        <v>547</v>
      </c>
      <c r="B5" s="383"/>
      <c r="C5" s="383"/>
      <c r="D5" s="383"/>
      <c r="E5" s="383"/>
      <c r="F5" s="383"/>
      <c r="G5" s="383"/>
      <c r="H5" s="27" t="s">
        <v>18</v>
      </c>
      <c r="I5" s="28" t="str">
        <f ca="1">CONCATENATE((MID(CELL("filename",I5),FIND("]",CELL("filename",I5))+1,255)),"/04/2026")</f>
        <v>23/04/2026</v>
      </c>
    </row>
    <row r="6" spans="1:10" x14ac:dyDescent="0.35">
      <c r="A6" s="291"/>
      <c r="B6" s="293" t="s">
        <v>1</v>
      </c>
      <c r="C6" s="293" t="s">
        <v>2</v>
      </c>
      <c r="D6" s="294" t="s">
        <v>21</v>
      </c>
      <c r="E6" s="293" t="s">
        <v>16</v>
      </c>
      <c r="F6" s="293" t="s">
        <v>17</v>
      </c>
      <c r="G6" s="293" t="s">
        <v>3</v>
      </c>
      <c r="H6" s="82" t="s">
        <v>20</v>
      </c>
      <c r="I6" s="295" t="s">
        <v>4</v>
      </c>
    </row>
    <row r="7" spans="1:10" x14ac:dyDescent="0.35">
      <c r="A7" s="312"/>
      <c r="B7" s="315"/>
      <c r="C7" s="318" t="s">
        <v>267</v>
      </c>
      <c r="D7" s="319" t="s">
        <v>268</v>
      </c>
      <c r="E7" s="315"/>
      <c r="F7" s="315"/>
      <c r="G7" s="315"/>
      <c r="H7" s="316"/>
      <c r="I7" s="317"/>
    </row>
    <row r="8" spans="1:10" x14ac:dyDescent="0.35">
      <c r="A8" s="43">
        <v>1</v>
      </c>
      <c r="B8" s="140">
        <v>201</v>
      </c>
      <c r="C8" s="106" t="s">
        <v>549</v>
      </c>
      <c r="D8" s="121">
        <v>46140</v>
      </c>
      <c r="E8" s="106">
        <v>2</v>
      </c>
      <c r="F8" s="106"/>
      <c r="G8" s="106"/>
      <c r="H8" s="140" t="s">
        <v>328</v>
      </c>
      <c r="I8" s="106" t="s">
        <v>135</v>
      </c>
      <c r="J8" s="79"/>
    </row>
    <row r="9" spans="1:10" x14ac:dyDescent="0.35">
      <c r="A9" s="176">
        <v>2</v>
      </c>
      <c r="B9" s="98">
        <v>304</v>
      </c>
      <c r="C9" s="123" t="s">
        <v>528</v>
      </c>
      <c r="D9" s="48">
        <v>46136</v>
      </c>
      <c r="E9" s="46">
        <v>2</v>
      </c>
      <c r="F9" s="46"/>
      <c r="G9" s="46"/>
      <c r="H9" s="298" t="s">
        <v>106</v>
      </c>
      <c r="I9" s="46" t="s">
        <v>309</v>
      </c>
      <c r="J9" s="79" t="str">
        <f>IF(OR(NOT(ISERROR(MATCH(RIGHT(B9,3)+0,#REF!,0))),NOT(ISERROR(MATCH(LEFT(B9,3)+0,#REF!,0)))),"No Post","")</f>
        <v/>
      </c>
    </row>
    <row r="10" spans="1:10" x14ac:dyDescent="0.35">
      <c r="A10" s="54">
        <v>3</v>
      </c>
      <c r="B10" s="97">
        <v>315</v>
      </c>
      <c r="C10" s="46" t="s">
        <v>49</v>
      </c>
      <c r="D10" s="48">
        <v>46141</v>
      </c>
      <c r="E10" s="46">
        <v>2</v>
      </c>
      <c r="F10" s="46"/>
      <c r="G10" s="46" t="s">
        <v>67</v>
      </c>
      <c r="H10" s="97" t="s">
        <v>124</v>
      </c>
      <c r="I10" s="46" t="s">
        <v>50</v>
      </c>
      <c r="J10" s="79" t="str">
        <f>IF(OR(NOT(ISERROR(MATCH(RIGHT(B10,3)+0,#REF!,0))),NOT(ISERROR(MATCH(LEFT(B10,3)+0,#REF!,0)))),"No Post","")</f>
        <v/>
      </c>
    </row>
    <row r="11" spans="1:10" x14ac:dyDescent="0.35">
      <c r="A11" s="54">
        <v>4</v>
      </c>
      <c r="B11" s="100">
        <v>322</v>
      </c>
      <c r="C11" s="46" t="s">
        <v>543</v>
      </c>
      <c r="D11" s="48">
        <v>46137</v>
      </c>
      <c r="E11" s="46">
        <v>2</v>
      </c>
      <c r="F11" s="46"/>
      <c r="G11" s="46"/>
      <c r="H11" s="100" t="s">
        <v>132</v>
      </c>
      <c r="I11" s="46" t="s">
        <v>536</v>
      </c>
      <c r="J11" s="79" t="str">
        <f>IF(OR(NOT(ISERROR(MATCH(RIGHT(B11,3)+0,#REF!,0))),NOT(ISERROR(MATCH(LEFT(B11,3)+0,#REF!,0)))),"No Post","")</f>
        <v/>
      </c>
    </row>
    <row r="12" spans="1:10" x14ac:dyDescent="0.35">
      <c r="A12" s="176">
        <v>5</v>
      </c>
      <c r="B12" s="97">
        <v>335</v>
      </c>
      <c r="C12" s="46" t="s">
        <v>550</v>
      </c>
      <c r="D12" s="48">
        <v>46137</v>
      </c>
      <c r="E12" s="46">
        <v>2</v>
      </c>
      <c r="F12" s="46"/>
      <c r="G12" s="46"/>
      <c r="H12" s="97" t="s">
        <v>124</v>
      </c>
      <c r="I12" s="46" t="s">
        <v>135</v>
      </c>
      <c r="J12" s="79" t="str">
        <f>IF(OR(NOT(ISERROR(MATCH(RIGHT(B12,3)+0,#REF!,0))),NOT(ISERROR(MATCH(LEFT(B12,3)+0,#REF!,0)))),"No Post","")</f>
        <v/>
      </c>
    </row>
    <row r="13" spans="1:10" x14ac:dyDescent="0.35">
      <c r="A13" s="323">
        <v>6</v>
      </c>
      <c r="B13" s="326">
        <v>684</v>
      </c>
      <c r="C13" s="324" t="s">
        <v>553</v>
      </c>
      <c r="D13" s="325">
        <v>46136</v>
      </c>
      <c r="E13" s="324">
        <v>2</v>
      </c>
      <c r="F13" s="324"/>
      <c r="G13" s="324"/>
      <c r="H13" s="296" t="s">
        <v>106</v>
      </c>
      <c r="I13" s="324" t="s">
        <v>256</v>
      </c>
      <c r="J13" s="79"/>
    </row>
    <row r="14" spans="1:10" x14ac:dyDescent="0.35">
      <c r="A14" s="276">
        <v>7</v>
      </c>
      <c r="B14" s="296">
        <v>605</v>
      </c>
      <c r="C14" s="136" t="s">
        <v>548</v>
      </c>
      <c r="D14" s="137">
        <v>46136</v>
      </c>
      <c r="E14" s="136">
        <v>2</v>
      </c>
      <c r="F14" s="136"/>
      <c r="G14" s="136"/>
      <c r="H14" s="296" t="s">
        <v>106</v>
      </c>
      <c r="I14" s="136" t="s">
        <v>135</v>
      </c>
      <c r="J14" s="79" t="str">
        <f>IF(OR(NOT(ISERROR(MATCH(RIGHT(B14,3)+0,#REF!,0))),NOT(ISERROR(MATCH(LEFT(B14,3)+0,#REF!,0)))),"No Post","")</f>
        <v/>
      </c>
    </row>
    <row r="15" spans="1:10" x14ac:dyDescent="0.35">
      <c r="A15" s="312"/>
      <c r="B15" s="313"/>
      <c r="C15" s="321" t="s">
        <v>269</v>
      </c>
      <c r="D15" s="320" t="s">
        <v>270</v>
      </c>
      <c r="E15" s="313"/>
      <c r="F15" s="313"/>
      <c r="G15" s="313"/>
      <c r="H15" s="313"/>
      <c r="I15" s="314"/>
      <c r="J15" s="79"/>
    </row>
    <row r="16" spans="1:10" x14ac:dyDescent="0.35">
      <c r="A16" s="176">
        <v>8</v>
      </c>
      <c r="B16" s="122">
        <v>615</v>
      </c>
      <c r="C16" s="106" t="s">
        <v>545</v>
      </c>
      <c r="D16" s="121">
        <v>46136</v>
      </c>
      <c r="E16" s="106">
        <v>2</v>
      </c>
      <c r="F16" s="106"/>
      <c r="G16" s="106"/>
      <c r="H16" s="122" t="s">
        <v>495</v>
      </c>
      <c r="I16" s="106" t="s">
        <v>472</v>
      </c>
      <c r="J16" s="79" t="str">
        <f>IF(OR(NOT(ISERROR(MATCH(RIGHT(B16,3)+0,#REF!,0))),NOT(ISERROR(MATCH(LEFT(B16,3)+0,#REF!,0)))),"No Post","")</f>
        <v/>
      </c>
    </row>
    <row r="17" spans="1:10" x14ac:dyDescent="0.35">
      <c r="A17" s="176">
        <v>9</v>
      </c>
      <c r="B17" s="99">
        <v>668</v>
      </c>
      <c r="C17" s="46" t="s">
        <v>544</v>
      </c>
      <c r="D17" s="48">
        <v>46137</v>
      </c>
      <c r="E17" s="46">
        <v>2</v>
      </c>
      <c r="F17" s="46"/>
      <c r="G17" s="46"/>
      <c r="H17" s="122" t="s">
        <v>495</v>
      </c>
      <c r="I17" s="46" t="s">
        <v>472</v>
      </c>
      <c r="J17" s="79" t="str">
        <f>IF(OR(NOT(ISERROR(MATCH(RIGHT(B17,3)+0,#REF!,0))),NOT(ISERROR(MATCH(LEFT(B17,3)+0,#REF!,0)))),"No Post","")</f>
        <v/>
      </c>
    </row>
    <row r="18" spans="1:10" x14ac:dyDescent="0.35">
      <c r="A18" s="54">
        <v>10</v>
      </c>
      <c r="B18" s="97">
        <v>676</v>
      </c>
      <c r="C18" s="46" t="s">
        <v>529</v>
      </c>
      <c r="D18" s="48">
        <v>46140</v>
      </c>
      <c r="E18" s="46">
        <v>2</v>
      </c>
      <c r="F18" s="46"/>
      <c r="G18" s="46"/>
      <c r="H18" s="97" t="s">
        <v>124</v>
      </c>
      <c r="I18" s="46" t="s">
        <v>455</v>
      </c>
      <c r="J18" s="79" t="str">
        <f>IF(OR(NOT(ISERROR(MATCH(RIGHT(B18,3)+0,#REF!,0))),NOT(ISERROR(MATCH(LEFT(B18,3)+0,#REF!,0)))),"No Post","")</f>
        <v/>
      </c>
    </row>
    <row r="19" spans="1:10" x14ac:dyDescent="0.35">
      <c r="A19" s="176">
        <v>11</v>
      </c>
      <c r="B19" s="99">
        <v>677</v>
      </c>
      <c r="C19" s="46" t="s">
        <v>546</v>
      </c>
      <c r="D19" s="48">
        <v>46136</v>
      </c>
      <c r="E19" s="46">
        <v>2</v>
      </c>
      <c r="F19" s="46"/>
      <c r="G19" s="46"/>
      <c r="H19" s="122" t="s">
        <v>495</v>
      </c>
      <c r="I19" s="46" t="s">
        <v>472</v>
      </c>
      <c r="J19" s="79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176">
        <v>12</v>
      </c>
      <c r="B20" s="98">
        <v>843</v>
      </c>
      <c r="C20" s="46" t="s">
        <v>542</v>
      </c>
      <c r="D20" s="48">
        <v>46139</v>
      </c>
      <c r="E20" s="46">
        <v>2</v>
      </c>
      <c r="F20" s="46"/>
      <c r="G20" s="46"/>
      <c r="H20" s="128" t="s">
        <v>106</v>
      </c>
      <c r="I20" s="46" t="s">
        <v>512</v>
      </c>
      <c r="J20" s="79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4">
        <v>13</v>
      </c>
      <c r="B21" s="98">
        <v>872</v>
      </c>
      <c r="C21" s="46" t="s">
        <v>530</v>
      </c>
      <c r="D21" s="48">
        <v>46136</v>
      </c>
      <c r="E21" s="46">
        <v>2</v>
      </c>
      <c r="F21" s="46"/>
      <c r="G21" s="46"/>
      <c r="H21" s="128" t="s">
        <v>106</v>
      </c>
      <c r="I21" s="46" t="s">
        <v>135</v>
      </c>
      <c r="J21" s="79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176">
        <v>14</v>
      </c>
      <c r="B22" s="97">
        <v>881</v>
      </c>
      <c r="C22" s="46" t="s">
        <v>539</v>
      </c>
      <c r="D22" s="48">
        <v>46137</v>
      </c>
      <c r="E22" s="46">
        <v>2</v>
      </c>
      <c r="F22" s="46"/>
      <c r="G22" s="46"/>
      <c r="H22" s="97" t="s">
        <v>124</v>
      </c>
      <c r="I22" s="46" t="s">
        <v>331</v>
      </c>
      <c r="J22" s="79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4">
        <v>15</v>
      </c>
      <c r="B23" s="98">
        <v>885</v>
      </c>
      <c r="C23" s="46" t="s">
        <v>537</v>
      </c>
      <c r="D23" s="48">
        <v>46138</v>
      </c>
      <c r="E23" s="46">
        <v>2</v>
      </c>
      <c r="F23" s="46"/>
      <c r="G23" s="46"/>
      <c r="H23" s="98" t="s">
        <v>106</v>
      </c>
      <c r="I23" s="46" t="s">
        <v>130</v>
      </c>
      <c r="J23" s="79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4">
        <v>16</v>
      </c>
      <c r="B24" s="98">
        <v>886</v>
      </c>
      <c r="C24" s="46" t="s">
        <v>538</v>
      </c>
      <c r="D24" s="48">
        <v>46138</v>
      </c>
      <c r="E24" s="46">
        <v>2</v>
      </c>
      <c r="F24" s="46"/>
      <c r="G24" s="46"/>
      <c r="H24" s="98" t="s">
        <v>106</v>
      </c>
      <c r="I24" s="46" t="s">
        <v>130</v>
      </c>
      <c r="J24" s="79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4">
        <v>17</v>
      </c>
      <c r="B25" s="98">
        <v>894</v>
      </c>
      <c r="C25" s="110" t="s">
        <v>79</v>
      </c>
      <c r="D25" s="48">
        <v>46137</v>
      </c>
      <c r="E25" s="46">
        <v>2</v>
      </c>
      <c r="F25" s="46"/>
      <c r="G25" s="46"/>
      <c r="H25" s="322" t="s">
        <v>106</v>
      </c>
      <c r="I25" s="46" t="s">
        <v>355</v>
      </c>
      <c r="J25" s="79" t="str">
        <f>IF(OR(NOT(ISERROR(MATCH(RIGHT(B25,3)+0,#REF!,0))),NOT(ISERROR(MATCH(LEFT(B25,3)+0,#REF!,0)))),"No Post","")</f>
        <v/>
      </c>
    </row>
    <row r="26" spans="1:10" ht="18.600000000000001" customHeight="1" x14ac:dyDescent="0.35">
      <c r="A26" s="176">
        <v>18</v>
      </c>
      <c r="B26" s="99" t="s">
        <v>551</v>
      </c>
      <c r="C26" s="46" t="s">
        <v>540</v>
      </c>
      <c r="D26" s="48">
        <v>46135</v>
      </c>
      <c r="E26" s="46">
        <v>2</v>
      </c>
      <c r="F26" s="46"/>
      <c r="G26" s="46"/>
      <c r="H26" s="99" t="s">
        <v>495</v>
      </c>
      <c r="I26" s="46" t="s">
        <v>309</v>
      </c>
      <c r="J26" s="79" t="str">
        <f>IF(OR(NOT(ISERROR(MATCH(RIGHT(B26,3)+0,#REF!,0))),NOT(ISERROR(MATCH(LEFT(B26,3)+0,#REF!,0)))),"No Post","")</f>
        <v/>
      </c>
    </row>
    <row r="27" spans="1:10" ht="18.600000000000001" customHeight="1" x14ac:dyDescent="0.35">
      <c r="A27" s="176">
        <v>19</v>
      </c>
      <c r="B27" s="99" t="s">
        <v>552</v>
      </c>
      <c r="C27" s="46" t="s">
        <v>541</v>
      </c>
      <c r="D27" s="48">
        <v>46135</v>
      </c>
      <c r="E27" s="46">
        <v>2</v>
      </c>
      <c r="F27" s="46"/>
      <c r="G27" s="46"/>
      <c r="H27" s="99" t="s">
        <v>495</v>
      </c>
      <c r="I27" s="46" t="s">
        <v>309</v>
      </c>
      <c r="J27" s="79" t="str">
        <f>IF(OR(NOT(ISERROR(MATCH(RIGHT(B27,3)+0,#REF!,0))),NOT(ISERROR(MATCH(LEFT(B27,3)+0,#REF!,0)))),"No Post","")</f>
        <v/>
      </c>
    </row>
    <row r="28" spans="1:10" ht="18.600000000000001" customHeight="1" x14ac:dyDescent="0.35">
      <c r="A28" s="54">
        <v>20</v>
      </c>
      <c r="B28" s="46" t="s">
        <v>23</v>
      </c>
      <c r="C28" s="46" t="s">
        <v>499</v>
      </c>
      <c r="D28" s="48"/>
      <c r="E28" s="46">
        <v>2</v>
      </c>
      <c r="F28" s="46"/>
      <c r="G28" s="46"/>
      <c r="H28" s="46" t="s">
        <v>279</v>
      </c>
      <c r="I28" s="46" t="s">
        <v>497</v>
      </c>
      <c r="J28" s="79" t="str">
        <f>IF(OR(NOT(ISERROR(MATCH(RIGHT(B28,3)+0,#REF!,0))),NOT(ISERROR(MATCH(LEFT(B28,3)+0,#REF!,0)))),"No Post","")</f>
        <v/>
      </c>
    </row>
    <row r="29" spans="1:10" s="26" customFormat="1" ht="18.600000000000001" customHeight="1" x14ac:dyDescent="0.4">
      <c r="A29" s="54">
        <v>21</v>
      </c>
      <c r="B29" s="46"/>
      <c r="C29" s="47"/>
      <c r="D29" s="48"/>
      <c r="E29" s="46"/>
      <c r="F29" s="46"/>
      <c r="G29" s="46"/>
      <c r="H29" s="47"/>
      <c r="I29" s="47"/>
      <c r="J29" s="79" t="str">
        <f>IF(OR(NOT(ISERROR(MATCH(RIGHT(B29,3)+0,#REF!,0))),NOT(ISERROR(MATCH(LEFT(B29,3)+0,#REF!,0)))),"No Post","")</f>
        <v/>
      </c>
    </row>
    <row r="30" spans="1:10" ht="20.25" customHeight="1" x14ac:dyDescent="0.35">
      <c r="A30" s="49"/>
      <c r="B30" s="49"/>
      <c r="C30" s="49" t="str">
        <f>"Remaning: "&amp;IFERROR(MID(A5, SEARCH("MAX", A5) + LEN("MAX"), SEARCH("PAX", A5) - SEARCH("MAX", A5) - LEN("MAX")), "")+0-SUM(E30:F30)</f>
        <v>Remaning: 2</v>
      </c>
      <c r="D30" s="50" t="s">
        <v>19</v>
      </c>
      <c r="E30" s="51">
        <f>SUM(E8:E29)</f>
        <v>40</v>
      </c>
      <c r="F30" s="51">
        <f>SUM(F20:F29)</f>
        <v>0</v>
      </c>
      <c r="G30" s="49"/>
      <c r="H30" s="49"/>
      <c r="I30" s="49"/>
    </row>
    <row r="31" spans="1:10" ht="20.25" customHeight="1" x14ac:dyDescent="0.35">
      <c r="B31" s="8" t="s">
        <v>5</v>
      </c>
      <c r="C31" s="8"/>
      <c r="D31" s="35"/>
      <c r="E31" s="8"/>
      <c r="F31" s="8"/>
      <c r="G31" s="8"/>
    </row>
    <row r="32" spans="1:10" ht="20.25" customHeight="1" x14ac:dyDescent="0.35">
      <c r="B32" s="15" t="s">
        <v>6</v>
      </c>
      <c r="C32" s="9"/>
      <c r="D32" s="36"/>
      <c r="E32" s="9"/>
      <c r="F32" s="9"/>
      <c r="G32" s="9"/>
    </row>
    <row r="33" spans="2:7" ht="20.25" customHeight="1" x14ac:dyDescent="0.35">
      <c r="B33" s="15" t="s">
        <v>7</v>
      </c>
      <c r="C33" s="9"/>
      <c r="D33" s="36"/>
      <c r="E33" s="9"/>
      <c r="F33" s="9"/>
      <c r="G33" s="9"/>
    </row>
    <row r="34" spans="2:7" ht="20.25" customHeight="1" x14ac:dyDescent="0.35">
      <c r="B34" s="15" t="s">
        <v>8</v>
      </c>
      <c r="C34" s="9"/>
      <c r="D34" s="36"/>
      <c r="E34" s="9"/>
      <c r="F34" s="9"/>
      <c r="G34" s="9"/>
    </row>
    <row r="35" spans="2:7" x14ac:dyDescent="0.35">
      <c r="B35" s="15" t="s">
        <v>9</v>
      </c>
      <c r="C35" s="9"/>
      <c r="D35" s="36"/>
      <c r="E35" s="9"/>
      <c r="F35" s="9"/>
      <c r="G35" s="9"/>
    </row>
    <row r="36" spans="2:7" x14ac:dyDescent="0.35">
      <c r="B36" s="15" t="s">
        <v>10</v>
      </c>
      <c r="C36" s="9"/>
      <c r="D36" s="36"/>
      <c r="E36" s="9"/>
      <c r="F36" s="9"/>
      <c r="G36" s="9"/>
    </row>
    <row r="37" spans="2:7" x14ac:dyDescent="0.35">
      <c r="B37" s="15" t="s">
        <v>11</v>
      </c>
      <c r="C37" s="9"/>
      <c r="D37" s="36"/>
      <c r="E37" s="9"/>
      <c r="F37" s="9"/>
      <c r="G37" s="9"/>
    </row>
    <row r="38" spans="2:7" s="11" customFormat="1" ht="15.6" x14ac:dyDescent="0.3">
      <c r="B38" s="16" t="s">
        <v>12</v>
      </c>
      <c r="C38" s="10"/>
      <c r="D38" s="37"/>
      <c r="E38" s="10"/>
      <c r="F38" s="10"/>
    </row>
    <row r="39" spans="2:7" s="11" customFormat="1" ht="15.6" x14ac:dyDescent="0.3">
      <c r="B39" s="16" t="s">
        <v>13</v>
      </c>
      <c r="C39" s="10"/>
      <c r="D39" s="37"/>
      <c r="E39" s="10"/>
      <c r="F39" s="10"/>
    </row>
    <row r="40" spans="2:7" s="13" customFormat="1" ht="20.25" customHeight="1" x14ac:dyDescent="0.35">
      <c r="B40" s="17" t="s">
        <v>14</v>
      </c>
      <c r="C40" s="12"/>
      <c r="D40" s="38"/>
    </row>
    <row r="41" spans="2:7" s="8" customFormat="1" ht="14.4" x14ac:dyDescent="0.3">
      <c r="B41" s="14"/>
      <c r="C41" s="9"/>
      <c r="D41" s="36"/>
      <c r="E41" s="9"/>
      <c r="F41" s="9"/>
      <c r="G41" s="9"/>
    </row>
    <row r="42" spans="2:7" s="9" customFormat="1" ht="13.8" x14ac:dyDescent="0.3">
      <c r="D42" s="36"/>
    </row>
    <row r="43" spans="2:7" x14ac:dyDescent="0.35">
      <c r="B43" s="9"/>
      <c r="C43" s="9"/>
      <c r="D43" s="36"/>
      <c r="E43" s="9"/>
      <c r="F43" s="9"/>
      <c r="G43" s="9"/>
    </row>
    <row r="44" spans="2:7" x14ac:dyDescent="0.35">
      <c r="B44" s="8"/>
      <c r="C44" s="8"/>
      <c r="D44" s="35"/>
      <c r="E44" s="8"/>
      <c r="F44" s="8"/>
      <c r="G44" s="8"/>
    </row>
    <row r="45" spans="2:7" x14ac:dyDescent="0.35">
      <c r="B45" s="9"/>
      <c r="C45" s="9"/>
      <c r="D45" s="36"/>
      <c r="E45" s="9"/>
      <c r="F45" s="9"/>
      <c r="G45" s="9"/>
    </row>
    <row r="46" spans="2:7" x14ac:dyDescent="0.35">
      <c r="B46" s="9"/>
      <c r="C46" s="9"/>
      <c r="D46" s="36"/>
      <c r="E46" s="9"/>
      <c r="F46" s="9"/>
      <c r="G46" s="9"/>
    </row>
    <row r="47" spans="2:7" x14ac:dyDescent="0.35">
      <c r="B47" s="9"/>
      <c r="C47" s="9"/>
      <c r="D47" s="36"/>
      <c r="E47" s="9"/>
      <c r="F47" s="9"/>
      <c r="G47" s="9"/>
    </row>
    <row r="48" spans="2:7" x14ac:dyDescent="0.35">
      <c r="B48" s="9"/>
      <c r="C48" s="9"/>
      <c r="D48" s="36"/>
      <c r="E48" s="9"/>
      <c r="F48" s="9"/>
      <c r="G48" s="9"/>
    </row>
    <row r="49" spans="2:7" x14ac:dyDescent="0.35">
      <c r="B49" s="9"/>
      <c r="C49" s="9"/>
      <c r="D49" s="36"/>
      <c r="E49" s="9"/>
      <c r="F49" s="9"/>
      <c r="G49" s="9"/>
    </row>
    <row r="50" spans="2:7" x14ac:dyDescent="0.35">
      <c r="B50" s="9"/>
      <c r="C50" s="9"/>
      <c r="D50" s="36"/>
      <c r="E50" s="9"/>
      <c r="F50" s="9"/>
      <c r="G50" s="9"/>
    </row>
    <row r="51" spans="2:7" x14ac:dyDescent="0.35">
      <c r="B51" s="14"/>
      <c r="C51" s="9"/>
      <c r="D51" s="36"/>
      <c r="E51" s="9"/>
      <c r="F51" s="9"/>
      <c r="G51" s="9"/>
    </row>
    <row r="52" spans="2:7" x14ac:dyDescent="0.35">
      <c r="B52" s="9"/>
      <c r="C52" s="9"/>
      <c r="D52" s="36"/>
      <c r="E52" s="9"/>
      <c r="F52" s="9"/>
      <c r="G52" s="9"/>
    </row>
    <row r="54" spans="2:7" x14ac:dyDescent="0.35">
      <c r="B54" s="1"/>
      <c r="C54" s="1"/>
      <c r="D54" s="33"/>
      <c r="E54" s="1"/>
      <c r="F54" s="1"/>
      <c r="G54" s="1"/>
    </row>
    <row r="69" spans="2:7" x14ac:dyDescent="0.35">
      <c r="B69" s="9"/>
      <c r="C69" s="9"/>
      <c r="D69" s="36"/>
      <c r="E69" s="9"/>
      <c r="F69" s="9"/>
      <c r="G69" s="9"/>
    </row>
    <row r="70" spans="2:7" x14ac:dyDescent="0.35">
      <c r="B70" s="9"/>
      <c r="C70" s="9"/>
      <c r="D70" s="36"/>
      <c r="E70" s="9"/>
      <c r="F70" s="9"/>
      <c r="G70" s="9"/>
    </row>
    <row r="71" spans="2:7" x14ac:dyDescent="0.35">
      <c r="B71" s="9"/>
      <c r="C71" s="9"/>
      <c r="D71" s="36"/>
      <c r="E71" s="9"/>
      <c r="F71" s="9"/>
      <c r="G71" s="9"/>
    </row>
    <row r="72" spans="2:7" x14ac:dyDescent="0.35">
      <c r="B72" s="14"/>
      <c r="C72" s="9"/>
      <c r="D72" s="36"/>
      <c r="E72" s="9"/>
      <c r="F72" s="9"/>
      <c r="G72" s="9"/>
    </row>
    <row r="73" spans="2:7" x14ac:dyDescent="0.35">
      <c r="B73" s="9"/>
      <c r="C73" s="9"/>
      <c r="D73" s="36"/>
      <c r="E73" s="9"/>
      <c r="F73" s="9"/>
      <c r="G73" s="9"/>
    </row>
  </sheetData>
  <sortState ref="B15:I27">
    <sortCondition ref="B15"/>
  </sortState>
  <customSheetViews>
    <customSheetView guid="{744BB052-D863-41D2-951C-2AB325855A97}" showPageBreaks="1" printArea="1" topLeftCell="A7">
      <selection activeCell="C22" sqref="C22"/>
      <rowBreaks count="1" manualBreakCount="1">
        <brk id="40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 topLeftCell="A4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G5"/>
  </mergeCells>
  <conditionalFormatting sqref="J8:J29">
    <cfRule type="containsText" dxfId="7" priority="1" operator="containsText" text="No Post">
      <formula>NOT(ISERROR(SEARCH("No Post",J8)))</formula>
    </cfRule>
  </conditionalFormatting>
  <pageMargins left="0.17" right="0.17" top="0.75" bottom="0.75" header="0.3" footer="0.3"/>
  <pageSetup scale="64" orientation="landscape" r:id="rId6"/>
  <rowBreaks count="1" manualBreakCount="1">
    <brk id="40" min="1" max="8" man="1"/>
  </rowBreaks>
  <colBreaks count="1" manualBreakCount="1">
    <brk id="11" max="30" man="1"/>
  </colBreaks>
  <drawing r:id="rId7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topLeftCell="A4" zoomScaleNormal="100" zoomScaleSheetLayoutView="100" workbookViewId="0">
      <selection activeCell="C10" sqref="C10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9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2"/>
      <c r="E2" s="5"/>
      <c r="F2" s="5"/>
    </row>
    <row r="4" spans="1:10" s="1" customFormat="1" thickBot="1" x14ac:dyDescent="0.4">
      <c r="D4" s="33"/>
    </row>
    <row r="5" spans="1:10" s="2" customFormat="1" ht="23.4" x14ac:dyDescent="0.45">
      <c r="A5" s="381" t="s">
        <v>15</v>
      </c>
      <c r="B5" s="383"/>
      <c r="C5" s="383"/>
      <c r="D5" s="383"/>
      <c r="E5" s="383"/>
      <c r="F5" s="383"/>
      <c r="G5" s="383"/>
      <c r="H5" s="27" t="s">
        <v>18</v>
      </c>
      <c r="I5" s="28" t="str">
        <f ca="1">CONCATENATE((MID(CELL("filename",I5),FIND("]",CELL("filename",I5))+1,255)),"/04/2026")</f>
        <v>24/04/2026</v>
      </c>
    </row>
    <row r="6" spans="1:10" x14ac:dyDescent="0.35">
      <c r="A6" s="45"/>
      <c r="B6" s="52" t="s">
        <v>1</v>
      </c>
      <c r="C6" s="52" t="s">
        <v>2</v>
      </c>
      <c r="D6" s="53" t="s">
        <v>21</v>
      </c>
      <c r="E6" s="52" t="s">
        <v>16</v>
      </c>
      <c r="F6" s="52" t="s">
        <v>17</v>
      </c>
      <c r="G6" s="52" t="s">
        <v>3</v>
      </c>
      <c r="H6" s="54" t="s">
        <v>20</v>
      </c>
      <c r="I6" s="55" t="s">
        <v>4</v>
      </c>
    </row>
    <row r="7" spans="1:10" x14ac:dyDescent="0.35">
      <c r="A7" s="54">
        <v>1</v>
      </c>
      <c r="B7" t="s">
        <v>23</v>
      </c>
      <c r="C7" s="78" t="s">
        <v>493</v>
      </c>
      <c r="D7" s="62"/>
      <c r="E7" s="54">
        <v>4</v>
      </c>
      <c r="F7" s="54"/>
      <c r="G7" s="54"/>
      <c r="H7" s="54" t="s">
        <v>492</v>
      </c>
      <c r="I7" s="54" t="s">
        <v>294</v>
      </c>
      <c r="J7" s="79" t="str">
        <f>IF(OR(NOT(ISERROR(MATCH(RIGHT(B7,3)+0,#REF!,0))),NOT(ISERROR(MATCH(LEFT(B7,3)+0,#REF!,0)))),"No Post","")</f>
        <v/>
      </c>
    </row>
    <row r="8" spans="1:10" x14ac:dyDescent="0.35">
      <c r="A8" s="54">
        <v>2</v>
      </c>
      <c r="B8" s="54">
        <v>324</v>
      </c>
      <c r="C8" s="54" t="s">
        <v>554</v>
      </c>
      <c r="D8" s="62">
        <v>46138</v>
      </c>
      <c r="E8" s="54">
        <v>2</v>
      </c>
      <c r="F8" s="54"/>
      <c r="G8" s="54"/>
      <c r="H8" s="54" t="s">
        <v>106</v>
      </c>
      <c r="I8" s="54" t="s">
        <v>309</v>
      </c>
      <c r="J8" s="79" t="str">
        <f>IF(OR(NOT(ISERROR(MATCH(RIGHT(B8,3)+0,#REF!,0))),NOT(ISERROR(MATCH(LEFT(B8,3)+0,#REF!,0)))),"No Post","")</f>
        <v/>
      </c>
    </row>
    <row r="9" spans="1:10" x14ac:dyDescent="0.35">
      <c r="A9" s="54"/>
      <c r="B9" s="54" t="s">
        <v>4</v>
      </c>
      <c r="C9" s="54" t="s">
        <v>561</v>
      </c>
      <c r="D9" s="62"/>
      <c r="E9" s="54">
        <v>5</v>
      </c>
      <c r="F9" s="54"/>
      <c r="G9" s="54"/>
      <c r="H9" s="54"/>
      <c r="I9" s="54"/>
      <c r="J9" s="79"/>
    </row>
    <row r="10" spans="1:10" x14ac:dyDescent="0.35">
      <c r="A10" s="54">
        <v>4</v>
      </c>
      <c r="B10" s="54"/>
      <c r="C10" s="54"/>
      <c r="D10" s="62"/>
      <c r="E10" s="54"/>
      <c r="F10" s="54"/>
      <c r="G10" s="54"/>
      <c r="H10" s="54"/>
      <c r="I10" s="54"/>
      <c r="J10" s="79" t="str">
        <f>IF(OR(NOT(ISERROR(MATCH(RIGHT(B10,3)+0,#REF!,0))),NOT(ISERROR(MATCH(LEFT(B10,3)+0,#REF!,0)))),"No Post","")</f>
        <v/>
      </c>
    </row>
    <row r="11" spans="1:10" x14ac:dyDescent="0.35">
      <c r="A11" s="54">
        <v>5</v>
      </c>
      <c r="B11" s="54"/>
      <c r="C11" s="54"/>
      <c r="D11" s="62"/>
      <c r="E11" s="54"/>
      <c r="F11" s="54"/>
      <c r="G11" s="54"/>
      <c r="H11" s="54"/>
      <c r="I11" s="54"/>
      <c r="J11" s="79" t="str">
        <f>IF(OR(NOT(ISERROR(MATCH(RIGHT(B11,3)+0,#REF!,0))),NOT(ISERROR(MATCH(LEFT(B11,3)+0,#REF!,0)))),"No Post","")</f>
        <v/>
      </c>
    </row>
    <row r="12" spans="1:10" x14ac:dyDescent="0.35">
      <c r="A12" s="54">
        <v>6</v>
      </c>
      <c r="B12" s="54"/>
      <c r="C12" s="54"/>
      <c r="D12" s="62"/>
      <c r="E12" s="54"/>
      <c r="F12" s="54"/>
      <c r="G12" s="54"/>
      <c r="H12" s="54"/>
      <c r="I12" s="54"/>
      <c r="J12" s="79" t="str">
        <f>IF(OR(NOT(ISERROR(MATCH(RIGHT(B12,3)+0,#REF!,0))),NOT(ISERROR(MATCH(LEFT(B12,3)+0,#REF!,0)))),"No Post","")</f>
        <v/>
      </c>
    </row>
    <row r="13" spans="1:10" x14ac:dyDescent="0.35">
      <c r="A13" s="54">
        <v>7</v>
      </c>
      <c r="B13" s="54"/>
      <c r="C13" s="54"/>
      <c r="D13" s="62"/>
      <c r="E13" s="54"/>
      <c r="F13" s="54"/>
      <c r="G13" s="54"/>
      <c r="H13" s="54"/>
      <c r="I13" s="54"/>
      <c r="J13" s="79" t="str">
        <f>IF(OR(NOT(ISERROR(MATCH(RIGHT(B13,3)+0,#REF!,0))),NOT(ISERROR(MATCH(LEFT(B13,3)+0,#REF!,0)))),"No Post","")</f>
        <v/>
      </c>
    </row>
    <row r="14" spans="1:10" x14ac:dyDescent="0.35">
      <c r="A14" s="54">
        <v>8</v>
      </c>
      <c r="B14" s="54"/>
      <c r="C14" s="54"/>
      <c r="D14" s="62"/>
      <c r="E14" s="54"/>
      <c r="F14" s="54"/>
      <c r="G14" s="54"/>
      <c r="H14" s="54"/>
      <c r="I14" s="54"/>
      <c r="J14" s="79" t="str">
        <f>IF(OR(NOT(ISERROR(MATCH(RIGHT(B14,3)+0,#REF!,0))),NOT(ISERROR(MATCH(LEFT(B14,3)+0,#REF!,0)))),"No Post","")</f>
        <v/>
      </c>
    </row>
    <row r="15" spans="1:10" x14ac:dyDescent="0.35">
      <c r="A15" s="54">
        <v>9</v>
      </c>
      <c r="B15" s="54"/>
      <c r="C15" s="54"/>
      <c r="D15" s="62"/>
      <c r="E15" s="54"/>
      <c r="F15" s="54"/>
      <c r="G15" s="54"/>
      <c r="H15" s="54"/>
      <c r="I15" s="54"/>
      <c r="J15" s="79" t="str">
        <f>IF(OR(NOT(ISERROR(MATCH(RIGHT(B15,3)+0,#REF!,0))),NOT(ISERROR(MATCH(LEFT(B15,3)+0,#REF!,0)))),"No Post","")</f>
        <v/>
      </c>
    </row>
    <row r="16" spans="1:10" x14ac:dyDescent="0.35">
      <c r="A16" s="54">
        <v>10</v>
      </c>
      <c r="B16" s="54"/>
      <c r="C16" s="54"/>
      <c r="D16" s="62"/>
      <c r="E16" s="54"/>
      <c r="F16" s="54"/>
      <c r="G16" s="54"/>
      <c r="H16" s="54"/>
      <c r="I16" s="54"/>
      <c r="J16" s="79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4">
        <v>11</v>
      </c>
      <c r="B17" s="46"/>
      <c r="C17" s="47"/>
      <c r="D17" s="48"/>
      <c r="E17" s="46"/>
      <c r="F17" s="46"/>
      <c r="G17" s="46"/>
      <c r="H17" s="47"/>
      <c r="I17" s="47"/>
      <c r="J17" s="79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4">
        <v>12</v>
      </c>
      <c r="B18" s="46"/>
      <c r="C18" s="47"/>
      <c r="D18" s="48"/>
      <c r="E18" s="46"/>
      <c r="F18" s="46"/>
      <c r="G18" s="46"/>
      <c r="H18" s="47"/>
      <c r="I18" s="47"/>
      <c r="J18" s="79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4">
        <v>13</v>
      </c>
      <c r="B19" s="46"/>
      <c r="C19" s="47"/>
      <c r="D19" s="48"/>
      <c r="E19" s="46"/>
      <c r="F19" s="46"/>
      <c r="G19" s="46"/>
      <c r="H19" s="47"/>
      <c r="I19" s="47"/>
      <c r="J19" s="79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4">
        <v>14</v>
      </c>
      <c r="B20" s="46"/>
      <c r="C20" s="47"/>
      <c r="D20" s="48"/>
      <c r="E20" s="46"/>
      <c r="F20" s="46"/>
      <c r="G20" s="46"/>
      <c r="H20" s="47"/>
      <c r="I20" s="47"/>
      <c r="J20" s="79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4">
        <v>15</v>
      </c>
      <c r="B21" s="46"/>
      <c r="C21" s="47"/>
      <c r="D21" s="48"/>
      <c r="E21" s="46"/>
      <c r="F21" s="46"/>
      <c r="G21" s="46"/>
      <c r="H21" s="47"/>
      <c r="I21" s="47"/>
      <c r="J21" s="79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4">
        <v>16</v>
      </c>
      <c r="B22" s="46"/>
      <c r="C22" s="47"/>
      <c r="D22" s="48"/>
      <c r="E22" s="46"/>
      <c r="F22" s="46"/>
      <c r="G22" s="46"/>
      <c r="H22" s="47"/>
      <c r="I22" s="47"/>
      <c r="J22" s="79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4">
        <v>17</v>
      </c>
      <c r="B23" s="46"/>
      <c r="C23" s="47"/>
      <c r="D23" s="48"/>
      <c r="E23" s="46"/>
      <c r="F23" s="46"/>
      <c r="G23" s="46"/>
      <c r="H23" s="47"/>
      <c r="I23" s="47"/>
      <c r="J23" s="79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4">
        <v>18</v>
      </c>
      <c r="B24" s="46"/>
      <c r="C24" s="47"/>
      <c r="D24" s="48"/>
      <c r="E24" s="46"/>
      <c r="F24" s="46"/>
      <c r="G24" s="46"/>
      <c r="H24" s="47"/>
      <c r="I24" s="47"/>
      <c r="J24" s="79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4">
        <v>19</v>
      </c>
      <c r="B25" s="46"/>
      <c r="C25" s="47"/>
      <c r="D25" s="48"/>
      <c r="E25" s="46"/>
      <c r="F25" s="46"/>
      <c r="G25" s="46"/>
      <c r="H25" s="47"/>
      <c r="I25" s="47"/>
      <c r="J25" s="79" t="str">
        <f>IF(OR(NOT(ISERROR(MATCH(RIGHT(B25,3)+0,#REF!,0))),NOT(ISERROR(MATCH(LEFT(B25,3)+0,#REF!,0)))),"No Post","")</f>
        <v/>
      </c>
    </row>
    <row r="26" spans="1:10" s="26" customFormat="1" ht="18.600000000000001" customHeight="1" x14ac:dyDescent="0.4">
      <c r="A26" s="54">
        <v>20</v>
      </c>
      <c r="B26" s="46"/>
      <c r="C26" s="47"/>
      <c r="D26" s="48"/>
      <c r="E26" s="46"/>
      <c r="F26" s="46"/>
      <c r="G26" s="46"/>
      <c r="H26" s="47"/>
      <c r="I26" s="47"/>
      <c r="J26" s="79" t="str">
        <f>IF(OR(NOT(ISERROR(MATCH(RIGHT(B26,3)+0,#REF!,0))),NOT(ISERROR(MATCH(LEFT(B26,3)+0,#REF!,0)))),"No Post","")</f>
        <v/>
      </c>
    </row>
    <row r="27" spans="1:10" ht="20.25" customHeight="1" x14ac:dyDescent="0.35">
      <c r="A27" s="49"/>
      <c r="B27" s="49"/>
      <c r="C27" s="49" t="str">
        <f>"Remaning: "&amp;IFERROR(MID(A5, SEARCH("MAX", A5) + LEN("MAX"), SEARCH("PAX", A5) - SEARCH("MAX", A5) - LEN("MAX")), "")+0-SUM(E27:F27)</f>
        <v>Remaning: 20</v>
      </c>
      <c r="D27" s="50" t="s">
        <v>19</v>
      </c>
      <c r="E27" s="51">
        <f>SUM(E17:E26)</f>
        <v>0</v>
      </c>
      <c r="F27" s="51">
        <f>SUM(F17:F26)</f>
        <v>0</v>
      </c>
      <c r="G27" s="49"/>
      <c r="H27" s="49"/>
      <c r="I27" s="49"/>
    </row>
    <row r="28" spans="1:10" ht="20.25" customHeight="1" x14ac:dyDescent="0.35">
      <c r="B28" s="8" t="s">
        <v>5</v>
      </c>
      <c r="C28" s="8"/>
      <c r="D28" s="35"/>
      <c r="E28" s="8"/>
      <c r="F28" s="8"/>
      <c r="G28" s="8"/>
    </row>
    <row r="29" spans="1:10" ht="20.25" customHeight="1" x14ac:dyDescent="0.35">
      <c r="B29" s="15" t="s">
        <v>6</v>
      </c>
      <c r="C29" s="9"/>
      <c r="D29" s="36"/>
      <c r="E29" s="9"/>
      <c r="F29" s="9"/>
      <c r="G29" s="9"/>
    </row>
    <row r="30" spans="1:10" ht="20.25" customHeight="1" x14ac:dyDescent="0.35">
      <c r="B30" s="15" t="s">
        <v>7</v>
      </c>
      <c r="C30" s="9"/>
      <c r="D30" s="36"/>
      <c r="E30" s="9"/>
      <c r="F30" s="9"/>
      <c r="G30" s="9"/>
    </row>
    <row r="31" spans="1:10" ht="20.25" customHeight="1" x14ac:dyDescent="0.35">
      <c r="B31" s="15" t="s">
        <v>8</v>
      </c>
      <c r="C31" s="9"/>
      <c r="D31" s="36"/>
      <c r="E31" s="9"/>
      <c r="F31" s="9"/>
      <c r="G31" s="9"/>
    </row>
    <row r="32" spans="1:10" x14ac:dyDescent="0.35">
      <c r="B32" s="15" t="s">
        <v>9</v>
      </c>
      <c r="C32" s="9"/>
      <c r="D32" s="36"/>
      <c r="E32" s="9"/>
      <c r="F32" s="9"/>
      <c r="G32" s="9"/>
    </row>
    <row r="33" spans="2:7" x14ac:dyDescent="0.35">
      <c r="B33" s="15" t="s">
        <v>10</v>
      </c>
      <c r="C33" s="9"/>
      <c r="D33" s="36"/>
      <c r="E33" s="9"/>
      <c r="F33" s="9"/>
      <c r="G33" s="9"/>
    </row>
    <row r="34" spans="2:7" x14ac:dyDescent="0.35">
      <c r="B34" s="15" t="s">
        <v>11</v>
      </c>
      <c r="C34" s="9"/>
      <c r="D34" s="36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7"/>
      <c r="E35" s="10"/>
      <c r="F35" s="10"/>
    </row>
    <row r="36" spans="2:7" s="11" customFormat="1" ht="15.6" x14ac:dyDescent="0.3">
      <c r="B36" s="16" t="s">
        <v>13</v>
      </c>
      <c r="C36" s="10"/>
      <c r="D36" s="37"/>
      <c r="E36" s="10"/>
      <c r="F36" s="10"/>
    </row>
    <row r="37" spans="2:7" s="13" customFormat="1" ht="20.25" customHeight="1" x14ac:dyDescent="0.35">
      <c r="B37" s="17" t="s">
        <v>14</v>
      </c>
      <c r="C37" s="12"/>
      <c r="D37" s="38"/>
    </row>
    <row r="38" spans="2:7" s="8" customFormat="1" ht="14.4" x14ac:dyDescent="0.3">
      <c r="B38" s="14"/>
      <c r="C38" s="9"/>
      <c r="D38" s="36"/>
      <c r="E38" s="9"/>
      <c r="F38" s="9"/>
      <c r="G38" s="9"/>
    </row>
    <row r="39" spans="2:7" s="9" customFormat="1" ht="13.8" x14ac:dyDescent="0.3">
      <c r="D39" s="36"/>
    </row>
    <row r="40" spans="2:7" x14ac:dyDescent="0.35">
      <c r="B40" s="9"/>
      <c r="C40" s="9"/>
      <c r="D40" s="36"/>
      <c r="E40" s="9"/>
      <c r="F40" s="9"/>
      <c r="G40" s="9"/>
    </row>
    <row r="41" spans="2:7" x14ac:dyDescent="0.35">
      <c r="B41" s="8"/>
      <c r="C41" s="8"/>
      <c r="D41" s="35"/>
      <c r="E41" s="8"/>
      <c r="F41" s="8"/>
      <c r="G41" s="8"/>
    </row>
    <row r="42" spans="2:7" x14ac:dyDescent="0.35">
      <c r="B42" s="9"/>
      <c r="C42" s="9"/>
      <c r="D42" s="36"/>
      <c r="E42" s="9"/>
      <c r="F42" s="9"/>
      <c r="G42" s="9"/>
    </row>
    <row r="43" spans="2:7" x14ac:dyDescent="0.35">
      <c r="B43" s="9"/>
      <c r="C43" s="9"/>
      <c r="D43" s="36"/>
      <c r="E43" s="9"/>
      <c r="F43" s="9"/>
      <c r="G43" s="9"/>
    </row>
    <row r="44" spans="2:7" x14ac:dyDescent="0.35">
      <c r="B44" s="9"/>
      <c r="C44" s="9"/>
      <c r="D44" s="36"/>
      <c r="E44" s="9"/>
      <c r="F44" s="9"/>
      <c r="G44" s="9"/>
    </row>
    <row r="45" spans="2:7" x14ac:dyDescent="0.35">
      <c r="B45" s="9"/>
      <c r="C45" s="9"/>
      <c r="D45" s="36"/>
      <c r="E45" s="9"/>
      <c r="F45" s="9"/>
      <c r="G45" s="9"/>
    </row>
    <row r="46" spans="2:7" x14ac:dyDescent="0.35">
      <c r="B46" s="9"/>
      <c r="C46" s="9"/>
      <c r="D46" s="36"/>
      <c r="E46" s="9"/>
      <c r="F46" s="9"/>
      <c r="G46" s="9"/>
    </row>
    <row r="47" spans="2:7" x14ac:dyDescent="0.35">
      <c r="B47" s="9"/>
      <c r="C47" s="9"/>
      <c r="D47" s="36"/>
      <c r="E47" s="9"/>
      <c r="F47" s="9"/>
      <c r="G47" s="9"/>
    </row>
    <row r="48" spans="2:7" x14ac:dyDescent="0.35">
      <c r="B48" s="14"/>
      <c r="C48" s="9"/>
      <c r="D48" s="36"/>
      <c r="E48" s="9"/>
      <c r="F48" s="9"/>
      <c r="G48" s="9"/>
    </row>
    <row r="49" spans="2:7" x14ac:dyDescent="0.35">
      <c r="B49" s="9"/>
      <c r="C49" s="9"/>
      <c r="D49" s="36"/>
      <c r="E49" s="9"/>
      <c r="F49" s="9"/>
      <c r="G49" s="9"/>
    </row>
    <row r="51" spans="2:7" x14ac:dyDescent="0.35">
      <c r="B51" s="1"/>
      <c r="C51" s="1"/>
      <c r="D51" s="33"/>
      <c r="E51" s="1"/>
      <c r="F51" s="1"/>
      <c r="G51" s="1"/>
    </row>
    <row r="66" spans="2:7" x14ac:dyDescent="0.35">
      <c r="B66" s="9"/>
      <c r="C66" s="9"/>
      <c r="D66" s="36"/>
      <c r="E66" s="9"/>
      <c r="F66" s="9"/>
      <c r="G66" s="9"/>
    </row>
    <row r="67" spans="2:7" x14ac:dyDescent="0.35">
      <c r="B67" s="9"/>
      <c r="C67" s="9"/>
      <c r="D67" s="36"/>
      <c r="E67" s="9"/>
      <c r="F67" s="9"/>
      <c r="G67" s="9"/>
    </row>
    <row r="68" spans="2:7" x14ac:dyDescent="0.35">
      <c r="B68" s="9"/>
      <c r="C68" s="9"/>
      <c r="D68" s="36"/>
      <c r="E68" s="9"/>
      <c r="F68" s="9"/>
      <c r="G68" s="9"/>
    </row>
    <row r="69" spans="2:7" x14ac:dyDescent="0.35">
      <c r="B69" s="14"/>
      <c r="C69" s="9"/>
      <c r="D69" s="36"/>
      <c r="E69" s="9"/>
      <c r="F69" s="9"/>
      <c r="G69" s="9"/>
    </row>
    <row r="70" spans="2:7" x14ac:dyDescent="0.35">
      <c r="B70" s="9"/>
      <c r="C70" s="9"/>
      <c r="D70" s="36"/>
      <c r="E70" s="9"/>
      <c r="F70" s="9"/>
      <c r="G70" s="9"/>
    </row>
  </sheetData>
  <customSheetViews>
    <customSheetView guid="{744BB052-D863-41D2-951C-2AB325855A97}" showPageBreaks="1" printArea="1" topLeftCell="A4">
      <selection activeCell="C10" sqref="C10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K10" sqref="K10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 topLeftCell="A4">
      <selection activeCell="H9" sqref="H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G5"/>
  </mergeCells>
  <conditionalFormatting sqref="J7:J26">
    <cfRule type="containsText" dxfId="6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6"/>
  <rowBreaks count="1" manualBreakCount="1">
    <brk id="38" min="1" max="8" man="1"/>
  </rowBreaks>
  <colBreaks count="1" manualBreakCount="1">
    <brk id="11" max="30" man="1"/>
  </colBreaks>
  <drawing r:id="rId7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6"/>
  <sheetViews>
    <sheetView zoomScale="89" zoomScaleNormal="100" zoomScaleSheetLayoutView="100" workbookViewId="0">
      <selection activeCell="A5" sqref="A5:I5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3320312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3" x14ac:dyDescent="0.35">
      <c r="E2" s="18" t="s">
        <v>0</v>
      </c>
      <c r="F2" s="32"/>
      <c r="G2" s="5"/>
      <c r="H2" s="5"/>
    </row>
    <row r="4" spans="1:13" s="1" customFormat="1" thickBot="1" x14ac:dyDescent="0.4">
      <c r="F4" s="33"/>
    </row>
    <row r="5" spans="1:13" s="2" customFormat="1" ht="23.4" x14ac:dyDescent="0.45">
      <c r="A5" s="381" t="s">
        <v>547</v>
      </c>
      <c r="B5" s="382"/>
      <c r="C5" s="382"/>
      <c r="D5" s="383"/>
      <c r="E5" s="383"/>
      <c r="F5" s="383"/>
      <c r="G5" s="383"/>
      <c r="H5" s="383"/>
      <c r="I5" s="383"/>
      <c r="J5" s="27" t="s">
        <v>18</v>
      </c>
      <c r="K5" s="28" t="str">
        <f ca="1">CONCATENATE((MID(CELL("filename",K5),FIND("]",CELL("filename",K5))+1,255)),"/04/2026")</f>
        <v>25/04/2026</v>
      </c>
    </row>
    <row r="6" spans="1:13" x14ac:dyDescent="0.35">
      <c r="A6" s="45"/>
      <c r="B6" s="251"/>
      <c r="C6" s="251"/>
      <c r="D6" s="52" t="s">
        <v>1</v>
      </c>
      <c r="E6" s="52" t="s">
        <v>2</v>
      </c>
      <c r="F6" s="53" t="s">
        <v>21</v>
      </c>
      <c r="G6" s="52" t="s">
        <v>16</v>
      </c>
      <c r="H6" s="52" t="s">
        <v>17</v>
      </c>
      <c r="I6" s="52" t="s">
        <v>3</v>
      </c>
      <c r="J6" s="54" t="s">
        <v>20</v>
      </c>
      <c r="K6" s="55" t="s">
        <v>4</v>
      </c>
    </row>
    <row r="7" spans="1:13" x14ac:dyDescent="0.35">
      <c r="A7" s="54">
        <v>1</v>
      </c>
      <c r="B7" s="168"/>
      <c r="C7" s="168"/>
      <c r="D7" s="98">
        <v>650</v>
      </c>
      <c r="E7" s="46" t="s">
        <v>573</v>
      </c>
      <c r="F7" s="48">
        <v>46140</v>
      </c>
      <c r="G7" s="46">
        <v>2</v>
      </c>
      <c r="H7" s="46"/>
      <c r="I7" s="46" t="s">
        <v>67</v>
      </c>
      <c r="J7" s="98" t="s">
        <v>106</v>
      </c>
      <c r="K7" s="46" t="s">
        <v>24</v>
      </c>
      <c r="L7" s="79"/>
    </row>
    <row r="8" spans="1:13" x14ac:dyDescent="0.35">
      <c r="A8" s="54">
        <v>2</v>
      </c>
      <c r="B8" s="168"/>
      <c r="C8" s="168"/>
      <c r="D8" s="98">
        <v>675</v>
      </c>
      <c r="E8" s="46" t="s">
        <v>572</v>
      </c>
      <c r="F8" s="48">
        <v>46140</v>
      </c>
      <c r="G8" s="46">
        <v>2</v>
      </c>
      <c r="H8" s="46"/>
      <c r="I8" s="46"/>
      <c r="J8" s="98" t="s">
        <v>106</v>
      </c>
      <c r="K8" s="46" t="s">
        <v>24</v>
      </c>
      <c r="L8" s="79" t="str">
        <f>IF(OR(NOT(ISERROR(MATCH(RIGHT(D8,3)+0,#REF!,0))),NOT(ISERROR(MATCH(LEFT(D8,3)+0,#REF!,0)))),"No Post","")</f>
        <v/>
      </c>
    </row>
    <row r="9" spans="1:13" x14ac:dyDescent="0.35">
      <c r="A9" s="54">
        <v>3</v>
      </c>
      <c r="B9" s="168"/>
      <c r="C9" s="168"/>
      <c r="D9" s="98">
        <v>328</v>
      </c>
      <c r="E9" s="46" t="s">
        <v>571</v>
      </c>
      <c r="F9" s="48">
        <v>46139</v>
      </c>
      <c r="G9" s="46">
        <v>2</v>
      </c>
      <c r="H9" s="46"/>
      <c r="I9" s="46"/>
      <c r="J9" s="98" t="s">
        <v>106</v>
      </c>
      <c r="K9" s="46" t="s">
        <v>452</v>
      </c>
      <c r="L9" s="79" t="str">
        <f>IF(OR(NOT(ISERROR(MATCH(RIGHT(D9,3)+0,#REF!,0))),NOT(ISERROR(MATCH(LEFT(D9,3)+0,#REF!,0)))),"No Post","")</f>
        <v/>
      </c>
    </row>
    <row r="10" spans="1:13" x14ac:dyDescent="0.35">
      <c r="A10" s="54">
        <v>4</v>
      </c>
      <c r="B10" s="168"/>
      <c r="C10" s="168"/>
      <c r="D10" s="98">
        <v>321</v>
      </c>
      <c r="E10" s="46" t="s">
        <v>555</v>
      </c>
      <c r="F10" s="48">
        <v>46139</v>
      </c>
      <c r="G10" s="46">
        <v>2</v>
      </c>
      <c r="H10" s="46"/>
      <c r="I10" s="46"/>
      <c r="J10" s="98" t="s">
        <v>106</v>
      </c>
      <c r="K10" s="46" t="s">
        <v>472</v>
      </c>
      <c r="L10" s="79" t="str">
        <f>IF(OR(NOT(ISERROR(MATCH(RIGHT(D10,3)+0,#REF!,0))),NOT(ISERROR(MATCH(LEFT(D10,3)+0,#REF!,0)))),"No Post","")</f>
        <v/>
      </c>
    </row>
    <row r="11" spans="1:13" x14ac:dyDescent="0.35">
      <c r="A11" s="54">
        <v>5</v>
      </c>
      <c r="B11" s="168"/>
      <c r="C11" s="168"/>
      <c r="D11" s="98">
        <v>319</v>
      </c>
      <c r="E11" s="46" t="s">
        <v>556</v>
      </c>
      <c r="F11" s="48">
        <v>46139</v>
      </c>
      <c r="G11" s="46">
        <v>2</v>
      </c>
      <c r="H11" s="46"/>
      <c r="I11" s="46"/>
      <c r="J11" s="98" t="s">
        <v>106</v>
      </c>
      <c r="K11" s="46" t="s">
        <v>472</v>
      </c>
      <c r="L11" s="79" t="str">
        <f>IF(OR(NOT(ISERROR(MATCH(RIGHT(D11,3)+0,#REF!,0))),NOT(ISERROR(MATCH(LEFT(D11,3)+0,#REF!,0)))),"No Post","")</f>
        <v/>
      </c>
    </row>
    <row r="12" spans="1:13" x14ac:dyDescent="0.35">
      <c r="A12" s="54">
        <v>6</v>
      </c>
      <c r="B12" s="168"/>
      <c r="C12" s="168"/>
      <c r="D12" s="97">
        <v>672</v>
      </c>
      <c r="E12" s="46" t="s">
        <v>559</v>
      </c>
      <c r="F12" s="48">
        <v>46137</v>
      </c>
      <c r="G12" s="46">
        <v>2</v>
      </c>
      <c r="H12" s="46"/>
      <c r="I12" s="46"/>
      <c r="J12" s="46" t="s">
        <v>124</v>
      </c>
      <c r="K12" s="46" t="s">
        <v>130</v>
      </c>
      <c r="L12" s="79" t="s">
        <v>273</v>
      </c>
      <c r="M12" s="209"/>
    </row>
    <row r="13" spans="1:13" x14ac:dyDescent="0.35">
      <c r="A13" s="54">
        <v>7</v>
      </c>
      <c r="B13" s="168"/>
      <c r="C13" s="168"/>
      <c r="D13" s="98">
        <v>309</v>
      </c>
      <c r="E13" s="46" t="s">
        <v>563</v>
      </c>
      <c r="F13" s="48">
        <v>46138</v>
      </c>
      <c r="G13" s="46">
        <v>2</v>
      </c>
      <c r="H13" s="46"/>
      <c r="I13" s="46"/>
      <c r="J13" s="98" t="s">
        <v>106</v>
      </c>
      <c r="K13" s="46" t="s">
        <v>455</v>
      </c>
      <c r="L13" s="79" t="str">
        <f>IF(OR(NOT(ISERROR(MATCH(RIGHT(D13,3)+0,#REF!,0))),NOT(ISERROR(MATCH(LEFT(D13,3)+0,#REF!,0)))),"No Post","")</f>
        <v/>
      </c>
    </row>
    <row r="14" spans="1:13" x14ac:dyDescent="0.35">
      <c r="A14" s="54">
        <v>8</v>
      </c>
      <c r="B14" s="54"/>
      <c r="C14" s="54"/>
      <c r="D14" s="46">
        <v>303</v>
      </c>
      <c r="E14" s="46" t="s">
        <v>564</v>
      </c>
      <c r="F14" s="48">
        <v>46138</v>
      </c>
      <c r="G14" s="46">
        <v>2</v>
      </c>
      <c r="H14" s="46">
        <v>1</v>
      </c>
      <c r="I14" s="46"/>
      <c r="J14" s="46" t="s">
        <v>106</v>
      </c>
      <c r="K14" s="46" t="s">
        <v>455</v>
      </c>
      <c r="L14" s="79" t="str">
        <f>IF(OR(NOT(ISERROR(MATCH(RIGHT(D14,3)+0,#REF!,0))),NOT(ISERROR(MATCH(LEFT(D14,3)+0,#REF!,0)))),"No Post","")</f>
        <v/>
      </c>
    </row>
    <row r="15" spans="1:13" x14ac:dyDescent="0.35">
      <c r="A15" s="54">
        <v>9</v>
      </c>
      <c r="B15" s="168"/>
      <c r="C15" s="168"/>
      <c r="D15" s="46">
        <v>305</v>
      </c>
      <c r="E15" s="46" t="s">
        <v>565</v>
      </c>
      <c r="F15" s="48">
        <v>46138</v>
      </c>
      <c r="G15" s="46">
        <v>2</v>
      </c>
      <c r="H15" s="46"/>
      <c r="I15" s="46"/>
      <c r="J15" s="46" t="s">
        <v>106</v>
      </c>
      <c r="K15" s="46" t="s">
        <v>455</v>
      </c>
      <c r="L15" s="79" t="str">
        <f>IF(OR(NOT(ISERROR(MATCH(RIGHT(D15,3)+0,#REF!,0))),NOT(ISERROR(MATCH(LEFT(D15,3)+0,#REF!,0)))),"No Post","")</f>
        <v/>
      </c>
    </row>
    <row r="16" spans="1:13" x14ac:dyDescent="0.35">
      <c r="A16" s="54">
        <v>10</v>
      </c>
      <c r="B16" s="168"/>
      <c r="C16" s="168"/>
      <c r="D16" s="100">
        <v>307</v>
      </c>
      <c r="E16" s="46" t="s">
        <v>566</v>
      </c>
      <c r="F16" s="48">
        <v>46138</v>
      </c>
      <c r="G16" s="46">
        <v>2</v>
      </c>
      <c r="H16" s="46"/>
      <c r="I16" s="46"/>
      <c r="J16" s="98" t="s">
        <v>106</v>
      </c>
      <c r="K16" s="46" t="s">
        <v>455</v>
      </c>
      <c r="L16" s="79" t="str">
        <f>IF(OR(NOT(ISERROR(MATCH(RIGHT(D16,3)+0,#REF!,0))),NOT(ISERROR(MATCH(LEFT(D16,3)+0,#REF!,0)))),"No Post","")</f>
        <v/>
      </c>
    </row>
    <row r="17" spans="1:13" ht="18.600000000000001" customHeight="1" x14ac:dyDescent="0.35">
      <c r="A17" s="54">
        <v>11</v>
      </c>
      <c r="B17" s="168"/>
      <c r="C17" s="168"/>
      <c r="D17" s="98">
        <v>316</v>
      </c>
      <c r="E17" s="46" t="s">
        <v>567</v>
      </c>
      <c r="F17" s="48">
        <v>46138</v>
      </c>
      <c r="G17" s="46">
        <v>2</v>
      </c>
      <c r="H17" s="46"/>
      <c r="I17" s="46"/>
      <c r="J17" s="97" t="s">
        <v>106</v>
      </c>
      <c r="K17" s="46" t="s">
        <v>455</v>
      </c>
      <c r="L17" s="79" t="str">
        <f>IF(OR(NOT(ISERROR(MATCH(RIGHT(D17,3)+0,#REF!,0))),NOT(ISERROR(MATCH(LEFT(D17,3)+0,#REF!,0)))),"No Post","")</f>
        <v/>
      </c>
    </row>
    <row r="18" spans="1:13" ht="18.600000000000001" customHeight="1" x14ac:dyDescent="0.35">
      <c r="A18" s="54">
        <v>12</v>
      </c>
      <c r="B18" s="168"/>
      <c r="C18" s="168"/>
      <c r="D18" s="46">
        <v>842</v>
      </c>
      <c r="E18" s="46" t="s">
        <v>568</v>
      </c>
      <c r="F18" s="48">
        <v>46139</v>
      </c>
      <c r="G18" s="46">
        <v>2</v>
      </c>
      <c r="H18" s="46"/>
      <c r="I18" s="46"/>
      <c r="J18" s="97" t="s">
        <v>124</v>
      </c>
      <c r="K18" s="46" t="s">
        <v>135</v>
      </c>
      <c r="L18" s="79" t="s">
        <v>273</v>
      </c>
    </row>
    <row r="19" spans="1:13" ht="18.600000000000001" customHeight="1" x14ac:dyDescent="0.35">
      <c r="A19" s="54">
        <v>13</v>
      </c>
      <c r="B19" s="168"/>
      <c r="C19" s="168"/>
      <c r="D19" s="97">
        <v>809</v>
      </c>
      <c r="E19" s="46" t="s">
        <v>574</v>
      </c>
      <c r="F19" s="48">
        <v>46139</v>
      </c>
      <c r="G19" s="46">
        <v>2</v>
      </c>
      <c r="H19" s="46"/>
      <c r="I19" s="46"/>
      <c r="J19" s="97" t="s">
        <v>132</v>
      </c>
      <c r="K19" s="46" t="s">
        <v>135</v>
      </c>
      <c r="L19" s="79" t="str">
        <f>IF(OR(NOT(ISERROR(MATCH(RIGHT(D19,3)+0,#REF!,0))),NOT(ISERROR(MATCH(LEFT(D19,3)+0,#REF!,0)))),"No Post","")</f>
        <v/>
      </c>
      <c r="M19" s="347"/>
    </row>
    <row r="20" spans="1:13" ht="18.600000000000001" customHeight="1" x14ac:dyDescent="0.35">
      <c r="A20" s="54">
        <v>14</v>
      </c>
      <c r="B20" s="168"/>
      <c r="C20" s="168"/>
      <c r="D20" s="97">
        <v>602</v>
      </c>
      <c r="E20" s="46" t="s">
        <v>575</v>
      </c>
      <c r="F20" s="48">
        <v>46140</v>
      </c>
      <c r="G20" s="46">
        <v>2</v>
      </c>
      <c r="H20" s="46"/>
      <c r="I20" s="46"/>
      <c r="J20" s="98" t="s">
        <v>124</v>
      </c>
      <c r="K20" s="46" t="s">
        <v>135</v>
      </c>
      <c r="L20" s="79" t="s">
        <v>273</v>
      </c>
      <c r="M20" s="347"/>
    </row>
    <row r="21" spans="1:13" ht="18.600000000000001" customHeight="1" x14ac:dyDescent="0.35">
      <c r="A21" s="54">
        <v>15</v>
      </c>
      <c r="B21" s="168"/>
      <c r="C21" s="168"/>
      <c r="D21" s="98"/>
      <c r="E21" s="47"/>
      <c r="F21" s="48"/>
      <c r="G21" s="46"/>
      <c r="H21" s="46"/>
      <c r="I21" s="46"/>
      <c r="J21" s="337"/>
      <c r="K21" s="47"/>
      <c r="L21" s="79" t="str">
        <f>IF(OR(NOT(ISERROR(MATCH(RIGHT(D21,3)+0,#REF!,0))),NOT(ISERROR(MATCH(LEFT(D21,3)+0,#REF!,0)))),"No Post","")</f>
        <v/>
      </c>
    </row>
    <row r="22" spans="1:13" ht="18.600000000000001" customHeight="1" x14ac:dyDescent="0.35">
      <c r="A22" s="54">
        <v>17</v>
      </c>
      <c r="B22" s="327"/>
      <c r="C22" s="328"/>
      <c r="D22" s="329"/>
      <c r="E22" s="330"/>
      <c r="F22" s="332" t="s">
        <v>142</v>
      </c>
      <c r="G22" s="329"/>
      <c r="H22" s="329"/>
      <c r="I22" s="329"/>
      <c r="J22" s="330"/>
      <c r="K22" s="331"/>
      <c r="L22" s="79" t="str">
        <f>IF(OR(NOT(ISERROR(MATCH(RIGHT(D22,3)+0,#REF!,0))),NOT(ISERROR(MATCH(LEFT(D22,3)+0,#REF!,0)))),"No Post","")</f>
        <v/>
      </c>
    </row>
    <row r="23" spans="1:13" ht="20.25" customHeight="1" x14ac:dyDescent="0.35">
      <c r="A23" s="49"/>
      <c r="B23" s="333"/>
      <c r="C23" s="334"/>
      <c r="D23" s="334"/>
      <c r="E23" s="334" t="str">
        <f>"Remaning: "&amp;IFERROR(MID(A5, SEARCH("MAX", A5) + LEN("MAX"), SEARCH("PAX", A5) - SEARCH("MAX", A5) - LEN("MAX")), "")+0-SUM(G23:H23)</f>
        <v>Remaning: 13</v>
      </c>
      <c r="F23" s="335" t="s">
        <v>19</v>
      </c>
      <c r="G23" s="336">
        <f>SUM(G7:G22)</f>
        <v>28</v>
      </c>
      <c r="H23" s="336">
        <f>SUM(H7:H22)</f>
        <v>1</v>
      </c>
      <c r="I23" s="334"/>
      <c r="J23" s="334"/>
      <c r="K23" s="112"/>
    </row>
    <row r="24" spans="1:13" ht="20.25" customHeight="1" x14ac:dyDescent="0.35">
      <c r="D24" s="8" t="s">
        <v>5</v>
      </c>
      <c r="E24" s="8"/>
      <c r="F24" s="35"/>
      <c r="G24" s="8"/>
      <c r="H24" s="8"/>
      <c r="I24" s="8"/>
    </row>
    <row r="25" spans="1:13" ht="20.25" customHeight="1" x14ac:dyDescent="0.35">
      <c r="D25" s="15" t="s">
        <v>6</v>
      </c>
      <c r="E25" s="9"/>
      <c r="F25" s="36"/>
      <c r="G25" s="9"/>
      <c r="H25" s="9"/>
      <c r="I25" s="9"/>
    </row>
    <row r="26" spans="1:13" ht="20.25" customHeight="1" x14ac:dyDescent="0.35">
      <c r="D26" s="15" t="s">
        <v>7</v>
      </c>
      <c r="E26" s="9"/>
      <c r="F26" s="36"/>
      <c r="G26" s="9"/>
      <c r="H26" s="9"/>
      <c r="I26" s="9"/>
    </row>
    <row r="27" spans="1:13" ht="20.25" customHeight="1" x14ac:dyDescent="0.35">
      <c r="D27" s="15" t="s">
        <v>8</v>
      </c>
      <c r="E27" s="9"/>
      <c r="F27" s="36"/>
      <c r="G27" s="9"/>
      <c r="H27" s="9"/>
      <c r="I27" s="9"/>
    </row>
    <row r="28" spans="1:13" x14ac:dyDescent="0.35">
      <c r="D28" s="15" t="s">
        <v>9</v>
      </c>
      <c r="E28" s="9"/>
      <c r="F28" s="36"/>
      <c r="G28" s="9"/>
      <c r="H28" s="9"/>
      <c r="I28" s="9"/>
    </row>
    <row r="29" spans="1:13" x14ac:dyDescent="0.35">
      <c r="D29" s="15" t="s">
        <v>10</v>
      </c>
      <c r="E29" s="9"/>
      <c r="F29" s="36"/>
      <c r="G29" s="9"/>
      <c r="H29" s="9"/>
      <c r="I29" s="9"/>
    </row>
    <row r="30" spans="1:13" x14ac:dyDescent="0.35">
      <c r="D30" s="15" t="s">
        <v>11</v>
      </c>
      <c r="E30" s="9"/>
      <c r="F30" s="36"/>
      <c r="G30" s="9"/>
      <c r="H30" s="9"/>
      <c r="I30" s="9"/>
    </row>
    <row r="31" spans="1:13" s="11" customFormat="1" ht="15.6" x14ac:dyDescent="0.3">
      <c r="D31" s="16" t="s">
        <v>12</v>
      </c>
      <c r="E31" s="10"/>
      <c r="F31" s="37"/>
      <c r="G31" s="10"/>
      <c r="H31" s="10"/>
    </row>
    <row r="32" spans="1:13" s="11" customFormat="1" ht="15.6" x14ac:dyDescent="0.3">
      <c r="D32" s="16" t="s">
        <v>13</v>
      </c>
      <c r="E32" s="10"/>
      <c r="F32" s="37"/>
      <c r="G32" s="10"/>
      <c r="H32" s="10"/>
    </row>
    <row r="33" spans="4:9" s="13" customFormat="1" ht="20.25" customHeight="1" x14ac:dyDescent="0.35">
      <c r="D33" s="17" t="s">
        <v>14</v>
      </c>
      <c r="E33" s="12"/>
      <c r="F33" s="38"/>
    </row>
    <row r="34" spans="4:9" s="8" customFormat="1" ht="14.4" x14ac:dyDescent="0.3">
      <c r="D34" s="14"/>
      <c r="E34" s="9"/>
      <c r="F34" s="36"/>
      <c r="G34" s="9"/>
      <c r="H34" s="9"/>
      <c r="I34" s="9"/>
    </row>
    <row r="35" spans="4:9" s="9" customFormat="1" ht="13.8" x14ac:dyDescent="0.3">
      <c r="F35" s="36"/>
    </row>
    <row r="36" spans="4:9" x14ac:dyDescent="0.35">
      <c r="D36" s="9"/>
      <c r="E36" s="9"/>
      <c r="F36" s="36"/>
      <c r="G36" s="9"/>
      <c r="H36" s="9"/>
      <c r="I36" s="9"/>
    </row>
    <row r="37" spans="4:9" x14ac:dyDescent="0.35">
      <c r="D37" s="8"/>
      <c r="E37" s="8"/>
      <c r="F37" s="35"/>
      <c r="G37" s="8"/>
      <c r="H37" s="8"/>
      <c r="I37" s="8"/>
    </row>
    <row r="38" spans="4:9" x14ac:dyDescent="0.35">
      <c r="D38" s="9"/>
      <c r="E38" s="9"/>
      <c r="F38" s="36"/>
      <c r="G38" s="9"/>
      <c r="H38" s="9"/>
      <c r="I38" s="9"/>
    </row>
    <row r="39" spans="4:9" x14ac:dyDescent="0.35">
      <c r="D39" s="9"/>
      <c r="E39" s="9"/>
      <c r="F39" s="36"/>
      <c r="G39" s="9"/>
      <c r="H39" s="9"/>
      <c r="I39" s="9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9"/>
      <c r="E43" s="9"/>
      <c r="F43" s="36"/>
      <c r="G43" s="9"/>
      <c r="H43" s="9"/>
      <c r="I43" s="9"/>
    </row>
    <row r="44" spans="4:9" x14ac:dyDescent="0.35">
      <c r="D44" s="14"/>
      <c r="E44" s="9"/>
      <c r="F44" s="36"/>
      <c r="G44" s="9"/>
      <c r="H44" s="9"/>
      <c r="I44" s="9"/>
    </row>
    <row r="45" spans="4:9" x14ac:dyDescent="0.35">
      <c r="D45" s="9"/>
      <c r="E45" s="9"/>
      <c r="F45" s="36"/>
      <c r="G45" s="9"/>
      <c r="H45" s="9"/>
      <c r="I45" s="9"/>
    </row>
    <row r="47" spans="4:9" x14ac:dyDescent="0.35">
      <c r="D47" s="1"/>
      <c r="E47" s="1"/>
      <c r="F47" s="33"/>
      <c r="G47" s="1"/>
      <c r="H47" s="1"/>
      <c r="I47" s="1"/>
    </row>
    <row r="62" spans="4:9" x14ac:dyDescent="0.35">
      <c r="D62" s="9"/>
      <c r="E62" s="9"/>
      <c r="F62" s="36"/>
      <c r="G62" s="9"/>
      <c r="H62" s="9"/>
      <c r="I62" s="9"/>
    </row>
    <row r="63" spans="4:9" x14ac:dyDescent="0.35">
      <c r="D63" s="9"/>
      <c r="E63" s="9"/>
      <c r="F63" s="36"/>
      <c r="G63" s="9"/>
      <c r="H63" s="9"/>
      <c r="I63" s="9"/>
    </row>
    <row r="64" spans="4:9" x14ac:dyDescent="0.35">
      <c r="D64" s="9"/>
      <c r="E64" s="9"/>
      <c r="F64" s="36"/>
      <c r="G64" s="9"/>
      <c r="H64" s="9"/>
      <c r="I64" s="9"/>
    </row>
    <row r="65" spans="4:9" x14ac:dyDescent="0.35">
      <c r="D65" s="14"/>
      <c r="E65" s="9"/>
      <c r="F65" s="36"/>
      <c r="G65" s="9"/>
      <c r="H65" s="9"/>
      <c r="I65" s="9"/>
    </row>
    <row r="66" spans="4:9" x14ac:dyDescent="0.35">
      <c r="D66" s="9"/>
      <c r="E66" s="9"/>
      <c r="F66" s="36"/>
      <c r="G66" s="9"/>
      <c r="H66" s="9"/>
      <c r="I66" s="9"/>
    </row>
  </sheetData>
  <customSheetViews>
    <customSheetView guid="{744BB052-D863-41D2-951C-2AB325855A97}" scale="89" showPageBreaks="1" printArea="1">
      <selection activeCell="A5" sqref="A5:I5"/>
      <rowBreaks count="1" manualBreakCount="1">
        <brk id="34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I8" sqref="I8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I8" sqref="I8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I8" sqref="I8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E20" sqref="E20"/>
      <rowBreaks count="1" manualBreakCount="1">
        <brk id="34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2">
    <cfRule type="containsText" dxfId="5" priority="1" operator="containsText" text="No Post">
      <formula>NOT(ISERROR(SEARCH("No Post",L7)))</formula>
    </cfRule>
  </conditionalFormatting>
  <pageMargins left="0.17" right="0.17" top="0.75" bottom="0.75" header="0.3" footer="0.3"/>
  <pageSetup scale="64" orientation="landscape" r:id="rId6"/>
  <rowBreaks count="1" manualBreakCount="1">
    <brk id="34" min="3" max="10" man="1"/>
  </rowBreaks>
  <colBreaks count="1" manualBreakCount="1">
    <brk id="13" max="30" man="1"/>
  </colBreaks>
  <drawing r:id="rId7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5"/>
  <sheetViews>
    <sheetView zoomScale="99" zoomScaleNormal="100" zoomScaleSheetLayoutView="100" workbookViewId="0">
      <selection activeCell="C13" sqref="C13"/>
    </sheetView>
  </sheetViews>
  <sheetFormatPr defaultColWidth="9.109375" defaultRowHeight="18" x14ac:dyDescent="0.35"/>
  <cols>
    <col min="1" max="3" width="9.109375" style="4"/>
    <col min="4" max="4" width="14.33203125" style="4" customWidth="1"/>
    <col min="5" max="5" width="44.6640625" style="4" customWidth="1"/>
    <col min="6" max="6" width="14.88671875" style="39" customWidth="1"/>
    <col min="7" max="8" width="9.33203125" style="4" customWidth="1"/>
    <col min="9" max="9" width="10.44140625" style="4" customWidth="1"/>
    <col min="10" max="10" width="23.44140625" style="4" customWidth="1"/>
    <col min="11" max="11" width="23" style="4" customWidth="1"/>
    <col min="12" max="16384" width="9.109375" style="4"/>
  </cols>
  <sheetData>
    <row r="2" spans="1:12" x14ac:dyDescent="0.35">
      <c r="E2" s="18" t="s">
        <v>0</v>
      </c>
      <c r="F2" s="32"/>
      <c r="G2" s="5"/>
      <c r="H2" s="5"/>
    </row>
    <row r="4" spans="1:12" s="1" customFormat="1" thickBot="1" x14ac:dyDescent="0.4">
      <c r="F4" s="33"/>
    </row>
    <row r="5" spans="1:12" s="2" customFormat="1" ht="23.4" x14ac:dyDescent="0.45">
      <c r="A5" s="381" t="s">
        <v>15</v>
      </c>
      <c r="B5" s="382"/>
      <c r="C5" s="382"/>
      <c r="D5" s="383"/>
      <c r="E5" s="383"/>
      <c r="F5" s="383"/>
      <c r="G5" s="383"/>
      <c r="H5" s="383"/>
      <c r="I5" s="383"/>
      <c r="J5" s="27" t="s">
        <v>18</v>
      </c>
      <c r="K5" s="28" t="str">
        <f ca="1">CONCATENATE((MID(CELL("filename",K5),FIND("]",CELL("filename",K5))+1,255)),"/04/2026")</f>
        <v>26/04/2026</v>
      </c>
    </row>
    <row r="6" spans="1:12" x14ac:dyDescent="0.35">
      <c r="A6" s="45"/>
      <c r="B6" s="251"/>
      <c r="C6" s="251"/>
      <c r="D6" s="52" t="s">
        <v>1</v>
      </c>
      <c r="E6" s="52" t="s">
        <v>2</v>
      </c>
      <c r="F6" s="53" t="s">
        <v>21</v>
      </c>
      <c r="G6" s="52" t="s">
        <v>16</v>
      </c>
      <c r="H6" s="52" t="s">
        <v>17</v>
      </c>
      <c r="I6" s="52" t="s">
        <v>3</v>
      </c>
      <c r="J6" s="54" t="s">
        <v>20</v>
      </c>
      <c r="K6" s="55" t="s">
        <v>4</v>
      </c>
    </row>
    <row r="7" spans="1:12" x14ac:dyDescent="0.35">
      <c r="A7" s="54">
        <v>1</v>
      </c>
      <c r="B7" s="353"/>
      <c r="C7" s="353"/>
      <c r="D7" s="338">
        <v>883</v>
      </c>
      <c r="E7" s="339" t="s">
        <v>62</v>
      </c>
      <c r="F7" s="340">
        <v>46141</v>
      </c>
      <c r="G7" s="338">
        <v>2</v>
      </c>
      <c r="H7" s="338"/>
      <c r="I7" s="338" t="s">
        <v>67</v>
      </c>
      <c r="J7" s="348" t="s">
        <v>106</v>
      </c>
      <c r="K7" s="338" t="s">
        <v>44</v>
      </c>
      <c r="L7" s="79"/>
    </row>
    <row r="8" spans="1:12" x14ac:dyDescent="0.35">
      <c r="A8" s="54">
        <v>2</v>
      </c>
      <c r="B8" s="54"/>
      <c r="C8" s="54"/>
      <c r="D8" s="348">
        <v>104</v>
      </c>
      <c r="E8" s="339" t="s">
        <v>68</v>
      </c>
      <c r="F8" s="340">
        <v>46142</v>
      </c>
      <c r="G8" s="338">
        <v>2</v>
      </c>
      <c r="H8" s="338"/>
      <c r="I8" s="338"/>
      <c r="J8" s="348" t="s">
        <v>106</v>
      </c>
      <c r="K8" s="339" t="s">
        <v>50</v>
      </c>
      <c r="L8" s="79" t="str">
        <f>IF(OR(NOT(ISERROR(MATCH(RIGHT(D8,3)+0,#REF!,0))),NOT(ISERROR(MATCH(LEFT(D8,3)+0,#REF!,0)))),"No Post","")</f>
        <v/>
      </c>
    </row>
    <row r="9" spans="1:12" x14ac:dyDescent="0.35">
      <c r="A9" s="54">
        <v>3</v>
      </c>
      <c r="B9" s="353"/>
      <c r="C9" s="353"/>
      <c r="D9" s="348" t="s">
        <v>586</v>
      </c>
      <c r="E9" s="345" t="s">
        <v>146</v>
      </c>
      <c r="F9" s="341">
        <v>46140</v>
      </c>
      <c r="G9" s="342">
        <v>2</v>
      </c>
      <c r="H9" s="342"/>
      <c r="I9" s="342"/>
      <c r="J9" s="349" t="s">
        <v>106</v>
      </c>
      <c r="K9" s="338" t="s">
        <v>44</v>
      </c>
      <c r="L9" s="79" t="str">
        <f>IF(OR(NOT(ISERROR(MATCH(RIGHT(#REF!,3)+0,#REF!,0))),NOT(ISERROR(MATCH(LEFT(#REF!,3)+0,#REF!,0)))),"No Post","")</f>
        <v/>
      </c>
    </row>
    <row r="10" spans="1:12" x14ac:dyDescent="0.35">
      <c r="A10" s="54">
        <v>4</v>
      </c>
      <c r="B10" s="353"/>
      <c r="C10" s="353"/>
      <c r="D10" s="348">
        <v>673</v>
      </c>
      <c r="E10" s="345" t="s">
        <v>180</v>
      </c>
      <c r="F10" s="343">
        <v>46142</v>
      </c>
      <c r="G10" s="344">
        <v>2</v>
      </c>
      <c r="H10" s="344"/>
      <c r="I10" s="344"/>
      <c r="J10" s="349" t="s">
        <v>106</v>
      </c>
      <c r="K10" s="338" t="s">
        <v>44</v>
      </c>
      <c r="L10" s="79" t="str">
        <f>IF(OR(NOT(ISERROR(MATCH(RIGHT(D10,3)+0,#REF!,0))),NOT(ISERROR(MATCH(LEFT(D10,3)+0,#REF!,0)))),"No Post","")</f>
        <v/>
      </c>
    </row>
    <row r="11" spans="1:12" x14ac:dyDescent="0.35">
      <c r="A11" s="54">
        <v>5</v>
      </c>
      <c r="B11" s="54"/>
      <c r="C11" s="54"/>
      <c r="D11" s="344">
        <v>848</v>
      </c>
      <c r="E11" s="346" t="s">
        <v>376</v>
      </c>
      <c r="F11" s="343">
        <v>46145</v>
      </c>
      <c r="G11" s="344">
        <v>2</v>
      </c>
      <c r="H11" s="344"/>
      <c r="I11" s="344"/>
      <c r="J11" s="352" t="s">
        <v>124</v>
      </c>
      <c r="K11" s="344" t="s">
        <v>355</v>
      </c>
      <c r="L11" s="79" t="s">
        <v>273</v>
      </c>
    </row>
    <row r="12" spans="1:12" x14ac:dyDescent="0.35">
      <c r="A12" s="54">
        <v>6</v>
      </c>
      <c r="B12" s="353"/>
      <c r="C12" s="353"/>
      <c r="D12" s="351">
        <v>679</v>
      </c>
      <c r="E12" s="344" t="s">
        <v>569</v>
      </c>
      <c r="F12" s="343">
        <v>46141</v>
      </c>
      <c r="G12" s="344">
        <v>2</v>
      </c>
      <c r="H12" s="344"/>
      <c r="I12" s="344"/>
      <c r="J12" s="351" t="s">
        <v>124</v>
      </c>
      <c r="K12" s="344" t="s">
        <v>135</v>
      </c>
      <c r="L12" s="79" t="s">
        <v>273</v>
      </c>
    </row>
    <row r="13" spans="1:12" x14ac:dyDescent="0.35">
      <c r="A13" s="54">
        <v>7</v>
      </c>
      <c r="B13" s="353"/>
      <c r="C13" s="353"/>
      <c r="D13" s="351">
        <v>878</v>
      </c>
      <c r="E13" s="344" t="s">
        <v>570</v>
      </c>
      <c r="F13" s="343">
        <v>46140</v>
      </c>
      <c r="G13" s="344">
        <v>2</v>
      </c>
      <c r="H13" s="344"/>
      <c r="I13" s="344"/>
      <c r="J13" s="350" t="s">
        <v>106</v>
      </c>
      <c r="K13" s="344" t="s">
        <v>562</v>
      </c>
      <c r="L13" s="79" t="str">
        <f>IF(OR(NOT(ISERROR(MATCH(RIGHT(D13,3)+0,#REF!,0))),NOT(ISERROR(MATCH(LEFT(D13,3)+0,#REF!,0)))),"No Post","")</f>
        <v/>
      </c>
    </row>
    <row r="14" spans="1:12" x14ac:dyDescent="0.35">
      <c r="A14" s="54">
        <v>8</v>
      </c>
      <c r="B14" s="353"/>
      <c r="C14" s="353"/>
      <c r="D14" s="97">
        <v>890</v>
      </c>
      <c r="E14" s="46" t="s">
        <v>576</v>
      </c>
      <c r="F14" s="48">
        <v>46142</v>
      </c>
      <c r="G14" s="46">
        <v>2</v>
      </c>
      <c r="H14" s="46"/>
      <c r="I14" s="46"/>
      <c r="J14" s="100" t="s">
        <v>132</v>
      </c>
      <c r="K14" s="46" t="s">
        <v>510</v>
      </c>
      <c r="L14" s="79" t="str">
        <f>IF(OR(NOT(ISERROR(MATCH(RIGHT(D14,3)+0,#REF!,0))),NOT(ISERROR(MATCH(LEFT(D14,3)+0,#REF!,0)))),"No Post","")</f>
        <v/>
      </c>
    </row>
    <row r="15" spans="1:12" x14ac:dyDescent="0.35">
      <c r="A15" s="54">
        <v>9</v>
      </c>
      <c r="B15" s="54"/>
      <c r="C15" s="54"/>
      <c r="D15" s="98">
        <v>856</v>
      </c>
      <c r="E15" s="46" t="s">
        <v>577</v>
      </c>
      <c r="F15" s="48">
        <v>46139</v>
      </c>
      <c r="G15" s="46">
        <v>2</v>
      </c>
      <c r="H15" s="46"/>
      <c r="I15" s="46"/>
      <c r="J15" s="97" t="s">
        <v>124</v>
      </c>
      <c r="K15" s="46" t="s">
        <v>135</v>
      </c>
      <c r="L15" s="79" t="s">
        <v>273</v>
      </c>
    </row>
    <row r="16" spans="1:12" x14ac:dyDescent="0.35">
      <c r="A16" s="54">
        <v>10</v>
      </c>
      <c r="B16" s="353"/>
      <c r="C16" s="353"/>
      <c r="D16" s="98">
        <v>304</v>
      </c>
      <c r="E16" s="46" t="s">
        <v>578</v>
      </c>
      <c r="F16" s="48">
        <v>46142</v>
      </c>
      <c r="G16" s="46">
        <v>2</v>
      </c>
      <c r="H16" s="46"/>
      <c r="I16" s="46"/>
      <c r="J16" s="98" t="s">
        <v>106</v>
      </c>
      <c r="K16" s="46" t="s">
        <v>108</v>
      </c>
      <c r="L16" s="79" t="str">
        <f>IF(OR(NOT(ISERROR(MATCH(RIGHT(D16,3)+0,#REF!,0))),NOT(ISERROR(MATCH(LEFT(D16,3)+0,#REF!,0)))),"No Post","")</f>
        <v/>
      </c>
    </row>
    <row r="17" spans="1:12" ht="18.600000000000001" customHeight="1" x14ac:dyDescent="0.35">
      <c r="A17" s="54">
        <v>11</v>
      </c>
      <c r="B17" s="353"/>
      <c r="C17" s="353"/>
      <c r="D17" s="100">
        <v>322</v>
      </c>
      <c r="E17" s="46" t="s">
        <v>579</v>
      </c>
      <c r="F17" s="48">
        <v>46139</v>
      </c>
      <c r="G17" s="46">
        <v>2</v>
      </c>
      <c r="H17" s="46"/>
      <c r="I17" s="46"/>
      <c r="J17" s="98" t="s">
        <v>106</v>
      </c>
      <c r="K17" s="46" t="s">
        <v>309</v>
      </c>
      <c r="L17" s="79" t="str">
        <f>IF(OR(NOT(ISERROR(MATCH(RIGHT(D17,3)+0,#REF!,0))),NOT(ISERROR(MATCH(LEFT(D17,3)+0,#REF!,0)))),"No Post","")</f>
        <v/>
      </c>
    </row>
    <row r="18" spans="1:12" ht="18.600000000000001" customHeight="1" x14ac:dyDescent="0.35">
      <c r="A18" s="54">
        <v>12</v>
      </c>
      <c r="B18" s="54"/>
      <c r="C18" s="54"/>
      <c r="D18" s="46"/>
      <c r="E18" s="47"/>
      <c r="F18" s="48"/>
      <c r="G18" s="46"/>
      <c r="H18" s="46"/>
      <c r="I18" s="46"/>
      <c r="J18" s="47"/>
      <c r="K18" s="47"/>
      <c r="L18" s="79" t="str">
        <f>IF(OR(NOT(ISERROR(MATCH(RIGHT(D18,3)+0,#REF!,0))),NOT(ISERROR(MATCH(LEFT(D18,3)+0,#REF!,0)))),"No Post","")</f>
        <v/>
      </c>
    </row>
    <row r="19" spans="1:12" ht="18.600000000000001" customHeight="1" x14ac:dyDescent="0.35">
      <c r="A19" s="54">
        <v>13</v>
      </c>
      <c r="B19" s="54"/>
      <c r="C19" s="54"/>
      <c r="D19" s="46"/>
      <c r="E19" s="47"/>
      <c r="F19" s="48"/>
      <c r="G19" s="46"/>
      <c r="H19" s="46"/>
      <c r="I19" s="46"/>
      <c r="J19" s="47"/>
      <c r="K19" s="47"/>
      <c r="L19" s="79" t="str">
        <f>IF(OR(NOT(ISERROR(MATCH(RIGHT(D19,3)+0,#REF!,0))),NOT(ISERROR(MATCH(LEFT(D19,3)+0,#REF!,0)))),"No Post","")</f>
        <v/>
      </c>
    </row>
    <row r="20" spans="1:12" ht="18.600000000000001" customHeight="1" x14ac:dyDescent="0.35">
      <c r="A20" s="54">
        <v>14</v>
      </c>
      <c r="B20" s="54"/>
      <c r="C20" s="54"/>
      <c r="D20" s="46"/>
      <c r="E20" s="47"/>
      <c r="F20" s="48"/>
      <c r="G20" s="46"/>
      <c r="H20" s="46"/>
      <c r="I20" s="46"/>
      <c r="J20" s="47"/>
      <c r="K20" s="47"/>
      <c r="L20" s="79" t="str">
        <f>IF(OR(NOT(ISERROR(MATCH(RIGHT(D20,3)+0,#REF!,0))),NOT(ISERROR(MATCH(LEFT(D20,3)+0,#REF!,0)))),"No Post","")</f>
        <v/>
      </c>
    </row>
    <row r="21" spans="1:12" ht="18.600000000000001" customHeight="1" x14ac:dyDescent="0.35">
      <c r="A21" s="54">
        <v>15</v>
      </c>
      <c r="B21" s="54"/>
      <c r="C21" s="54"/>
      <c r="D21" s="46"/>
      <c r="E21" s="47"/>
      <c r="F21" s="48"/>
      <c r="G21" s="46"/>
      <c r="H21" s="46"/>
      <c r="I21" s="46"/>
      <c r="J21" s="47"/>
      <c r="K21" s="47"/>
      <c r="L21" s="79" t="str">
        <f>IF(OR(NOT(ISERROR(MATCH(RIGHT(D21,3)+0,#REF!,0))),NOT(ISERROR(MATCH(LEFT(D21,3)+0,#REF!,0)))),"No Post","")</f>
        <v/>
      </c>
    </row>
    <row r="22" spans="1:12" ht="20.25" customHeight="1" x14ac:dyDescent="0.35">
      <c r="A22" s="49"/>
      <c r="B22" s="49"/>
      <c r="C22" s="49"/>
      <c r="D22" s="49"/>
      <c r="E22" s="49" t="str">
        <f>"Remaning: "&amp;IFERROR(MID(A5, SEARCH("MAX", A5) + LEN("MAX"), SEARCH("PAX", A5) - SEARCH("MAX", A5) - LEN("MAX")), "")+0-SUM(G22:H22)</f>
        <v>Remaning: -2</v>
      </c>
      <c r="F22" s="50" t="s">
        <v>19</v>
      </c>
      <c r="G22" s="51">
        <f>SUM(G7:G21)</f>
        <v>22</v>
      </c>
      <c r="H22" s="51">
        <f>SUM(H7:H21)</f>
        <v>0</v>
      </c>
      <c r="I22" s="49"/>
      <c r="J22" s="49"/>
      <c r="K22" s="49"/>
    </row>
    <row r="23" spans="1:12" ht="20.25" customHeight="1" x14ac:dyDescent="0.35">
      <c r="D23" s="8" t="s">
        <v>5</v>
      </c>
      <c r="E23" s="8"/>
      <c r="F23" s="35"/>
      <c r="G23" s="8"/>
      <c r="H23" s="8"/>
      <c r="I23" s="8"/>
    </row>
    <row r="24" spans="1:12" ht="20.25" customHeight="1" x14ac:dyDescent="0.35">
      <c r="D24" s="15" t="s">
        <v>6</v>
      </c>
      <c r="E24" s="9"/>
      <c r="F24" s="36"/>
      <c r="G24" s="9"/>
      <c r="H24" s="9"/>
      <c r="I24" s="9"/>
    </row>
    <row r="25" spans="1:12" ht="20.25" customHeight="1" x14ac:dyDescent="0.35">
      <c r="D25" s="15" t="s">
        <v>7</v>
      </c>
      <c r="E25" s="9"/>
      <c r="F25" s="36"/>
      <c r="G25" s="9"/>
      <c r="H25" s="9"/>
      <c r="I25" s="9"/>
    </row>
    <row r="26" spans="1:12" ht="20.25" customHeight="1" x14ac:dyDescent="0.35">
      <c r="D26" s="15" t="s">
        <v>8</v>
      </c>
      <c r="E26" s="9"/>
      <c r="F26" s="36"/>
      <c r="G26" s="9"/>
      <c r="H26" s="9"/>
      <c r="I26" s="9"/>
    </row>
    <row r="27" spans="1:12" x14ac:dyDescent="0.35">
      <c r="D27" s="15" t="s">
        <v>9</v>
      </c>
      <c r="E27" s="9"/>
      <c r="F27" s="36"/>
      <c r="G27" s="9"/>
      <c r="H27" s="9"/>
      <c r="I27" s="9"/>
    </row>
    <row r="28" spans="1:12" x14ac:dyDescent="0.35">
      <c r="D28" s="15" t="s">
        <v>10</v>
      </c>
      <c r="E28" s="9"/>
      <c r="F28" s="36"/>
      <c r="G28" s="9"/>
      <c r="H28" s="9"/>
      <c r="I28" s="9"/>
    </row>
    <row r="29" spans="1:12" x14ac:dyDescent="0.35">
      <c r="D29" s="15" t="s">
        <v>11</v>
      </c>
      <c r="E29" s="9"/>
      <c r="F29" s="36"/>
      <c r="G29" s="9"/>
      <c r="H29" s="9"/>
      <c r="I29" s="9"/>
    </row>
    <row r="30" spans="1:12" s="11" customFormat="1" ht="15.6" x14ac:dyDescent="0.3">
      <c r="D30" s="16" t="s">
        <v>12</v>
      </c>
      <c r="E30" s="10"/>
      <c r="F30" s="37"/>
      <c r="G30" s="10"/>
      <c r="H30" s="10"/>
    </row>
    <row r="31" spans="1:12" s="11" customFormat="1" ht="15.6" x14ac:dyDescent="0.3">
      <c r="D31" s="16" t="s">
        <v>13</v>
      </c>
      <c r="E31" s="10"/>
      <c r="F31" s="37"/>
      <c r="G31" s="10"/>
      <c r="H31" s="10"/>
    </row>
    <row r="32" spans="1:12" s="13" customFormat="1" ht="20.25" customHeight="1" x14ac:dyDescent="0.35">
      <c r="D32" s="17" t="s">
        <v>14</v>
      </c>
      <c r="E32" s="12"/>
      <c r="F32" s="38"/>
    </row>
    <row r="33" spans="4:9" s="8" customFormat="1" ht="14.4" x14ac:dyDescent="0.3">
      <c r="D33" s="14"/>
      <c r="E33" s="9"/>
      <c r="F33" s="36"/>
      <c r="G33" s="9"/>
      <c r="H33" s="9"/>
      <c r="I33" s="9"/>
    </row>
    <row r="34" spans="4:9" s="9" customFormat="1" ht="13.8" x14ac:dyDescent="0.3">
      <c r="F34" s="36"/>
    </row>
    <row r="35" spans="4:9" x14ac:dyDescent="0.35">
      <c r="D35" s="9"/>
      <c r="E35" s="9"/>
      <c r="F35" s="36"/>
      <c r="G35" s="9"/>
      <c r="H35" s="9"/>
      <c r="I35" s="9"/>
    </row>
    <row r="36" spans="4:9" x14ac:dyDescent="0.35">
      <c r="D36" s="8"/>
      <c r="E36" s="8"/>
      <c r="F36" s="35"/>
      <c r="G36" s="8"/>
      <c r="H36" s="8"/>
      <c r="I36" s="8"/>
    </row>
    <row r="37" spans="4:9" x14ac:dyDescent="0.35">
      <c r="D37" s="9"/>
      <c r="E37" s="9"/>
      <c r="F37" s="36"/>
      <c r="G37" s="9"/>
      <c r="H37" s="9"/>
      <c r="I37" s="9"/>
    </row>
    <row r="38" spans="4:9" x14ac:dyDescent="0.35">
      <c r="D38" s="9"/>
      <c r="E38" s="9"/>
      <c r="F38" s="36"/>
      <c r="G38" s="9"/>
      <c r="H38" s="9"/>
      <c r="I38" s="9"/>
    </row>
    <row r="39" spans="4:9" x14ac:dyDescent="0.35">
      <c r="D39" s="9"/>
      <c r="E39" s="9"/>
      <c r="F39" s="36"/>
      <c r="G39" s="9"/>
      <c r="H39" s="9"/>
      <c r="I39" s="9"/>
    </row>
    <row r="40" spans="4:9" x14ac:dyDescent="0.35">
      <c r="D40" s="9"/>
      <c r="E40" s="9"/>
      <c r="F40" s="36"/>
      <c r="G40" s="9"/>
      <c r="H40" s="9"/>
      <c r="I40" s="9"/>
    </row>
    <row r="41" spans="4:9" x14ac:dyDescent="0.35">
      <c r="D41" s="9"/>
      <c r="E41" s="9"/>
      <c r="F41" s="36"/>
      <c r="G41" s="9"/>
      <c r="H41" s="9"/>
      <c r="I41" s="9"/>
    </row>
    <row r="42" spans="4:9" x14ac:dyDescent="0.35">
      <c r="D42" s="9"/>
      <c r="E42" s="9"/>
      <c r="F42" s="36"/>
      <c r="G42" s="9"/>
      <c r="H42" s="9"/>
      <c r="I42" s="9"/>
    </row>
    <row r="43" spans="4:9" x14ac:dyDescent="0.35">
      <c r="D43" s="14"/>
      <c r="E43" s="9"/>
      <c r="F43" s="36"/>
      <c r="G43" s="9"/>
      <c r="H43" s="9"/>
      <c r="I43" s="9"/>
    </row>
    <row r="44" spans="4:9" x14ac:dyDescent="0.35">
      <c r="D44" s="9"/>
      <c r="E44" s="9"/>
      <c r="F44" s="36"/>
      <c r="G44" s="9"/>
      <c r="H44" s="9"/>
      <c r="I44" s="9"/>
    </row>
    <row r="46" spans="4:9" x14ac:dyDescent="0.35">
      <c r="D46" s="1"/>
      <c r="E46" s="1"/>
      <c r="F46" s="33"/>
      <c r="G46" s="1"/>
      <c r="H46" s="1"/>
      <c r="I46" s="1"/>
    </row>
    <row r="61" spans="4:9" x14ac:dyDescent="0.35">
      <c r="D61" s="9"/>
      <c r="E61" s="9"/>
      <c r="F61" s="36"/>
      <c r="G61" s="9"/>
      <c r="H61" s="9"/>
      <c r="I61" s="9"/>
    </row>
    <row r="62" spans="4:9" x14ac:dyDescent="0.35">
      <c r="D62" s="9"/>
      <c r="E62" s="9"/>
      <c r="F62" s="36"/>
      <c r="G62" s="9"/>
      <c r="H62" s="9"/>
      <c r="I62" s="9"/>
    </row>
    <row r="63" spans="4:9" x14ac:dyDescent="0.35">
      <c r="D63" s="9"/>
      <c r="E63" s="9"/>
      <c r="F63" s="36"/>
      <c r="G63" s="9"/>
      <c r="H63" s="9"/>
      <c r="I63" s="9"/>
    </row>
    <row r="64" spans="4:9" x14ac:dyDescent="0.35">
      <c r="D64" s="14"/>
      <c r="E64" s="9"/>
      <c r="F64" s="36"/>
      <c r="G64" s="9"/>
      <c r="H64" s="9"/>
      <c r="I64" s="9"/>
    </row>
    <row r="65" spans="4:9" x14ac:dyDescent="0.35">
      <c r="D65" s="9"/>
      <c r="E65" s="9"/>
      <c r="F65" s="36"/>
      <c r="G65" s="9"/>
      <c r="H65" s="9"/>
      <c r="I65" s="9"/>
    </row>
  </sheetData>
  <customSheetViews>
    <customSheetView guid="{744BB052-D863-41D2-951C-2AB325855A97}" scale="99" showPageBreaks="1" fitToPage="1" printArea="1">
      <selection activeCell="C13" sqref="C13"/>
      <rowBreaks count="1" manualBreakCount="1">
        <brk id="33" min="3" max="10" man="1"/>
      </rowBreaks>
      <colBreaks count="1" manualBreakCount="1">
        <brk id="13" max="30" man="1"/>
      </colBreaks>
      <pageMargins left="0.17" right="0.17" top="0.75" bottom="0.75" header="0.3" footer="0.3"/>
      <pageSetup scale="73" orientation="landscape" r:id="rId1"/>
    </customSheetView>
    <customSheetView guid="{E646B2A6-D876-4850-BD6A-9EDE7D7D90A5}">
      <selection activeCell="C12" sqref="C12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E10" sqref="E10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C15" sqref="C15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 topLeftCell="A4">
      <selection activeCell="B1" sqref="B1:B1048576"/>
      <rowBreaks count="1" manualBreakCount="1">
        <brk id="33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I5"/>
  </mergeCells>
  <conditionalFormatting sqref="L7:L21">
    <cfRule type="containsText" dxfId="4" priority="1" operator="containsText" text="No Post">
      <formula>NOT(ISERROR(SEARCH("No Post",L7)))</formula>
    </cfRule>
  </conditionalFormatting>
  <pageMargins left="0.17" right="0.17" top="0.75" bottom="0.75" header="0.3" footer="0.3"/>
  <pageSetup scale="73" orientation="landscape" r:id="rId6"/>
  <rowBreaks count="1" manualBreakCount="1">
    <brk id="33" min="3" max="10" man="1"/>
  </rowBreaks>
  <colBreaks count="1" manualBreakCount="1">
    <brk id="13" max="30" man="1"/>
  </colBreaks>
  <drawing r:id="rId7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3"/>
  <sheetViews>
    <sheetView topLeftCell="A2" zoomScaleNormal="100" zoomScaleSheetLayoutView="100" workbookViewId="0">
      <selection activeCell="H14" sqref="H14"/>
    </sheetView>
  </sheetViews>
  <sheetFormatPr defaultColWidth="9.109375" defaultRowHeight="18" x14ac:dyDescent="0.35"/>
  <cols>
    <col min="1" max="2" width="9.109375" style="4"/>
    <col min="3" max="3" width="14.33203125" style="4" customWidth="1"/>
    <col min="4" max="4" width="44.6640625" style="4" customWidth="1"/>
    <col min="5" max="5" width="14.33203125" style="39" customWidth="1"/>
    <col min="6" max="7" width="9.33203125" style="4" customWidth="1"/>
    <col min="8" max="8" width="10.44140625" style="4" customWidth="1"/>
    <col min="9" max="9" width="23.44140625" style="4" customWidth="1"/>
    <col min="10" max="10" width="23" style="4" customWidth="1"/>
    <col min="11" max="16384" width="9.109375" style="4"/>
  </cols>
  <sheetData>
    <row r="2" spans="1:11" x14ac:dyDescent="0.35">
      <c r="D2" s="18" t="s">
        <v>0</v>
      </c>
      <c r="E2" s="32"/>
      <c r="F2" s="5"/>
      <c r="G2" s="5"/>
    </row>
    <row r="4" spans="1:11" s="1" customFormat="1" thickBot="1" x14ac:dyDescent="0.4">
      <c r="E4" s="33"/>
    </row>
    <row r="5" spans="1:11" s="2" customFormat="1" ht="23.4" x14ac:dyDescent="0.45">
      <c r="A5" s="381" t="s">
        <v>15</v>
      </c>
      <c r="B5" s="382"/>
      <c r="C5" s="383"/>
      <c r="D5" s="383"/>
      <c r="E5" s="383"/>
      <c r="F5" s="383"/>
      <c r="G5" s="383"/>
      <c r="H5" s="383"/>
      <c r="I5" s="27" t="s">
        <v>18</v>
      </c>
      <c r="J5" s="28" t="str">
        <f ca="1">CONCATENATE((MID(CELL("filename",J5),FIND("]",CELL("filename",J5))+1,255)),"/04/2026")</f>
        <v>27/04/2026</v>
      </c>
    </row>
    <row r="6" spans="1:11" x14ac:dyDescent="0.35">
      <c r="A6" s="45"/>
      <c r="B6" s="251"/>
      <c r="C6" s="52" t="s">
        <v>1</v>
      </c>
      <c r="D6" s="52" t="s">
        <v>2</v>
      </c>
      <c r="E6" s="53" t="s">
        <v>21</v>
      </c>
      <c r="F6" s="52" t="s">
        <v>16</v>
      </c>
      <c r="G6" s="52" t="s">
        <v>17</v>
      </c>
      <c r="H6" s="52" t="s">
        <v>3</v>
      </c>
      <c r="I6" s="54" t="s">
        <v>20</v>
      </c>
      <c r="J6" s="55" t="s">
        <v>4</v>
      </c>
    </row>
    <row r="7" spans="1:11" x14ac:dyDescent="0.35">
      <c r="A7" s="54">
        <v>1</v>
      </c>
      <c r="B7" s="354"/>
      <c r="C7" s="130">
        <v>683</v>
      </c>
      <c r="D7" s="54" t="s">
        <v>91</v>
      </c>
      <c r="E7" s="62">
        <v>46142</v>
      </c>
      <c r="F7" s="54">
        <v>1</v>
      </c>
      <c r="G7" s="54">
        <v>1</v>
      </c>
      <c r="H7" s="54"/>
      <c r="I7" s="130" t="s">
        <v>170</v>
      </c>
      <c r="J7" s="54" t="s">
        <v>24</v>
      </c>
      <c r="K7" s="79" t="str">
        <f>IF(OR(NOT(ISERROR(MATCH(RIGHT(C7,3)+0,#REF!,0))),NOT(ISERROR(MATCH(LEFT(C7,3)+0,#REF!,0)))),"No Post","")</f>
        <v/>
      </c>
    </row>
    <row r="8" spans="1:11" x14ac:dyDescent="0.35">
      <c r="A8" s="54">
        <v>2</v>
      </c>
      <c r="B8" s="54"/>
      <c r="C8" s="130">
        <v>126</v>
      </c>
      <c r="D8" s="54" t="s">
        <v>97</v>
      </c>
      <c r="E8" s="62">
        <v>46142</v>
      </c>
      <c r="F8" s="54">
        <v>2</v>
      </c>
      <c r="G8" s="54"/>
      <c r="H8" s="54"/>
      <c r="I8" s="130" t="s">
        <v>170</v>
      </c>
      <c r="J8" s="54" t="s">
        <v>24</v>
      </c>
      <c r="K8" s="79" t="str">
        <f>IF(OR(NOT(ISERROR(MATCH(RIGHT(C8,3)+0,#REF!,0))),NOT(ISERROR(MATCH(LEFT(C8,3)+0,#REF!,0)))),"No Post","")</f>
        <v/>
      </c>
    </row>
    <row r="9" spans="1:11" x14ac:dyDescent="0.35">
      <c r="A9" s="54">
        <v>3</v>
      </c>
      <c r="B9" s="354"/>
      <c r="C9" s="130" t="s">
        <v>589</v>
      </c>
      <c r="D9" s="54" t="s">
        <v>554</v>
      </c>
      <c r="E9" s="62">
        <v>46138</v>
      </c>
      <c r="F9" s="54">
        <v>2</v>
      </c>
      <c r="G9" s="54"/>
      <c r="H9" s="54"/>
      <c r="I9" s="130" t="s">
        <v>170</v>
      </c>
      <c r="J9" s="54" t="s">
        <v>455</v>
      </c>
      <c r="K9" s="79" t="str">
        <f>IF(OR(NOT(ISERROR(MATCH(RIGHT(C9,3)+0,#REF!,0))),NOT(ISERROR(MATCH(LEFT(C9,3)+0,#REF!,0)))),"No Post","")</f>
        <v/>
      </c>
    </row>
    <row r="10" spans="1:11" x14ac:dyDescent="0.35">
      <c r="A10" s="54">
        <v>4</v>
      </c>
      <c r="B10" s="354"/>
      <c r="C10" s="130">
        <v>108</v>
      </c>
      <c r="D10" s="54" t="s">
        <v>585</v>
      </c>
      <c r="E10" s="62">
        <v>46142</v>
      </c>
      <c r="F10" s="54">
        <v>2</v>
      </c>
      <c r="G10" s="54"/>
      <c r="H10" s="54"/>
      <c r="I10" s="130" t="s">
        <v>170</v>
      </c>
      <c r="J10" s="54" t="s">
        <v>406</v>
      </c>
      <c r="K10" s="79" t="str">
        <f>IF(OR(NOT(ISERROR(MATCH(RIGHT(C10,3)+0,#REF!,0))),NOT(ISERROR(MATCH(LEFT(C10,3)+0,#REF!,0)))),"No Post","")</f>
        <v/>
      </c>
    </row>
    <row r="11" spans="1:11" x14ac:dyDescent="0.35">
      <c r="A11" s="54">
        <v>5</v>
      </c>
      <c r="B11" s="354"/>
      <c r="C11" s="130">
        <v>100</v>
      </c>
      <c r="D11" s="54" t="s">
        <v>580</v>
      </c>
      <c r="E11" s="62">
        <v>46142</v>
      </c>
      <c r="F11" s="54">
        <v>2</v>
      </c>
      <c r="G11" s="54">
        <v>1</v>
      </c>
      <c r="H11" s="54"/>
      <c r="I11" s="130" t="s">
        <v>170</v>
      </c>
      <c r="J11" s="54" t="s">
        <v>406</v>
      </c>
      <c r="K11" s="79" t="str">
        <f>IF(OR(NOT(ISERROR(MATCH(RIGHT(C11,3)+0,#REF!,0))),NOT(ISERROR(MATCH(LEFT(C11,3)+0,#REF!,0)))),"No Post","")</f>
        <v/>
      </c>
    </row>
    <row r="12" spans="1:11" x14ac:dyDescent="0.35">
      <c r="A12" s="54">
        <v>6</v>
      </c>
      <c r="B12" s="354"/>
      <c r="C12" s="130">
        <v>102</v>
      </c>
      <c r="D12" s="54" t="s">
        <v>581</v>
      </c>
      <c r="E12" s="62">
        <v>46142</v>
      </c>
      <c r="F12" s="54">
        <v>2</v>
      </c>
      <c r="G12" s="54"/>
      <c r="H12" s="54"/>
      <c r="I12" s="130" t="s">
        <v>170</v>
      </c>
      <c r="J12" s="54" t="s">
        <v>406</v>
      </c>
      <c r="K12" s="79" t="str">
        <f>IF(OR(NOT(ISERROR(MATCH(RIGHT(C12,3)+0,#REF!,0))),NOT(ISERROR(MATCH(LEFT(C12,3)+0,#REF!,0)))),"No Post","")</f>
        <v/>
      </c>
    </row>
    <row r="13" spans="1:11" x14ac:dyDescent="0.35">
      <c r="A13" s="54">
        <v>7</v>
      </c>
      <c r="B13" s="354"/>
      <c r="C13" s="130">
        <v>103</v>
      </c>
      <c r="D13" s="54" t="s">
        <v>582</v>
      </c>
      <c r="E13" s="62">
        <v>46142</v>
      </c>
      <c r="F13" s="54">
        <v>2</v>
      </c>
      <c r="G13" s="54">
        <v>1</v>
      </c>
      <c r="H13" s="54"/>
      <c r="I13" s="130" t="s">
        <v>170</v>
      </c>
      <c r="J13" s="54" t="s">
        <v>406</v>
      </c>
      <c r="K13" s="79" t="str">
        <f>IF(OR(NOT(ISERROR(MATCH(RIGHT(C13,3)+0,#REF!,0))),NOT(ISERROR(MATCH(LEFT(C13,3)+0,#REF!,0)))),"No Post","")</f>
        <v/>
      </c>
    </row>
    <row r="14" spans="1:11" x14ac:dyDescent="0.35">
      <c r="A14" s="54">
        <v>8</v>
      </c>
      <c r="B14" s="354"/>
      <c r="C14" s="130">
        <v>105</v>
      </c>
      <c r="D14" s="54" t="s">
        <v>583</v>
      </c>
      <c r="E14" s="62">
        <v>46142</v>
      </c>
      <c r="F14" s="54">
        <v>3</v>
      </c>
      <c r="G14" s="54"/>
      <c r="H14" s="54"/>
      <c r="I14" s="130" t="s">
        <v>170</v>
      </c>
      <c r="J14" s="54" t="s">
        <v>406</v>
      </c>
      <c r="K14" s="79" t="str">
        <f>IF(OR(NOT(ISERROR(MATCH(RIGHT(C14,3)+0,#REF!,0))),NOT(ISERROR(MATCH(LEFT(C14,3)+0,#REF!,0)))),"No Post","")</f>
        <v/>
      </c>
    </row>
    <row r="15" spans="1:11" x14ac:dyDescent="0.35">
      <c r="A15" s="54">
        <v>9</v>
      </c>
      <c r="B15" s="354"/>
      <c r="C15" s="130">
        <v>110</v>
      </c>
      <c r="D15" s="54" t="s">
        <v>584</v>
      </c>
      <c r="E15" s="62">
        <v>46142</v>
      </c>
      <c r="F15" s="54">
        <v>2</v>
      </c>
      <c r="G15" s="54">
        <v>1</v>
      </c>
      <c r="H15" s="54"/>
      <c r="I15" s="130" t="s">
        <v>170</v>
      </c>
      <c r="J15" s="54" t="s">
        <v>406</v>
      </c>
      <c r="K15" s="79" t="str">
        <f>IF(OR(NOT(ISERROR(MATCH(RIGHT(C15,3)+0,#REF!,0))),NOT(ISERROR(MATCH(LEFT(C15,3)+0,#REF!,0)))),"No Post","")</f>
        <v/>
      </c>
    </row>
    <row r="16" spans="1:11" x14ac:dyDescent="0.35">
      <c r="A16" s="54">
        <v>10</v>
      </c>
      <c r="B16" s="54"/>
      <c r="C16" s="54"/>
      <c r="D16" s="54"/>
      <c r="E16" s="62"/>
      <c r="F16" s="54"/>
      <c r="G16" s="54"/>
      <c r="H16" s="54"/>
      <c r="I16" s="54"/>
      <c r="J16" s="54"/>
      <c r="K16" s="79" t="str">
        <f>IF(OR(NOT(ISERROR(MATCH(RIGHT(C16,3)+0,#REF!,0))),NOT(ISERROR(MATCH(LEFT(C16,3)+0,#REF!,0)))),"No Post","")</f>
        <v/>
      </c>
    </row>
    <row r="17" spans="1:11" ht="18.600000000000001" customHeight="1" x14ac:dyDescent="0.35">
      <c r="A17" s="54">
        <v>11</v>
      </c>
      <c r="B17" s="54"/>
      <c r="C17" s="46"/>
      <c r="D17" s="47"/>
      <c r="E17" s="48"/>
      <c r="F17" s="46"/>
      <c r="G17" s="46"/>
      <c r="H17" s="46"/>
      <c r="I17" s="47"/>
      <c r="J17" s="47"/>
      <c r="K17" s="79" t="str">
        <f>IF(OR(NOT(ISERROR(MATCH(RIGHT(C17,3)+0,#REF!,0))),NOT(ISERROR(MATCH(LEFT(C17,3)+0,#REF!,0)))),"No Post","")</f>
        <v/>
      </c>
    </row>
    <row r="18" spans="1:11" ht="18.600000000000001" customHeight="1" x14ac:dyDescent="0.35">
      <c r="A18" s="54">
        <v>12</v>
      </c>
      <c r="B18" s="54"/>
      <c r="C18" s="46"/>
      <c r="D18" s="47"/>
      <c r="E18" s="48"/>
      <c r="F18" s="46"/>
      <c r="G18" s="46"/>
      <c r="H18" s="46"/>
      <c r="I18" s="47"/>
      <c r="J18" s="47"/>
      <c r="K18" s="79" t="str">
        <f>IF(OR(NOT(ISERROR(MATCH(RIGHT(C18,3)+0,#REF!,0))),NOT(ISERROR(MATCH(LEFT(C18,3)+0,#REF!,0)))),"No Post","")</f>
        <v/>
      </c>
    </row>
    <row r="19" spans="1:11" ht="18.600000000000001" customHeight="1" x14ac:dyDescent="0.35">
      <c r="A19" s="54">
        <v>13</v>
      </c>
      <c r="B19" s="54"/>
      <c r="C19" s="46"/>
      <c r="D19" s="47"/>
      <c r="E19" s="48"/>
      <c r="F19" s="46"/>
      <c r="G19" s="46"/>
      <c r="H19" s="46"/>
      <c r="I19" s="47"/>
      <c r="J19" s="47"/>
      <c r="K19" s="79" t="str">
        <f>IF(OR(NOT(ISERROR(MATCH(RIGHT(C19,3)+0,#REF!,0))),NOT(ISERROR(MATCH(LEFT(C19,3)+0,#REF!,0)))),"No Post","")</f>
        <v/>
      </c>
    </row>
    <row r="20" spans="1:11" ht="20.25" customHeight="1" x14ac:dyDescent="0.35">
      <c r="A20" s="49"/>
      <c r="B20" s="49"/>
      <c r="C20" s="49"/>
      <c r="D20" s="49" t="str">
        <f>"Remaning: "&amp;IFERROR(MID(A5, SEARCH("MAX", A5) + LEN("MAX"), SEARCH("PAX", A5) - SEARCH("MAX", A5) - LEN("MAX")), "")+0-SUM(F20:G20)</f>
        <v>Remaning: -2</v>
      </c>
      <c r="E20" s="50" t="s">
        <v>19</v>
      </c>
      <c r="F20" s="51">
        <f>SUM(F7:F19)</f>
        <v>18</v>
      </c>
      <c r="G20" s="51">
        <f>SUM(G7:G19)</f>
        <v>4</v>
      </c>
      <c r="H20" s="49"/>
      <c r="I20" s="49"/>
      <c r="J20" s="49"/>
    </row>
    <row r="21" spans="1:11" ht="20.25" customHeight="1" x14ac:dyDescent="0.35">
      <c r="C21" s="8" t="s">
        <v>5</v>
      </c>
      <c r="D21" s="8"/>
      <c r="E21" s="35"/>
      <c r="F21" s="8"/>
      <c r="G21" s="8"/>
      <c r="H21" s="8"/>
    </row>
    <row r="22" spans="1:11" ht="20.25" customHeight="1" x14ac:dyDescent="0.35">
      <c r="C22" s="15" t="s">
        <v>6</v>
      </c>
      <c r="D22" s="9"/>
      <c r="E22" s="36"/>
      <c r="F22" s="9"/>
      <c r="G22" s="9"/>
      <c r="H22" s="9"/>
    </row>
    <row r="23" spans="1:11" ht="20.25" customHeight="1" x14ac:dyDescent="0.35">
      <c r="C23" s="15" t="s">
        <v>7</v>
      </c>
      <c r="D23" s="9"/>
      <c r="E23" s="36"/>
      <c r="F23" s="9"/>
      <c r="G23" s="9"/>
      <c r="H23" s="9"/>
    </row>
    <row r="24" spans="1:11" ht="20.25" customHeight="1" x14ac:dyDescent="0.35">
      <c r="C24" s="15" t="s">
        <v>8</v>
      </c>
      <c r="D24" s="9"/>
      <c r="E24" s="36"/>
      <c r="F24" s="9"/>
      <c r="G24" s="9"/>
      <c r="H24" s="9"/>
    </row>
    <row r="25" spans="1:11" x14ac:dyDescent="0.35">
      <c r="C25" s="15" t="s">
        <v>9</v>
      </c>
      <c r="D25" s="9"/>
      <c r="E25" s="36"/>
      <c r="F25" s="9"/>
      <c r="G25" s="9"/>
      <c r="H25" s="9"/>
    </row>
    <row r="26" spans="1:11" x14ac:dyDescent="0.35">
      <c r="C26" s="15" t="s">
        <v>10</v>
      </c>
      <c r="D26" s="9"/>
      <c r="E26" s="36"/>
      <c r="F26" s="9"/>
      <c r="G26" s="9"/>
      <c r="H26" s="9"/>
    </row>
    <row r="27" spans="1:11" x14ac:dyDescent="0.35">
      <c r="C27" s="15" t="s">
        <v>11</v>
      </c>
      <c r="D27" s="9"/>
      <c r="E27" s="36"/>
      <c r="F27" s="9"/>
      <c r="G27" s="9"/>
      <c r="H27" s="9"/>
    </row>
    <row r="28" spans="1:11" s="11" customFormat="1" ht="15.6" x14ac:dyDescent="0.3">
      <c r="C28" s="16" t="s">
        <v>12</v>
      </c>
      <c r="D28" s="10"/>
      <c r="E28" s="37"/>
      <c r="F28" s="10"/>
      <c r="G28" s="10"/>
    </row>
    <row r="29" spans="1:11" s="11" customFormat="1" ht="15.6" x14ac:dyDescent="0.3">
      <c r="C29" s="16" t="s">
        <v>13</v>
      </c>
      <c r="D29" s="10"/>
      <c r="E29" s="37"/>
      <c r="F29" s="10"/>
      <c r="G29" s="10"/>
    </row>
    <row r="30" spans="1:11" s="13" customFormat="1" ht="20.25" customHeight="1" x14ac:dyDescent="0.35">
      <c r="C30" s="17" t="s">
        <v>14</v>
      </c>
      <c r="D30" s="12"/>
      <c r="E30" s="38"/>
    </row>
    <row r="31" spans="1:11" s="8" customFormat="1" ht="14.4" x14ac:dyDescent="0.3">
      <c r="C31" s="14"/>
      <c r="D31" s="9"/>
      <c r="E31" s="36"/>
      <c r="F31" s="9"/>
      <c r="G31" s="9"/>
      <c r="H31" s="9"/>
    </row>
    <row r="32" spans="1:11" s="9" customFormat="1" ht="13.8" x14ac:dyDescent="0.3">
      <c r="E32" s="36"/>
    </row>
    <row r="33" spans="3:8" x14ac:dyDescent="0.35">
      <c r="C33" s="9"/>
      <c r="D33" s="9"/>
      <c r="E33" s="36"/>
      <c r="F33" s="9"/>
      <c r="G33" s="9"/>
      <c r="H33" s="9"/>
    </row>
    <row r="34" spans="3:8" x14ac:dyDescent="0.35">
      <c r="C34" s="8"/>
      <c r="D34" s="8"/>
      <c r="E34" s="35"/>
      <c r="F34" s="8"/>
      <c r="G34" s="8"/>
      <c r="H34" s="8"/>
    </row>
    <row r="35" spans="3:8" x14ac:dyDescent="0.35">
      <c r="C35" s="9"/>
      <c r="D35" s="9"/>
      <c r="E35" s="36"/>
      <c r="F35" s="9"/>
      <c r="G35" s="9"/>
      <c r="H35" s="9"/>
    </row>
    <row r="36" spans="3:8" x14ac:dyDescent="0.35">
      <c r="C36" s="9"/>
      <c r="D36" s="9"/>
      <c r="E36" s="36"/>
      <c r="F36" s="9"/>
      <c r="G36" s="9"/>
      <c r="H36" s="9"/>
    </row>
    <row r="37" spans="3:8" x14ac:dyDescent="0.35">
      <c r="C37" s="9"/>
      <c r="D37" s="9"/>
      <c r="E37" s="36"/>
      <c r="F37" s="9"/>
      <c r="G37" s="9"/>
      <c r="H37" s="9"/>
    </row>
    <row r="38" spans="3:8" x14ac:dyDescent="0.35">
      <c r="C38" s="9"/>
      <c r="D38" s="9"/>
      <c r="E38" s="36"/>
      <c r="F38" s="9"/>
      <c r="G38" s="9"/>
      <c r="H38" s="9"/>
    </row>
    <row r="39" spans="3:8" x14ac:dyDescent="0.35">
      <c r="C39" s="9"/>
      <c r="D39" s="9"/>
      <c r="E39" s="36"/>
      <c r="F39" s="9"/>
      <c r="G39" s="9"/>
      <c r="H39" s="9"/>
    </row>
    <row r="40" spans="3:8" x14ac:dyDescent="0.35">
      <c r="C40" s="9"/>
      <c r="D40" s="9"/>
      <c r="E40" s="36"/>
      <c r="F40" s="9"/>
      <c r="G40" s="9"/>
      <c r="H40" s="9"/>
    </row>
    <row r="41" spans="3:8" x14ac:dyDescent="0.35">
      <c r="C41" s="14"/>
      <c r="D41" s="9"/>
      <c r="E41" s="36"/>
      <c r="F41" s="9"/>
      <c r="G41" s="9"/>
      <c r="H41" s="9"/>
    </row>
    <row r="42" spans="3:8" x14ac:dyDescent="0.35">
      <c r="C42" s="9"/>
      <c r="D42" s="9"/>
      <c r="E42" s="36"/>
      <c r="F42" s="9"/>
      <c r="G42" s="9"/>
      <c r="H42" s="9"/>
    </row>
    <row r="44" spans="3:8" x14ac:dyDescent="0.35">
      <c r="C44" s="1"/>
      <c r="D44" s="1"/>
      <c r="E44" s="33"/>
      <c r="F44" s="1"/>
      <c r="G44" s="1"/>
      <c r="H44" s="1"/>
    </row>
    <row r="59" spans="3:8" x14ac:dyDescent="0.35">
      <c r="C59" s="9"/>
      <c r="D59" s="9"/>
      <c r="E59" s="36"/>
      <c r="F59" s="9"/>
      <c r="G59" s="9"/>
      <c r="H59" s="9"/>
    </row>
    <row r="60" spans="3:8" x14ac:dyDescent="0.35">
      <c r="C60" s="9"/>
      <c r="D60" s="9"/>
      <c r="E60" s="36"/>
      <c r="F60" s="9"/>
      <c r="G60" s="9"/>
      <c r="H60" s="9"/>
    </row>
    <row r="61" spans="3:8" x14ac:dyDescent="0.35">
      <c r="C61" s="9"/>
      <c r="D61" s="9"/>
      <c r="E61" s="36"/>
      <c r="F61" s="9"/>
      <c r="G61" s="9"/>
      <c r="H61" s="9"/>
    </row>
    <row r="62" spans="3:8" x14ac:dyDescent="0.35">
      <c r="C62" s="14"/>
      <c r="D62" s="9"/>
      <c r="E62" s="36"/>
      <c r="F62" s="9"/>
      <c r="G62" s="9"/>
      <c r="H62" s="9"/>
    </row>
    <row r="63" spans="3:8" x14ac:dyDescent="0.35">
      <c r="C63" s="9"/>
      <c r="D63" s="9"/>
      <c r="E63" s="36"/>
      <c r="F63" s="9"/>
      <c r="G63" s="9"/>
      <c r="H63" s="9"/>
    </row>
  </sheetData>
  <customSheetViews>
    <customSheetView guid="{744BB052-D863-41D2-951C-2AB325855A97}" showPageBreaks="1" printArea="1" topLeftCell="A2">
      <selection activeCell="H14" sqref="H14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B1" sqref="B1:B1048576"/>
      <rowBreaks count="1" manualBreakCount="1">
        <brk id="31" min="2" max="9" man="1"/>
      </rowBreaks>
      <colBreaks count="1" manualBreakCount="1">
        <brk id="12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H5"/>
  </mergeCells>
  <conditionalFormatting sqref="K7:K19">
    <cfRule type="containsText" dxfId="3" priority="1" operator="containsText" text="No Post">
      <formula>NOT(ISERROR(SEARCH("No Post",K7)))</formula>
    </cfRule>
  </conditionalFormatting>
  <pageMargins left="0.17" right="0.17" top="0.75" bottom="0.75" header="0.3" footer="0.3"/>
  <pageSetup scale="64" orientation="landscape" r:id="rId6"/>
  <rowBreaks count="1" manualBreakCount="1">
    <brk id="38" min="1" max="8" man="1"/>
  </rowBreaks>
  <colBreaks count="1" manualBreakCount="1">
    <brk id="11" max="30" man="1"/>
  </colBreaks>
  <drawing r:id="rId7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4"/>
  <sheetViews>
    <sheetView zoomScaleNormal="100" zoomScaleSheetLayoutView="100" workbookViewId="0">
      <selection activeCell="D21" sqref="D21"/>
    </sheetView>
  </sheetViews>
  <sheetFormatPr defaultColWidth="9.109375" defaultRowHeight="18" x14ac:dyDescent="0.35"/>
  <cols>
    <col min="1" max="2" width="9.109375" style="4"/>
    <col min="3" max="3" width="14.33203125" style="4" customWidth="1"/>
    <col min="4" max="4" width="44.6640625" style="4" customWidth="1"/>
    <col min="5" max="5" width="14.33203125" style="39" customWidth="1"/>
    <col min="6" max="7" width="9.33203125" style="4" customWidth="1"/>
    <col min="8" max="8" width="10.44140625" style="4" customWidth="1"/>
    <col min="9" max="9" width="23.44140625" style="4" customWidth="1"/>
    <col min="10" max="10" width="23" style="4" customWidth="1"/>
    <col min="11" max="16384" width="9.109375" style="4"/>
  </cols>
  <sheetData>
    <row r="2" spans="1:11" x14ac:dyDescent="0.35">
      <c r="D2" s="18" t="s">
        <v>0</v>
      </c>
      <c r="E2" s="32"/>
      <c r="F2" s="5"/>
      <c r="G2" s="5"/>
    </row>
    <row r="4" spans="1:11" s="1" customFormat="1" thickBot="1" x14ac:dyDescent="0.4">
      <c r="E4" s="33"/>
    </row>
    <row r="5" spans="1:11" s="2" customFormat="1" ht="23.4" x14ac:dyDescent="0.45">
      <c r="A5" s="381" t="s">
        <v>15</v>
      </c>
      <c r="B5" s="382"/>
      <c r="C5" s="383"/>
      <c r="D5" s="383"/>
      <c r="E5" s="383"/>
      <c r="F5" s="383"/>
      <c r="G5" s="383"/>
      <c r="H5" s="383"/>
      <c r="I5" s="27" t="s">
        <v>18</v>
      </c>
      <c r="J5" s="28" t="str">
        <f ca="1">CONCATENATE((MID(CELL("filename",J5),FIND("]",CELL("filename",J5))+1,255)),"/04/2026")</f>
        <v>28/04/2026</v>
      </c>
    </row>
    <row r="6" spans="1:11" x14ac:dyDescent="0.35">
      <c r="A6" s="45"/>
      <c r="B6" s="251"/>
      <c r="C6" s="52" t="s">
        <v>1</v>
      </c>
      <c r="D6" s="52" t="s">
        <v>2</v>
      </c>
      <c r="E6" s="53" t="s">
        <v>21</v>
      </c>
      <c r="F6" s="52" t="s">
        <v>16</v>
      </c>
      <c r="G6" s="52" t="s">
        <v>17</v>
      </c>
      <c r="H6" s="52" t="s">
        <v>3</v>
      </c>
      <c r="I6" s="54" t="s">
        <v>20</v>
      </c>
      <c r="J6" s="55" t="s">
        <v>4</v>
      </c>
    </row>
    <row r="7" spans="1:11" x14ac:dyDescent="0.35">
      <c r="A7" s="54">
        <v>1</v>
      </c>
      <c r="B7" s="360"/>
      <c r="C7" s="350">
        <v>889</v>
      </c>
      <c r="D7" s="345" t="s">
        <v>38</v>
      </c>
      <c r="E7" s="343">
        <v>46142</v>
      </c>
      <c r="F7" s="344">
        <v>2</v>
      </c>
      <c r="G7" s="344"/>
      <c r="H7" s="356" t="s">
        <v>67</v>
      </c>
      <c r="I7" s="349" t="s">
        <v>106</v>
      </c>
      <c r="J7" s="344" t="s">
        <v>39</v>
      </c>
      <c r="K7" s="79" t="s">
        <v>67</v>
      </c>
    </row>
    <row r="8" spans="1:11" x14ac:dyDescent="0.35">
      <c r="A8" s="54">
        <v>2</v>
      </c>
      <c r="B8" s="360"/>
      <c r="C8" s="350">
        <v>623</v>
      </c>
      <c r="D8" s="344" t="s">
        <v>56</v>
      </c>
      <c r="E8" s="343">
        <v>46144</v>
      </c>
      <c r="F8" s="344">
        <v>3</v>
      </c>
      <c r="G8" s="344"/>
      <c r="H8" s="356" t="s">
        <v>67</v>
      </c>
      <c r="I8" s="350" t="s">
        <v>606</v>
      </c>
      <c r="J8" s="344" t="s">
        <v>24</v>
      </c>
      <c r="K8" s="79"/>
    </row>
    <row r="9" spans="1:11" x14ac:dyDescent="0.35">
      <c r="A9" s="54">
        <v>3</v>
      </c>
      <c r="B9" s="360"/>
      <c r="C9" s="344">
        <v>861</v>
      </c>
      <c r="D9" s="344" t="s">
        <v>59</v>
      </c>
      <c r="E9" s="343">
        <v>46142</v>
      </c>
      <c r="F9" s="344">
        <v>2</v>
      </c>
      <c r="G9" s="344"/>
      <c r="H9" s="356" t="s">
        <v>67</v>
      </c>
      <c r="I9" s="350" t="s">
        <v>106</v>
      </c>
      <c r="J9" s="344" t="s">
        <v>24</v>
      </c>
      <c r="K9" s="79" t="s">
        <v>67</v>
      </c>
    </row>
    <row r="10" spans="1:11" x14ac:dyDescent="0.35">
      <c r="A10" s="54">
        <v>4</v>
      </c>
      <c r="B10" s="360"/>
      <c r="C10" s="344" t="s">
        <v>607</v>
      </c>
      <c r="D10" s="344" t="s">
        <v>558</v>
      </c>
      <c r="E10" s="343">
        <v>46137</v>
      </c>
      <c r="F10" s="344">
        <v>2</v>
      </c>
      <c r="G10" s="344"/>
      <c r="H10" s="344"/>
      <c r="I10" s="344" t="s">
        <v>124</v>
      </c>
      <c r="J10" s="344" t="s">
        <v>557</v>
      </c>
      <c r="K10" s="79" t="str">
        <f>IF(OR(NOT(ISERROR(MATCH(RIGHT(C10,3)+0,#REF!,0))),NOT(ISERROR(MATCH(LEFT(C10,3)+0,#REF!,0)))),"No Post","")</f>
        <v/>
      </c>
    </row>
    <row r="11" spans="1:11" x14ac:dyDescent="0.35">
      <c r="A11" s="54">
        <v>5</v>
      </c>
      <c r="B11" s="54"/>
      <c r="C11" s="348">
        <v>892</v>
      </c>
      <c r="D11" s="342" t="s">
        <v>560</v>
      </c>
      <c r="E11" s="343">
        <v>46145</v>
      </c>
      <c r="F11" s="344">
        <v>2</v>
      </c>
      <c r="G11" s="344">
        <v>1</v>
      </c>
      <c r="H11" s="344"/>
      <c r="I11" s="359" t="s">
        <v>279</v>
      </c>
      <c r="J11" s="344" t="s">
        <v>294</v>
      </c>
      <c r="K11" s="79" t="str">
        <f>IF(OR(NOT(ISERROR(MATCH(RIGHT(C11,3)+0,#REF!,0))),NOT(ISERROR(MATCH(LEFT(C11,3)+0,#REF!,0)))),"No Post","")</f>
        <v/>
      </c>
    </row>
    <row r="12" spans="1:11" x14ac:dyDescent="0.35">
      <c r="A12" s="54">
        <v>6</v>
      </c>
      <c r="B12" s="360"/>
      <c r="C12" s="350" t="s">
        <v>610</v>
      </c>
      <c r="D12" s="344" t="s">
        <v>588</v>
      </c>
      <c r="E12" s="343">
        <v>46139</v>
      </c>
      <c r="F12" s="344">
        <v>2</v>
      </c>
      <c r="G12" s="344"/>
      <c r="H12" s="344"/>
      <c r="I12" s="350" t="s">
        <v>106</v>
      </c>
      <c r="J12" s="344" t="s">
        <v>455</v>
      </c>
      <c r="K12" s="79" t="str">
        <f>IF(OR(NOT(ISERROR(MATCH(RIGHT(C12,3)+0,#REF!,0))),NOT(ISERROR(MATCH(LEFT(C12,3)+0,#REF!,0)))),"No Post","")</f>
        <v/>
      </c>
    </row>
    <row r="13" spans="1:11" x14ac:dyDescent="0.35">
      <c r="A13" s="54">
        <v>7</v>
      </c>
      <c r="B13" s="360"/>
      <c r="C13" s="351">
        <v>302</v>
      </c>
      <c r="D13" s="344" t="s">
        <v>587</v>
      </c>
      <c r="E13" s="343">
        <v>46141</v>
      </c>
      <c r="F13" s="344">
        <v>2</v>
      </c>
      <c r="G13" s="344"/>
      <c r="H13" s="344" t="s">
        <v>609</v>
      </c>
      <c r="I13" s="351" t="s">
        <v>124</v>
      </c>
      <c r="J13" s="344" t="s">
        <v>130</v>
      </c>
      <c r="K13" s="79"/>
    </row>
    <row r="14" spans="1:11" x14ac:dyDescent="0.35">
      <c r="A14" s="54">
        <v>8</v>
      </c>
      <c r="B14" s="360"/>
      <c r="C14" s="350">
        <v>106</v>
      </c>
      <c r="D14" s="344" t="s">
        <v>591</v>
      </c>
      <c r="E14" s="343">
        <v>46142</v>
      </c>
      <c r="F14" s="344">
        <v>2</v>
      </c>
      <c r="G14" s="344"/>
      <c r="H14" s="344"/>
      <c r="I14" s="358" t="s">
        <v>106</v>
      </c>
      <c r="J14" s="344" t="s">
        <v>590</v>
      </c>
      <c r="K14" s="79"/>
    </row>
    <row r="15" spans="1:11" x14ac:dyDescent="0.35">
      <c r="A15" s="54">
        <v>9</v>
      </c>
      <c r="B15" s="360"/>
      <c r="C15" s="359">
        <v>126</v>
      </c>
      <c r="D15" s="344" t="s">
        <v>592</v>
      </c>
      <c r="E15" s="343">
        <v>46142</v>
      </c>
      <c r="F15" s="344">
        <v>2</v>
      </c>
      <c r="G15" s="344"/>
      <c r="H15" s="344"/>
      <c r="I15" s="358" t="s">
        <v>106</v>
      </c>
      <c r="J15" s="344" t="s">
        <v>590</v>
      </c>
      <c r="K15" s="79"/>
    </row>
    <row r="16" spans="1:11" x14ac:dyDescent="0.35">
      <c r="A16" s="54">
        <v>10</v>
      </c>
      <c r="B16" s="360"/>
      <c r="C16" s="350" t="s">
        <v>608</v>
      </c>
      <c r="D16" s="344" t="s">
        <v>593</v>
      </c>
      <c r="E16" s="343">
        <v>46140</v>
      </c>
      <c r="F16" s="344">
        <v>2</v>
      </c>
      <c r="G16" s="344"/>
      <c r="H16" s="344"/>
      <c r="I16" s="358" t="s">
        <v>106</v>
      </c>
      <c r="J16" s="344" t="s">
        <v>590</v>
      </c>
      <c r="K16" s="79" t="str">
        <f>IF(OR(NOT(ISERROR(MATCH(RIGHT(C16,3)+0,#REF!,0))),NOT(ISERROR(MATCH(LEFT(C16,3)+0,#REF!,0)))),"No Post","")</f>
        <v/>
      </c>
    </row>
    <row r="17" spans="1:11" ht="18.600000000000001" customHeight="1" x14ac:dyDescent="0.35">
      <c r="A17" s="54">
        <v>11</v>
      </c>
      <c r="B17" s="360"/>
      <c r="C17" s="344">
        <v>876</v>
      </c>
      <c r="D17" s="344" t="s">
        <v>596</v>
      </c>
      <c r="E17" s="343">
        <v>46142</v>
      </c>
      <c r="F17" s="344">
        <v>2</v>
      </c>
      <c r="G17" s="344"/>
      <c r="H17" s="344"/>
      <c r="I17" s="350" t="s">
        <v>106</v>
      </c>
      <c r="J17" s="344" t="s">
        <v>256</v>
      </c>
      <c r="K17" s="79" t="str">
        <f>IF(OR(NOT(ISERROR(MATCH(RIGHT(C17,3)+0,#REF!,0))),NOT(ISERROR(MATCH(LEFT(C17,3)+0,#REF!,0)))),"No Post","")</f>
        <v/>
      </c>
    </row>
    <row r="18" spans="1:11" ht="18.600000000000001" customHeight="1" x14ac:dyDescent="0.35">
      <c r="A18" s="54">
        <v>12</v>
      </c>
      <c r="B18" s="360"/>
      <c r="C18" s="351">
        <v>335</v>
      </c>
      <c r="D18" s="357" t="s">
        <v>611</v>
      </c>
      <c r="E18" s="343">
        <v>46141</v>
      </c>
      <c r="F18" s="344">
        <v>2</v>
      </c>
      <c r="G18" s="344"/>
      <c r="H18" s="344"/>
      <c r="I18" s="351" t="s">
        <v>124</v>
      </c>
      <c r="J18" s="344"/>
      <c r="K18" s="79" t="str">
        <f>IF(OR(NOT(ISERROR(MATCH(RIGHT(C18,3)+0,#REF!,0))),NOT(ISERROR(MATCH(LEFT(C18,3)+0,#REF!,0)))),"No Post","")</f>
        <v/>
      </c>
    </row>
    <row r="19" spans="1:11" ht="18.600000000000001" customHeight="1" x14ac:dyDescent="0.35">
      <c r="A19" s="54">
        <v>13</v>
      </c>
      <c r="B19" s="54"/>
      <c r="C19" s="46"/>
      <c r="D19" s="47"/>
      <c r="E19" s="48"/>
      <c r="F19" s="46"/>
      <c r="G19" s="46"/>
      <c r="H19" s="46"/>
      <c r="I19" s="47"/>
      <c r="J19" s="47"/>
      <c r="K19" s="79" t="str">
        <f>IF(OR(NOT(ISERROR(MATCH(RIGHT(C19,3)+0,#REF!,0))),NOT(ISERROR(MATCH(LEFT(C19,3)+0,#REF!,0)))),"No Post","")</f>
        <v/>
      </c>
    </row>
    <row r="20" spans="1:11" ht="18.600000000000001" customHeight="1" x14ac:dyDescent="0.35">
      <c r="A20" s="258"/>
      <c r="B20" s="268"/>
      <c r="C20" s="259"/>
      <c r="D20" s="260"/>
      <c r="E20" s="332" t="s">
        <v>142</v>
      </c>
      <c r="F20" s="259"/>
      <c r="G20" s="259"/>
      <c r="H20" s="259"/>
      <c r="I20" s="260"/>
      <c r="J20" s="261"/>
      <c r="K20" s="79" t="str">
        <f>IF(OR(NOT(ISERROR(MATCH(RIGHT(C20,3)+0,#REF!,0))),NOT(ISERROR(MATCH(LEFT(C20,3)+0,#REF!,0)))),"No Post","")</f>
        <v/>
      </c>
    </row>
    <row r="21" spans="1:11" ht="20.25" customHeight="1" x14ac:dyDescent="0.35">
      <c r="A21" s="49"/>
      <c r="B21" s="49"/>
      <c r="C21" s="49"/>
      <c r="D21" s="49" t="str">
        <f>"Remaning: "&amp;IFERROR(MID(A5, SEARCH("MAX", A5) + LEN("MAX"), SEARCH("PAX", A5) - SEARCH("MAX", A5) - LEN("MAX")), "")+0-SUM(F21:G21)</f>
        <v>Remaning: -5</v>
      </c>
      <c r="E21" s="50" t="s">
        <v>19</v>
      </c>
      <c r="F21" s="51">
        <f>SUM(F7:F20)</f>
        <v>25</v>
      </c>
      <c r="G21" s="51">
        <f>SUM(G17:G20)</f>
        <v>0</v>
      </c>
      <c r="H21" s="49"/>
      <c r="I21" s="49"/>
      <c r="J21" s="49"/>
    </row>
    <row r="22" spans="1:11" ht="20.25" customHeight="1" x14ac:dyDescent="0.35">
      <c r="C22" s="8" t="s">
        <v>5</v>
      </c>
      <c r="D22" s="8"/>
      <c r="E22" s="35"/>
      <c r="F22" s="8"/>
      <c r="G22" s="8"/>
      <c r="H22" s="8"/>
    </row>
    <row r="23" spans="1:11" ht="20.25" customHeight="1" x14ac:dyDescent="0.35">
      <c r="C23" s="15" t="s">
        <v>6</v>
      </c>
      <c r="D23" s="9"/>
      <c r="E23" s="36"/>
      <c r="F23" s="9"/>
      <c r="G23" s="9"/>
      <c r="H23" s="9"/>
    </row>
    <row r="24" spans="1:11" ht="20.25" customHeight="1" x14ac:dyDescent="0.35">
      <c r="C24" s="15" t="s">
        <v>7</v>
      </c>
      <c r="D24" s="9"/>
      <c r="E24" s="36"/>
      <c r="F24" s="9"/>
      <c r="G24" s="9"/>
      <c r="H24" s="9"/>
    </row>
    <row r="25" spans="1:11" ht="20.25" customHeight="1" x14ac:dyDescent="0.35">
      <c r="C25" s="15" t="s">
        <v>8</v>
      </c>
      <c r="D25" s="9"/>
      <c r="E25" s="36"/>
      <c r="F25" s="9"/>
      <c r="G25" s="9"/>
      <c r="H25" s="9"/>
    </row>
    <row r="26" spans="1:11" x14ac:dyDescent="0.35">
      <c r="C26" s="15" t="s">
        <v>9</v>
      </c>
      <c r="D26" s="9"/>
      <c r="E26" s="36"/>
      <c r="F26" s="9"/>
      <c r="G26" s="9"/>
      <c r="H26" s="9"/>
    </row>
    <row r="27" spans="1:11" x14ac:dyDescent="0.35">
      <c r="C27" s="15" t="s">
        <v>10</v>
      </c>
      <c r="D27" s="9"/>
      <c r="E27" s="36"/>
      <c r="F27" s="9"/>
      <c r="G27" s="9"/>
      <c r="H27" s="9"/>
    </row>
    <row r="28" spans="1:11" x14ac:dyDescent="0.35">
      <c r="C28" s="15" t="s">
        <v>11</v>
      </c>
      <c r="D28" s="9"/>
      <c r="E28" s="36"/>
      <c r="F28" s="9"/>
      <c r="G28" s="9"/>
      <c r="H28" s="9"/>
    </row>
    <row r="29" spans="1:11" s="11" customFormat="1" ht="15.6" x14ac:dyDescent="0.3">
      <c r="C29" s="16" t="s">
        <v>12</v>
      </c>
      <c r="D29" s="10"/>
      <c r="E29" s="37"/>
      <c r="F29" s="10"/>
      <c r="G29" s="10"/>
    </row>
    <row r="30" spans="1:11" s="11" customFormat="1" ht="15.6" x14ac:dyDescent="0.3">
      <c r="C30" s="16" t="s">
        <v>13</v>
      </c>
      <c r="D30" s="10"/>
      <c r="E30" s="37"/>
      <c r="F30" s="10"/>
      <c r="G30" s="10"/>
    </row>
    <row r="31" spans="1:11" s="13" customFormat="1" ht="20.25" customHeight="1" x14ac:dyDescent="0.35">
      <c r="C31" s="17" t="s">
        <v>14</v>
      </c>
      <c r="D31" s="12"/>
      <c r="E31" s="38"/>
    </row>
    <row r="32" spans="1:11" s="8" customFormat="1" ht="14.4" x14ac:dyDescent="0.3">
      <c r="C32" s="14"/>
      <c r="D32" s="9"/>
      <c r="E32" s="36"/>
      <c r="F32" s="9"/>
      <c r="G32" s="9"/>
      <c r="H32" s="9"/>
    </row>
    <row r="33" spans="3:8" s="9" customFormat="1" ht="13.8" x14ac:dyDescent="0.3">
      <c r="E33" s="36"/>
    </row>
    <row r="34" spans="3:8" x14ac:dyDescent="0.35">
      <c r="C34" s="9"/>
      <c r="D34" s="9"/>
      <c r="E34" s="36"/>
      <c r="F34" s="9"/>
      <c r="G34" s="9"/>
      <c r="H34" s="9"/>
    </row>
    <row r="35" spans="3:8" x14ac:dyDescent="0.35">
      <c r="C35" s="8"/>
      <c r="D35" s="8"/>
      <c r="E35" s="35"/>
      <c r="F35" s="8"/>
      <c r="G35" s="8"/>
      <c r="H35" s="8"/>
    </row>
    <row r="36" spans="3:8" x14ac:dyDescent="0.35">
      <c r="C36" s="9"/>
      <c r="D36" s="9"/>
      <c r="E36" s="36"/>
      <c r="F36" s="9"/>
      <c r="G36" s="9"/>
      <c r="H36" s="9"/>
    </row>
    <row r="37" spans="3:8" x14ac:dyDescent="0.35">
      <c r="C37" s="9"/>
      <c r="D37" s="9"/>
      <c r="E37" s="36"/>
      <c r="F37" s="9"/>
      <c r="G37" s="9"/>
      <c r="H37" s="9"/>
    </row>
    <row r="38" spans="3:8" x14ac:dyDescent="0.35">
      <c r="C38" s="9"/>
      <c r="D38" s="9"/>
      <c r="E38" s="36"/>
      <c r="F38" s="9"/>
      <c r="G38" s="9"/>
      <c r="H38" s="9"/>
    </row>
    <row r="39" spans="3:8" x14ac:dyDescent="0.35">
      <c r="C39" s="9"/>
      <c r="D39" s="9"/>
      <c r="E39" s="36"/>
      <c r="F39" s="9"/>
      <c r="G39" s="9"/>
      <c r="H39" s="9"/>
    </row>
    <row r="40" spans="3:8" x14ac:dyDescent="0.35">
      <c r="C40" s="9"/>
      <c r="D40" s="9"/>
      <c r="E40" s="36"/>
      <c r="F40" s="9"/>
      <c r="G40" s="9"/>
      <c r="H40" s="9"/>
    </row>
    <row r="41" spans="3:8" x14ac:dyDescent="0.35">
      <c r="C41" s="9"/>
      <c r="D41" s="9"/>
      <c r="E41" s="36"/>
      <c r="F41" s="9"/>
      <c r="G41" s="9"/>
      <c r="H41" s="9"/>
    </row>
    <row r="42" spans="3:8" x14ac:dyDescent="0.35">
      <c r="C42" s="14"/>
      <c r="D42" s="9"/>
      <c r="E42" s="36"/>
      <c r="F42" s="9"/>
      <c r="G42" s="9"/>
      <c r="H42" s="9"/>
    </row>
    <row r="43" spans="3:8" x14ac:dyDescent="0.35">
      <c r="C43" s="9"/>
      <c r="D43" s="9"/>
      <c r="E43" s="36"/>
      <c r="F43" s="9"/>
      <c r="G43" s="9"/>
      <c r="H43" s="9"/>
    </row>
    <row r="45" spans="3:8" x14ac:dyDescent="0.35">
      <c r="C45" s="1"/>
      <c r="D45" s="1"/>
      <c r="E45" s="33"/>
      <c r="F45" s="1"/>
      <c r="G45" s="1"/>
      <c r="H45" s="1"/>
    </row>
    <row r="60" spans="3:8" x14ac:dyDescent="0.35">
      <c r="C60" s="9"/>
      <c r="D60" s="9"/>
      <c r="E60" s="36"/>
      <c r="F60" s="9"/>
      <c r="G60" s="9"/>
      <c r="H60" s="9"/>
    </row>
    <row r="61" spans="3:8" x14ac:dyDescent="0.35">
      <c r="C61" s="9"/>
      <c r="D61" s="9"/>
      <c r="E61" s="36"/>
      <c r="F61" s="9"/>
      <c r="G61" s="9"/>
      <c r="H61" s="9"/>
    </row>
    <row r="62" spans="3:8" x14ac:dyDescent="0.35">
      <c r="C62" s="9"/>
      <c r="D62" s="9"/>
      <c r="E62" s="36"/>
      <c r="F62" s="9"/>
      <c r="G62" s="9"/>
      <c r="H62" s="9"/>
    </row>
    <row r="63" spans="3:8" x14ac:dyDescent="0.35">
      <c r="C63" s="14"/>
      <c r="D63" s="9"/>
      <c r="E63" s="36"/>
      <c r="F63" s="9"/>
      <c r="G63" s="9"/>
      <c r="H63" s="9"/>
    </row>
    <row r="64" spans="3:8" x14ac:dyDescent="0.35">
      <c r="C64" s="9"/>
      <c r="D64" s="9"/>
      <c r="E64" s="36"/>
      <c r="F64" s="9"/>
      <c r="G64" s="9"/>
      <c r="H64" s="9"/>
    </row>
  </sheetData>
  <customSheetViews>
    <customSheetView guid="{744BB052-D863-41D2-951C-2AB325855A97}" showPageBreaks="1" printArea="1">
      <selection activeCell="D21" sqref="D21"/>
      <rowBreaks count="1" manualBreakCount="1">
        <brk id="32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I12" sqref="I12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I12" sqref="I12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I12" sqref="I12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F18" activeCellId="2" sqref="F10 F13 F18"/>
      <rowBreaks count="1" manualBreakCount="1">
        <brk id="32" min="2" max="9" man="1"/>
      </rowBreaks>
      <colBreaks count="1" manualBreakCount="1">
        <brk id="12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H5"/>
  </mergeCells>
  <conditionalFormatting sqref="K7:K20">
    <cfRule type="containsText" dxfId="2" priority="1" operator="containsText" text="No Post">
      <formula>NOT(ISERROR(SEARCH("No Post",K7)))</formula>
    </cfRule>
  </conditionalFormatting>
  <pageMargins left="0.17" right="0.17" top="0.75" bottom="0.75" header="0.3" footer="0.3"/>
  <pageSetup scale="64" orientation="landscape" r:id="rId6"/>
  <rowBreaks count="1" manualBreakCount="1">
    <brk id="32" min="1" max="8" man="1"/>
  </rowBreaks>
  <colBreaks count="1" manualBreakCount="1">
    <brk id="11" max="30" man="1"/>
  </colBreaks>
  <drawing r:id="rId7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0"/>
  <sheetViews>
    <sheetView zoomScaleNormal="100" zoomScaleSheetLayoutView="100" workbookViewId="0">
      <selection activeCell="H11" sqref="H11"/>
    </sheetView>
  </sheetViews>
  <sheetFormatPr defaultColWidth="9.109375" defaultRowHeight="18" x14ac:dyDescent="0.35"/>
  <cols>
    <col min="1" max="1" width="9.109375" style="4"/>
    <col min="2" max="2" width="14.33203125" style="4" customWidth="1"/>
    <col min="3" max="3" width="44.6640625" style="4" customWidth="1"/>
    <col min="4" max="4" width="14.33203125" style="39" customWidth="1"/>
    <col min="5" max="6" width="9.33203125" style="4" customWidth="1"/>
    <col min="7" max="7" width="10.44140625" style="4" customWidth="1"/>
    <col min="8" max="8" width="23.44140625" style="4" customWidth="1"/>
    <col min="9" max="9" width="23" style="4" customWidth="1"/>
    <col min="10" max="16384" width="9.109375" style="4"/>
  </cols>
  <sheetData>
    <row r="2" spans="1:10" x14ac:dyDescent="0.35">
      <c r="C2" s="18" t="s">
        <v>0</v>
      </c>
      <c r="D2" s="32"/>
      <c r="E2" s="5"/>
      <c r="F2" s="5"/>
    </row>
    <row r="4" spans="1:10" s="1" customFormat="1" thickBot="1" x14ac:dyDescent="0.4">
      <c r="D4" s="33"/>
    </row>
    <row r="5" spans="1:10" s="2" customFormat="1" ht="23.4" x14ac:dyDescent="0.45">
      <c r="A5" s="381" t="s">
        <v>547</v>
      </c>
      <c r="B5" s="383"/>
      <c r="C5" s="383"/>
      <c r="D5" s="383"/>
      <c r="E5" s="383"/>
      <c r="F5" s="383"/>
      <c r="G5" s="383"/>
      <c r="H5" s="27" t="s">
        <v>18</v>
      </c>
      <c r="I5" s="28" t="str">
        <f ca="1">CONCATENATE((MID(CELL("filename",I5),FIND("]",CELL("filename",I5))+1,255)),"/04/2026")</f>
        <v>29/04/2026</v>
      </c>
    </row>
    <row r="6" spans="1:10" x14ac:dyDescent="0.35">
      <c r="A6" s="45"/>
      <c r="B6" s="52" t="s">
        <v>1</v>
      </c>
      <c r="C6" s="52" t="s">
        <v>2</v>
      </c>
      <c r="D6" s="53" t="s">
        <v>21</v>
      </c>
      <c r="E6" s="52" t="s">
        <v>16</v>
      </c>
      <c r="F6" s="52" t="s">
        <v>17</v>
      </c>
      <c r="G6" s="52" t="s">
        <v>3</v>
      </c>
      <c r="H6" s="54" t="s">
        <v>20</v>
      </c>
      <c r="I6" s="55" t="s">
        <v>4</v>
      </c>
    </row>
    <row r="7" spans="1:10" x14ac:dyDescent="0.35">
      <c r="A7" s="54">
        <v>1</v>
      </c>
      <c r="B7" s="54">
        <v>619</v>
      </c>
      <c r="C7" s="54" t="s">
        <v>450</v>
      </c>
      <c r="D7" s="62">
        <v>46144</v>
      </c>
      <c r="E7" s="54" t="s">
        <v>229</v>
      </c>
      <c r="F7" s="54"/>
      <c r="G7" s="54"/>
      <c r="H7" s="257" t="s">
        <v>451</v>
      </c>
      <c r="I7" s="54" t="s">
        <v>452</v>
      </c>
      <c r="J7" s="79" t="str">
        <f>IF(OR(NOT(ISERROR(MATCH(RIGHT(B7,3)+0,#REF!,0))),NOT(ISERROR(MATCH(LEFT(B7,3)+0,#REF!,0)))),"No Post","")</f>
        <v/>
      </c>
    </row>
    <row r="8" spans="1:10" x14ac:dyDescent="0.35">
      <c r="A8" s="54">
        <v>2</v>
      </c>
      <c r="B8" s="176">
        <v>329</v>
      </c>
      <c r="C8" s="54" t="s">
        <v>535</v>
      </c>
      <c r="D8" s="62">
        <v>46147</v>
      </c>
      <c r="E8" s="54" t="s">
        <v>621</v>
      </c>
      <c r="F8" s="54"/>
      <c r="G8" s="54"/>
      <c r="H8" s="54">
        <v>26199404</v>
      </c>
      <c r="I8" s="54" t="s">
        <v>452</v>
      </c>
      <c r="J8" s="79" t="str">
        <f>IF(OR(NOT(ISERROR(MATCH(RIGHT(B8,3)+0,#REF!,0))),NOT(ISERROR(MATCH(LEFT(B8,3)+0,#REF!,0)))),"No Post","")</f>
        <v/>
      </c>
    </row>
    <row r="9" spans="1:10" x14ac:dyDescent="0.35">
      <c r="A9" s="54">
        <v>3</v>
      </c>
      <c r="B9" s="54">
        <v>302</v>
      </c>
      <c r="C9" s="54" t="s">
        <v>587</v>
      </c>
      <c r="D9" s="62">
        <v>46141</v>
      </c>
      <c r="E9" s="54">
        <v>2</v>
      </c>
      <c r="F9" s="54"/>
      <c r="G9" s="54"/>
      <c r="H9" s="54"/>
      <c r="I9" s="54" t="s">
        <v>130</v>
      </c>
      <c r="J9" s="79" t="str">
        <f>IF(OR(NOT(ISERROR(MATCH(RIGHT(B9,3)+0,#REF!,0))),NOT(ISERROR(MATCH(LEFT(B9,3)+0,#REF!,0)))),"No Post","")</f>
        <v/>
      </c>
    </row>
    <row r="10" spans="1:10" x14ac:dyDescent="0.35">
      <c r="A10" s="54">
        <v>4</v>
      </c>
      <c r="B10" s="54">
        <v>620</v>
      </c>
      <c r="C10" s="54" t="s">
        <v>594</v>
      </c>
      <c r="D10" s="62">
        <v>46141</v>
      </c>
      <c r="E10" s="54">
        <v>2</v>
      </c>
      <c r="F10" s="54"/>
      <c r="G10" s="54"/>
      <c r="H10" s="54"/>
      <c r="I10" s="54" t="s">
        <v>595</v>
      </c>
      <c r="J10" s="79" t="str">
        <f>IF(OR(NOT(ISERROR(MATCH(RIGHT(B10,3)+0,#REF!,0))),NOT(ISERROR(MATCH(LEFT(B10,3)+0,#REF!,0)))),"No Post","")</f>
        <v/>
      </c>
    </row>
    <row r="11" spans="1:10" x14ac:dyDescent="0.35">
      <c r="A11" s="54">
        <v>5</v>
      </c>
      <c r="B11" s="54">
        <v>104</v>
      </c>
      <c r="C11" s="54" t="s">
        <v>600</v>
      </c>
      <c r="D11" s="62">
        <v>46142</v>
      </c>
      <c r="E11" s="54">
        <v>2</v>
      </c>
      <c r="F11" s="54"/>
      <c r="G11" s="54"/>
      <c r="H11" s="54"/>
      <c r="I11" s="54" t="s">
        <v>406</v>
      </c>
      <c r="J11" s="79" t="str">
        <f>IF(OR(NOT(ISERROR(MATCH(RIGHT(B11,3)+0,#REF!,0))),NOT(ISERROR(MATCH(LEFT(B11,3)+0,#REF!,0)))),"No Post","")</f>
        <v/>
      </c>
    </row>
    <row r="12" spans="1:10" x14ac:dyDescent="0.35">
      <c r="A12" s="54">
        <v>6</v>
      </c>
      <c r="B12" s="54">
        <v>882</v>
      </c>
      <c r="C12" s="54" t="s">
        <v>601</v>
      </c>
      <c r="D12" s="62">
        <v>46141</v>
      </c>
      <c r="E12" s="54">
        <v>2</v>
      </c>
      <c r="F12" s="54"/>
      <c r="G12" s="54"/>
      <c r="H12" s="54"/>
      <c r="I12" s="54" t="s">
        <v>135</v>
      </c>
      <c r="J12" s="79" t="str">
        <f>IF(OR(NOT(ISERROR(MATCH(RIGHT(B12,3)+0,#REF!,0))),NOT(ISERROR(MATCH(LEFT(B12,3)+0,#REF!,0)))),"No Post","")</f>
        <v/>
      </c>
    </row>
    <row r="13" spans="1:10" x14ac:dyDescent="0.35">
      <c r="A13" s="54">
        <v>7</v>
      </c>
      <c r="B13" s="54" t="s">
        <v>604</v>
      </c>
      <c r="C13" s="54" t="s">
        <v>605</v>
      </c>
      <c r="D13" s="62">
        <v>46142</v>
      </c>
      <c r="E13" s="54">
        <v>3</v>
      </c>
      <c r="F13" s="54"/>
      <c r="G13" s="54"/>
      <c r="H13" s="54"/>
      <c r="I13" s="54" t="s">
        <v>597</v>
      </c>
      <c r="J13" s="79" t="str">
        <f>IF(OR(NOT(ISERROR(MATCH(RIGHT(B13,3)+0,#REF!,0))),NOT(ISERROR(MATCH(LEFT(B13,3)+0,#REF!,0)))),"No Post","")</f>
        <v/>
      </c>
    </row>
    <row r="14" spans="1:10" x14ac:dyDescent="0.35">
      <c r="A14" s="54">
        <v>8</v>
      </c>
      <c r="B14" s="54">
        <v>840</v>
      </c>
      <c r="C14" s="54" t="s">
        <v>603</v>
      </c>
      <c r="D14" s="62">
        <v>46144</v>
      </c>
      <c r="E14" s="54">
        <v>2</v>
      </c>
      <c r="F14" s="54"/>
      <c r="G14" s="54"/>
      <c r="H14" s="54"/>
      <c r="I14" s="54" t="s">
        <v>135</v>
      </c>
      <c r="J14" s="79" t="str">
        <f>IF(OR(NOT(ISERROR(MATCH(RIGHT(B14,3)+0,#REF!,0))),NOT(ISERROR(MATCH(LEFT(B14,3)+0,#REF!,0)))),"No Post","")</f>
        <v/>
      </c>
    </row>
    <row r="15" spans="1:10" x14ac:dyDescent="0.35">
      <c r="A15" s="54">
        <v>9</v>
      </c>
      <c r="B15" s="54">
        <v>866</v>
      </c>
      <c r="C15" s="355" t="s">
        <v>599</v>
      </c>
      <c r="D15" s="61">
        <v>46150</v>
      </c>
      <c r="E15" s="43" t="s">
        <v>122</v>
      </c>
      <c r="F15" s="54"/>
      <c r="G15" s="54"/>
      <c r="H15" s="54"/>
      <c r="I15" s="54" t="s">
        <v>598</v>
      </c>
      <c r="J15" s="79" t="str">
        <f>IF(OR(NOT(ISERROR(MATCH(RIGHT(B15,3)+0,#REF!,0))),NOT(ISERROR(MATCH(LEFT(B15,3)+0,#REF!,0)))),"No Post","")</f>
        <v/>
      </c>
    </row>
    <row r="16" spans="1:10" x14ac:dyDescent="0.35">
      <c r="A16" s="54">
        <v>10</v>
      </c>
      <c r="B16" s="144">
        <v>894</v>
      </c>
      <c r="C16" s="47" t="s">
        <v>602</v>
      </c>
      <c r="D16" s="48">
        <v>46143</v>
      </c>
      <c r="E16" s="46" t="s">
        <v>166</v>
      </c>
      <c r="F16" s="46"/>
      <c r="G16" s="46"/>
      <c r="H16" s="47"/>
      <c r="I16" s="47"/>
      <c r="J16" s="79" t="str">
        <f>IF(OR(NOT(ISERROR(MATCH(RIGHT(B16,3)+0,#REF!,0))),NOT(ISERROR(MATCH(LEFT(B16,3)+0,#REF!,0)))),"No Post","")</f>
        <v/>
      </c>
    </row>
    <row r="17" spans="1:10" ht="18.600000000000001" customHeight="1" x14ac:dyDescent="0.35">
      <c r="A17" s="54">
        <v>11</v>
      </c>
      <c r="B17" s="46">
        <v>625</v>
      </c>
      <c r="C17" s="47"/>
      <c r="D17" s="48"/>
      <c r="E17" s="46">
        <v>2</v>
      </c>
      <c r="F17" s="46"/>
      <c r="G17" s="46"/>
      <c r="H17" s="47"/>
      <c r="I17" s="47"/>
      <c r="J17" s="79" t="str">
        <f>IF(OR(NOT(ISERROR(MATCH(RIGHT(B17,3)+0,#REF!,0))),NOT(ISERROR(MATCH(LEFT(B17,3)+0,#REF!,0)))),"No Post","")</f>
        <v/>
      </c>
    </row>
    <row r="18" spans="1:10" ht="18.600000000000001" customHeight="1" x14ac:dyDescent="0.35">
      <c r="A18" s="54">
        <v>12</v>
      </c>
      <c r="B18" s="144">
        <v>323</v>
      </c>
      <c r="C18" s="47"/>
      <c r="D18" s="48"/>
      <c r="E18" s="46" t="s">
        <v>166</v>
      </c>
      <c r="F18" s="46"/>
      <c r="G18" s="46"/>
      <c r="H18" s="47"/>
      <c r="I18" s="47" t="s">
        <v>531</v>
      </c>
      <c r="J18" s="79" t="str">
        <f>IF(OR(NOT(ISERROR(MATCH(RIGHT(B18,3)+0,#REF!,0))),NOT(ISERROR(MATCH(LEFT(B18,3)+0,#REF!,0)))),"No Post","")</f>
        <v/>
      </c>
    </row>
    <row r="19" spans="1:10" ht="18.600000000000001" customHeight="1" x14ac:dyDescent="0.35">
      <c r="A19" s="54">
        <v>13</v>
      </c>
      <c r="B19" s="46">
        <v>666</v>
      </c>
      <c r="C19" s="47" t="s">
        <v>612</v>
      </c>
      <c r="D19" s="48">
        <v>46142</v>
      </c>
      <c r="E19" s="46">
        <v>2</v>
      </c>
      <c r="F19" s="46"/>
      <c r="G19" s="46"/>
      <c r="H19" s="47"/>
      <c r="I19" s="47" t="s">
        <v>531</v>
      </c>
      <c r="J19" s="79" t="str">
        <f>IF(OR(NOT(ISERROR(MATCH(RIGHT(B19,3)+0,#REF!,0))),NOT(ISERROR(MATCH(LEFT(B19,3)+0,#REF!,0)))),"No Post","")</f>
        <v/>
      </c>
    </row>
    <row r="20" spans="1:10" ht="18.600000000000001" customHeight="1" x14ac:dyDescent="0.35">
      <c r="A20" s="54">
        <v>14</v>
      </c>
      <c r="B20" s="165">
        <v>892</v>
      </c>
      <c r="C20" s="94" t="s">
        <v>560</v>
      </c>
      <c r="D20" s="48">
        <v>46145</v>
      </c>
      <c r="E20" s="46">
        <v>2</v>
      </c>
      <c r="F20" s="46">
        <v>1</v>
      </c>
      <c r="G20" s="46"/>
      <c r="H20" s="117" t="s">
        <v>279</v>
      </c>
      <c r="I20" s="46" t="s">
        <v>294</v>
      </c>
      <c r="J20" s="79" t="str">
        <f>IF(OR(NOT(ISERROR(MATCH(RIGHT(B20,3)+0,#REF!,0))),NOT(ISERROR(MATCH(LEFT(B20,3)+0,#REF!,0)))),"No Post","")</f>
        <v/>
      </c>
    </row>
    <row r="21" spans="1:10" ht="18.600000000000001" customHeight="1" x14ac:dyDescent="0.35">
      <c r="A21" s="54">
        <v>15</v>
      </c>
      <c r="B21" s="46"/>
      <c r="C21" s="47"/>
      <c r="D21" s="48"/>
      <c r="E21" s="46"/>
      <c r="F21" s="46"/>
      <c r="G21" s="46"/>
      <c r="H21" s="47"/>
      <c r="I21" s="47"/>
      <c r="J21" s="79" t="str">
        <f>IF(OR(NOT(ISERROR(MATCH(RIGHT(B21,3)+0,#REF!,0))),NOT(ISERROR(MATCH(LEFT(B21,3)+0,#REF!,0)))),"No Post","")</f>
        <v/>
      </c>
    </row>
    <row r="22" spans="1:10" ht="18.600000000000001" customHeight="1" x14ac:dyDescent="0.35">
      <c r="A22" s="54">
        <v>16</v>
      </c>
      <c r="B22" s="46"/>
      <c r="C22" s="47"/>
      <c r="D22" s="48"/>
      <c r="E22" s="46"/>
      <c r="F22" s="46"/>
      <c r="G22" s="46"/>
      <c r="H22" s="47"/>
      <c r="I22" s="47"/>
      <c r="J22" s="79" t="str">
        <f>IF(OR(NOT(ISERROR(MATCH(RIGHT(B22,3)+0,#REF!,0))),NOT(ISERROR(MATCH(LEFT(B22,3)+0,#REF!,0)))),"No Post","")</f>
        <v/>
      </c>
    </row>
    <row r="23" spans="1:10" ht="18.600000000000001" customHeight="1" x14ac:dyDescent="0.35">
      <c r="A23" s="54">
        <v>17</v>
      </c>
      <c r="B23" s="46"/>
      <c r="C23" s="47"/>
      <c r="D23" s="48"/>
      <c r="E23" s="46"/>
      <c r="F23" s="46"/>
      <c r="G23" s="46"/>
      <c r="H23" s="47"/>
      <c r="I23" s="47"/>
      <c r="J23" s="79" t="str">
        <f>IF(OR(NOT(ISERROR(MATCH(RIGHT(B23,3)+0,#REF!,0))),NOT(ISERROR(MATCH(LEFT(B23,3)+0,#REF!,0)))),"No Post","")</f>
        <v/>
      </c>
    </row>
    <row r="24" spans="1:10" ht="18.600000000000001" customHeight="1" x14ac:dyDescent="0.35">
      <c r="A24" s="54">
        <v>18</v>
      </c>
      <c r="B24" s="46"/>
      <c r="C24" s="47"/>
      <c r="D24" s="48"/>
      <c r="E24" s="46"/>
      <c r="F24" s="46"/>
      <c r="G24" s="46"/>
      <c r="H24" s="47"/>
      <c r="I24" s="47"/>
      <c r="J24" s="79" t="str">
        <f>IF(OR(NOT(ISERROR(MATCH(RIGHT(B24,3)+0,#REF!,0))),NOT(ISERROR(MATCH(LEFT(B24,3)+0,#REF!,0)))),"No Post","")</f>
        <v/>
      </c>
    </row>
    <row r="25" spans="1:10" ht="18.600000000000001" customHeight="1" x14ac:dyDescent="0.35">
      <c r="A25" s="54">
        <v>19</v>
      </c>
      <c r="B25" s="46"/>
      <c r="C25" s="47"/>
      <c r="D25" s="48"/>
      <c r="E25" s="46"/>
      <c r="F25" s="46"/>
      <c r="G25" s="46"/>
      <c r="H25" s="47"/>
      <c r="I25" s="47"/>
      <c r="J25" s="79" t="str">
        <f>IF(OR(NOT(ISERROR(MATCH(RIGHT(B25,3)+0,#REF!,0))),NOT(ISERROR(MATCH(LEFT(B25,3)+0,#REF!,0)))),"No Post","")</f>
        <v/>
      </c>
    </row>
    <row r="26" spans="1:10" s="26" customFormat="1" ht="18.600000000000001" customHeight="1" x14ac:dyDescent="0.4">
      <c r="A26" s="54">
        <v>20</v>
      </c>
      <c r="B26" s="46"/>
      <c r="C26" s="47"/>
      <c r="D26" s="48"/>
      <c r="E26" s="46"/>
      <c r="F26" s="46"/>
      <c r="G26" s="46"/>
      <c r="H26" s="47"/>
      <c r="I26" s="47"/>
      <c r="J26" s="79" t="str">
        <f>IF(OR(NOT(ISERROR(MATCH(RIGHT(B26,3)+0,#REF!,0))),NOT(ISERROR(MATCH(LEFT(B26,3)+0,#REF!,0)))),"No Post","")</f>
        <v/>
      </c>
    </row>
    <row r="27" spans="1:10" ht="20.25" customHeight="1" x14ac:dyDescent="0.35">
      <c r="A27" s="49"/>
      <c r="B27" s="49"/>
      <c r="C27" s="49" t="str">
        <f>"Remaning: "&amp;IFERROR(MID(A5, SEARCH("MAX", A5) + LEN("MAX"), SEARCH("PAX", A5) - SEARCH("MAX", A5) - LEN("MAX")), "")+0-SUM(E27:F27)</f>
        <v>Remaning: 22</v>
      </c>
      <c r="D27" s="50" t="s">
        <v>19</v>
      </c>
      <c r="E27" s="51">
        <f>SUM(E7:E26)</f>
        <v>19</v>
      </c>
      <c r="F27" s="51">
        <f>SUM(F17:F26)</f>
        <v>1</v>
      </c>
      <c r="G27" s="49"/>
      <c r="H27" s="49"/>
      <c r="I27" s="49"/>
    </row>
    <row r="28" spans="1:10" ht="20.25" customHeight="1" x14ac:dyDescent="0.35">
      <c r="B28" s="8" t="s">
        <v>5</v>
      </c>
      <c r="C28" s="8"/>
      <c r="D28" s="35"/>
      <c r="E28" s="8"/>
      <c r="F28" s="8"/>
      <c r="G28" s="8"/>
    </row>
    <row r="29" spans="1:10" ht="20.25" customHeight="1" x14ac:dyDescent="0.35">
      <c r="B29" s="15" t="s">
        <v>6</v>
      </c>
      <c r="C29" s="9"/>
      <c r="D29" s="36"/>
      <c r="E29" s="9"/>
      <c r="F29" s="9"/>
      <c r="G29" s="9"/>
    </row>
    <row r="30" spans="1:10" ht="20.25" customHeight="1" x14ac:dyDescent="0.35">
      <c r="B30" s="15" t="s">
        <v>7</v>
      </c>
      <c r="C30" s="9"/>
      <c r="D30" s="36"/>
      <c r="E30" s="9"/>
      <c r="F30" s="9"/>
      <c r="G30" s="9"/>
    </row>
    <row r="31" spans="1:10" ht="20.25" customHeight="1" x14ac:dyDescent="0.35">
      <c r="B31" s="15" t="s">
        <v>8</v>
      </c>
      <c r="C31" s="9"/>
      <c r="D31" s="36"/>
      <c r="E31" s="9"/>
      <c r="F31" s="9"/>
      <c r="G31" s="9"/>
    </row>
    <row r="32" spans="1:10" x14ac:dyDescent="0.35">
      <c r="B32" s="15" t="s">
        <v>9</v>
      </c>
      <c r="C32" s="9"/>
      <c r="D32" s="36"/>
      <c r="E32" s="9"/>
      <c r="F32" s="9"/>
      <c r="G32" s="9"/>
    </row>
    <row r="33" spans="2:7" x14ac:dyDescent="0.35">
      <c r="B33" s="15" t="s">
        <v>10</v>
      </c>
      <c r="C33" s="9"/>
      <c r="D33" s="36"/>
      <c r="E33" s="9"/>
      <c r="F33" s="9"/>
      <c r="G33" s="9"/>
    </row>
    <row r="34" spans="2:7" x14ac:dyDescent="0.35">
      <c r="B34" s="15" t="s">
        <v>11</v>
      </c>
      <c r="C34" s="9"/>
      <c r="D34" s="36"/>
      <c r="E34" s="9"/>
      <c r="F34" s="9"/>
      <c r="G34" s="9"/>
    </row>
    <row r="35" spans="2:7" s="11" customFormat="1" ht="15.6" x14ac:dyDescent="0.3">
      <c r="B35" s="16" t="s">
        <v>12</v>
      </c>
      <c r="C35" s="10"/>
      <c r="D35" s="37"/>
      <c r="E35" s="10"/>
      <c r="F35" s="10"/>
    </row>
    <row r="36" spans="2:7" s="11" customFormat="1" ht="15.6" x14ac:dyDescent="0.3">
      <c r="B36" s="16" t="s">
        <v>13</v>
      </c>
      <c r="C36" s="10"/>
      <c r="D36" s="37"/>
      <c r="E36" s="10"/>
      <c r="F36" s="10"/>
    </row>
    <row r="37" spans="2:7" s="13" customFormat="1" ht="20.25" customHeight="1" x14ac:dyDescent="0.35">
      <c r="B37" s="17" t="s">
        <v>14</v>
      </c>
      <c r="C37" s="12"/>
      <c r="D37" s="38"/>
    </row>
    <row r="38" spans="2:7" s="8" customFormat="1" ht="14.4" x14ac:dyDescent="0.3">
      <c r="B38" s="14"/>
      <c r="C38" s="9"/>
      <c r="D38" s="36"/>
      <c r="E38" s="9"/>
      <c r="F38" s="9"/>
      <c r="G38" s="9"/>
    </row>
    <row r="39" spans="2:7" s="9" customFormat="1" ht="13.8" x14ac:dyDescent="0.3">
      <c r="D39" s="36"/>
    </row>
    <row r="40" spans="2:7" x14ac:dyDescent="0.35">
      <c r="B40" s="9"/>
      <c r="C40" s="9"/>
      <c r="D40" s="36"/>
      <c r="E40" s="9"/>
      <c r="F40" s="9"/>
      <c r="G40" s="9"/>
    </row>
    <row r="41" spans="2:7" x14ac:dyDescent="0.35">
      <c r="B41" s="8"/>
      <c r="C41" s="8"/>
      <c r="D41" s="35"/>
      <c r="E41" s="8"/>
      <c r="F41" s="8"/>
      <c r="G41" s="8"/>
    </row>
    <row r="42" spans="2:7" x14ac:dyDescent="0.35">
      <c r="B42" s="9"/>
      <c r="C42" s="9"/>
      <c r="D42" s="36"/>
      <c r="E42" s="9"/>
      <c r="F42" s="9"/>
      <c r="G42" s="9"/>
    </row>
    <row r="43" spans="2:7" x14ac:dyDescent="0.35">
      <c r="B43" s="9"/>
      <c r="C43" s="9"/>
      <c r="D43" s="36"/>
      <c r="E43" s="9"/>
      <c r="F43" s="9"/>
      <c r="G43" s="9"/>
    </row>
    <row r="44" spans="2:7" x14ac:dyDescent="0.35">
      <c r="B44" s="9"/>
      <c r="C44" s="9"/>
      <c r="D44" s="36"/>
      <c r="E44" s="9"/>
      <c r="F44" s="9"/>
      <c r="G44" s="9"/>
    </row>
    <row r="45" spans="2:7" x14ac:dyDescent="0.35">
      <c r="B45" s="9"/>
      <c r="C45" s="9"/>
      <c r="D45" s="36"/>
      <c r="E45" s="9"/>
      <c r="F45" s="9"/>
      <c r="G45" s="9"/>
    </row>
    <row r="46" spans="2:7" x14ac:dyDescent="0.35">
      <c r="B46" s="9"/>
      <c r="C46" s="9"/>
      <c r="D46" s="36"/>
      <c r="E46" s="9"/>
      <c r="F46" s="9"/>
      <c r="G46" s="9"/>
    </row>
    <row r="47" spans="2:7" x14ac:dyDescent="0.35">
      <c r="B47" s="9"/>
      <c r="C47" s="9"/>
      <c r="D47" s="36"/>
      <c r="E47" s="9"/>
      <c r="F47" s="9"/>
      <c r="G47" s="9"/>
    </row>
    <row r="48" spans="2:7" x14ac:dyDescent="0.35">
      <c r="B48" s="14"/>
      <c r="C48" s="9"/>
      <c r="D48" s="36"/>
      <c r="E48" s="9"/>
      <c r="F48" s="9"/>
      <c r="G48" s="9"/>
    </row>
    <row r="49" spans="2:7" x14ac:dyDescent="0.35">
      <c r="B49" s="9"/>
      <c r="C49" s="9"/>
      <c r="D49" s="36"/>
      <c r="E49" s="9"/>
      <c r="F49" s="9"/>
      <c r="G49" s="9"/>
    </row>
    <row r="51" spans="2:7" x14ac:dyDescent="0.35">
      <c r="B51" s="1"/>
      <c r="C51" s="1"/>
      <c r="D51" s="33"/>
      <c r="E51" s="1"/>
      <c r="F51" s="1"/>
      <c r="G51" s="1"/>
    </row>
    <row r="66" spans="2:7" x14ac:dyDescent="0.35">
      <c r="B66" s="9"/>
      <c r="C66" s="9"/>
      <c r="D66" s="36"/>
      <c r="E66" s="9"/>
      <c r="F66" s="9"/>
      <c r="G66" s="9"/>
    </row>
    <row r="67" spans="2:7" x14ac:dyDescent="0.35">
      <c r="B67" s="9"/>
      <c r="C67" s="9"/>
      <c r="D67" s="36"/>
      <c r="E67" s="9"/>
      <c r="F67" s="9"/>
      <c r="G67" s="9"/>
    </row>
    <row r="68" spans="2:7" x14ac:dyDescent="0.35">
      <c r="B68" s="9"/>
      <c r="C68" s="9"/>
      <c r="D68" s="36"/>
      <c r="E68" s="9"/>
      <c r="F68" s="9"/>
      <c r="G68" s="9"/>
    </row>
    <row r="69" spans="2:7" x14ac:dyDescent="0.35">
      <c r="B69" s="14"/>
      <c r="C69" s="9"/>
      <c r="D69" s="36"/>
      <c r="E69" s="9"/>
      <c r="F69" s="9"/>
      <c r="G69" s="9"/>
    </row>
    <row r="70" spans="2:7" x14ac:dyDescent="0.35">
      <c r="B70" s="9"/>
      <c r="C70" s="9"/>
      <c r="D70" s="36"/>
      <c r="E70" s="9"/>
      <c r="F70" s="9"/>
      <c r="G70" s="9"/>
    </row>
  </sheetData>
  <customSheetViews>
    <customSheetView guid="{744BB052-D863-41D2-951C-2AB325855A97}" showPageBreaks="1" printArea="1">
      <selection activeCell="H11" sqref="H11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B7" sqref="B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 topLeftCell="A4">
      <selection activeCell="M9" sqref="M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G5"/>
  </mergeCells>
  <conditionalFormatting sqref="J7:J26">
    <cfRule type="containsText" dxfId="1" priority="1" operator="containsText" text="No Post">
      <formula>NOT(ISERROR(SEARCH("No Post",J7)))</formula>
    </cfRule>
  </conditionalFormatting>
  <pageMargins left="0.17" right="0.17" top="0.75" bottom="0.75" header="0.3" footer="0.3"/>
  <pageSetup scale="64" orientation="landscape" r:id="rId6"/>
  <rowBreaks count="1" manualBreakCount="1">
    <brk id="38" min="1" max="8" man="1"/>
  </rowBreaks>
  <colBreaks count="1" manualBreakCount="1">
    <brk id="11" max="30" man="1"/>
  </colBreaks>
  <drawing r:id="rId7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73"/>
  <sheetViews>
    <sheetView tabSelected="1" zoomScaleNormal="100" zoomScaleSheetLayoutView="100" workbookViewId="0">
      <selection activeCell="F24" sqref="F24"/>
    </sheetView>
  </sheetViews>
  <sheetFormatPr defaultColWidth="9.109375" defaultRowHeight="18" x14ac:dyDescent="0.35"/>
  <cols>
    <col min="1" max="2" width="9.109375" style="4"/>
    <col min="3" max="3" width="12.77734375" style="4" customWidth="1"/>
    <col min="4" max="4" width="5.109375" style="4" customWidth="1"/>
    <col min="5" max="5" width="14.33203125" style="4" customWidth="1"/>
    <col min="6" max="6" width="44.6640625" style="4" customWidth="1"/>
    <col min="7" max="7" width="16.44140625" style="39" customWidth="1"/>
    <col min="8" max="9" width="9.33203125" style="4" customWidth="1"/>
    <col min="10" max="10" width="10.44140625" style="4" customWidth="1"/>
    <col min="11" max="11" width="26.21875" style="4" customWidth="1"/>
    <col min="12" max="12" width="23" style="4" customWidth="1"/>
    <col min="13" max="16384" width="9.109375" style="4"/>
  </cols>
  <sheetData>
    <row r="2" spans="1:13" x14ac:dyDescent="0.35">
      <c r="F2" s="18" t="s">
        <v>0</v>
      </c>
      <c r="G2" s="32"/>
      <c r="H2" s="5"/>
      <c r="I2" s="5"/>
    </row>
    <row r="4" spans="1:13" s="1" customFormat="1" thickBot="1" x14ac:dyDescent="0.4">
      <c r="G4" s="33"/>
    </row>
    <row r="5" spans="1:13" s="2" customFormat="1" ht="23.4" x14ac:dyDescent="0.45">
      <c r="A5" s="381" t="s">
        <v>15</v>
      </c>
      <c r="B5" s="382"/>
      <c r="C5" s="382"/>
      <c r="D5" s="382"/>
      <c r="E5" s="383"/>
      <c r="F5" s="383"/>
      <c r="G5" s="383"/>
      <c r="H5" s="383"/>
      <c r="I5" s="383"/>
      <c r="J5" s="383"/>
      <c r="K5" s="27" t="s">
        <v>18</v>
      </c>
      <c r="L5" s="28" t="str">
        <f ca="1">CONCATENATE((MID(CELL("filename",L5),FIND("]",CELL("filename",L5))+1,255)),"/04/2026")</f>
        <v>30/04/2026</v>
      </c>
    </row>
    <row r="6" spans="1:13" x14ac:dyDescent="0.35">
      <c r="A6" s="291"/>
      <c r="B6" s="292"/>
      <c r="C6" s="292"/>
      <c r="D6" s="292"/>
      <c r="E6" s="293" t="s">
        <v>1</v>
      </c>
      <c r="F6" s="293" t="s">
        <v>2</v>
      </c>
      <c r="G6" s="294" t="s">
        <v>21</v>
      </c>
      <c r="H6" s="293" t="s">
        <v>16</v>
      </c>
      <c r="I6" s="293" t="s">
        <v>17</v>
      </c>
      <c r="J6" s="293" t="s">
        <v>3</v>
      </c>
      <c r="K6" s="82" t="s">
        <v>20</v>
      </c>
      <c r="L6" s="295" t="s">
        <v>4</v>
      </c>
    </row>
    <row r="7" spans="1:13" x14ac:dyDescent="0.35">
      <c r="A7" s="361"/>
      <c r="B7" s="364"/>
      <c r="C7" s="364"/>
      <c r="D7" s="364"/>
      <c r="E7" s="362"/>
      <c r="F7" s="362" t="s">
        <v>628</v>
      </c>
      <c r="G7" s="363" t="s">
        <v>268</v>
      </c>
      <c r="H7" s="362"/>
      <c r="I7" s="362"/>
      <c r="J7" s="362"/>
      <c r="K7" s="364"/>
      <c r="L7" s="365"/>
    </row>
    <row r="8" spans="1:13" x14ac:dyDescent="0.35">
      <c r="A8" s="43">
        <v>1</v>
      </c>
      <c r="B8" s="43"/>
      <c r="C8" s="374" t="s">
        <v>631</v>
      </c>
      <c r="D8" s="376"/>
      <c r="E8" s="128">
        <v>301</v>
      </c>
      <c r="F8" s="106" t="s">
        <v>60</v>
      </c>
      <c r="G8" s="121">
        <v>46144</v>
      </c>
      <c r="H8" s="106">
        <v>2</v>
      </c>
      <c r="I8" s="106"/>
      <c r="J8" s="106" t="s">
        <v>67</v>
      </c>
      <c r="K8" s="366" t="s">
        <v>106</v>
      </c>
      <c r="L8" s="106" t="s">
        <v>50</v>
      </c>
      <c r="M8" s="96"/>
    </row>
    <row r="9" spans="1:13" x14ac:dyDescent="0.35">
      <c r="A9" s="54">
        <v>2</v>
      </c>
      <c r="B9" s="43"/>
      <c r="C9" s="374" t="s">
        <v>631</v>
      </c>
      <c r="D9" s="376"/>
      <c r="E9" s="98">
        <v>310</v>
      </c>
      <c r="F9" s="46" t="s">
        <v>622</v>
      </c>
      <c r="G9" s="48">
        <v>46145</v>
      </c>
      <c r="H9" s="46">
        <v>2</v>
      </c>
      <c r="I9" s="46"/>
      <c r="J9" s="46"/>
      <c r="K9" s="98" t="s">
        <v>106</v>
      </c>
      <c r="L9" s="46" t="s">
        <v>213</v>
      </c>
      <c r="M9" s="79"/>
    </row>
    <row r="10" spans="1:13" x14ac:dyDescent="0.35">
      <c r="A10" s="54">
        <v>3</v>
      </c>
      <c r="B10" s="43"/>
      <c r="C10" s="374" t="s">
        <v>631</v>
      </c>
      <c r="D10" s="376"/>
      <c r="E10" s="99">
        <v>323</v>
      </c>
      <c r="F10" s="46" t="s">
        <v>618</v>
      </c>
      <c r="G10" s="48">
        <v>46145</v>
      </c>
      <c r="H10" s="46">
        <v>2</v>
      </c>
      <c r="I10" s="46"/>
      <c r="J10" s="46"/>
      <c r="K10" s="99" t="s">
        <v>495</v>
      </c>
      <c r="L10" s="46" t="s">
        <v>472</v>
      </c>
      <c r="M10" s="79" t="s">
        <v>273</v>
      </c>
    </row>
    <row r="11" spans="1:13" x14ac:dyDescent="0.35">
      <c r="A11" s="54">
        <v>4</v>
      </c>
      <c r="B11" s="54"/>
      <c r="C11" s="375" t="s">
        <v>632</v>
      </c>
      <c r="D11" s="170"/>
      <c r="E11" s="98">
        <v>614</v>
      </c>
      <c r="F11" s="46" t="s">
        <v>616</v>
      </c>
      <c r="G11" s="48">
        <v>46142</v>
      </c>
      <c r="H11" s="46" t="s">
        <v>208</v>
      </c>
      <c r="I11" s="46"/>
      <c r="J11" s="46"/>
      <c r="K11" s="98" t="s">
        <v>106</v>
      </c>
      <c r="L11" s="46" t="s">
        <v>455</v>
      </c>
      <c r="M11" s="96"/>
    </row>
    <row r="12" spans="1:13" x14ac:dyDescent="0.35">
      <c r="A12" s="54">
        <v>5</v>
      </c>
      <c r="B12" s="54"/>
      <c r="C12" s="375" t="s">
        <v>632</v>
      </c>
      <c r="D12" s="170"/>
      <c r="E12" s="98">
        <v>615</v>
      </c>
      <c r="F12" s="46" t="s">
        <v>615</v>
      </c>
      <c r="G12" s="48">
        <v>46142</v>
      </c>
      <c r="H12" s="46" t="s">
        <v>208</v>
      </c>
      <c r="I12" s="46"/>
      <c r="J12" s="46"/>
      <c r="K12" s="98" t="s">
        <v>106</v>
      </c>
      <c r="L12" s="46" t="s">
        <v>135</v>
      </c>
      <c r="M12" s="96"/>
    </row>
    <row r="13" spans="1:13" x14ac:dyDescent="0.35">
      <c r="A13" s="54">
        <v>6</v>
      </c>
      <c r="B13" s="43"/>
      <c r="C13" s="374" t="s">
        <v>631</v>
      </c>
      <c r="D13" s="376"/>
      <c r="E13" s="98" t="s">
        <v>625</v>
      </c>
      <c r="F13" s="46" t="s">
        <v>450</v>
      </c>
      <c r="G13" s="48">
        <v>46144</v>
      </c>
      <c r="H13" s="46">
        <v>2</v>
      </c>
      <c r="I13" s="46"/>
      <c r="J13" s="46"/>
      <c r="K13" s="373" t="s">
        <v>106</v>
      </c>
      <c r="L13" s="46" t="s">
        <v>452</v>
      </c>
      <c r="M13" s="79" t="str">
        <f>IF(OR(NOT(ISERROR(MATCH(RIGHT(E13,3)+0,#REF!,0))),NOT(ISERROR(MATCH(LEFT(E13,3)+0,#REF!,0)))),"No Post","")</f>
        <v/>
      </c>
    </row>
    <row r="14" spans="1:13" x14ac:dyDescent="0.35">
      <c r="A14" s="54">
        <v>7</v>
      </c>
      <c r="B14" s="43"/>
      <c r="C14" s="374" t="s">
        <v>631</v>
      </c>
      <c r="D14" s="376"/>
      <c r="E14" s="97">
        <v>840</v>
      </c>
      <c r="F14" s="46" t="s">
        <v>603</v>
      </c>
      <c r="G14" s="48">
        <v>46144</v>
      </c>
      <c r="H14" s="46">
        <v>2</v>
      </c>
      <c r="I14" s="46"/>
      <c r="J14" s="46" t="s">
        <v>626</v>
      </c>
      <c r="K14" s="97" t="s">
        <v>124</v>
      </c>
      <c r="L14" s="46" t="s">
        <v>510</v>
      </c>
      <c r="M14" s="79" t="s">
        <v>273</v>
      </c>
    </row>
    <row r="15" spans="1:13" x14ac:dyDescent="0.35">
      <c r="A15" s="54">
        <v>8</v>
      </c>
      <c r="B15" s="43"/>
      <c r="C15" s="374" t="s">
        <v>631</v>
      </c>
      <c r="D15" s="376"/>
      <c r="E15" s="97">
        <v>846</v>
      </c>
      <c r="F15" s="46" t="s">
        <v>620</v>
      </c>
      <c r="G15" s="48">
        <v>46143</v>
      </c>
      <c r="H15" s="46">
        <v>2</v>
      </c>
      <c r="I15" s="46"/>
      <c r="J15" s="46"/>
      <c r="K15" s="97" t="s">
        <v>124</v>
      </c>
      <c r="L15" s="46" t="s">
        <v>256</v>
      </c>
      <c r="M15" s="79" t="s">
        <v>273</v>
      </c>
    </row>
    <row r="16" spans="1:13" x14ac:dyDescent="0.35">
      <c r="A16" s="54">
        <v>9</v>
      </c>
      <c r="B16" s="43"/>
      <c r="C16" s="375" t="s">
        <v>632</v>
      </c>
      <c r="D16" s="376"/>
      <c r="E16" s="98">
        <v>847</v>
      </c>
      <c r="F16" s="46" t="s">
        <v>617</v>
      </c>
      <c r="G16" s="48">
        <v>46145</v>
      </c>
      <c r="H16" s="46" t="s">
        <v>208</v>
      </c>
      <c r="I16" s="46"/>
      <c r="J16" s="46"/>
      <c r="K16" s="98" t="s">
        <v>106</v>
      </c>
      <c r="L16" s="46" t="s">
        <v>256</v>
      </c>
      <c r="M16" s="96"/>
    </row>
    <row r="17" spans="1:13" x14ac:dyDescent="0.35">
      <c r="A17" s="54">
        <v>10</v>
      </c>
      <c r="B17" s="54"/>
      <c r="C17" s="375" t="s">
        <v>632</v>
      </c>
      <c r="D17" s="170"/>
      <c r="E17" s="97">
        <v>848</v>
      </c>
      <c r="F17" s="21" t="s">
        <v>43</v>
      </c>
      <c r="G17" s="48">
        <v>46145</v>
      </c>
      <c r="H17" s="46" t="s">
        <v>208</v>
      </c>
      <c r="I17" s="46"/>
      <c r="J17" s="46" t="s">
        <v>67</v>
      </c>
      <c r="K17" s="367" t="s">
        <v>124</v>
      </c>
      <c r="L17" s="46" t="s">
        <v>44</v>
      </c>
      <c r="M17" s="79" t="s">
        <v>273</v>
      </c>
    </row>
    <row r="18" spans="1:13" x14ac:dyDescent="0.35">
      <c r="A18" s="54">
        <v>11</v>
      </c>
      <c r="B18" s="54"/>
      <c r="C18" s="375" t="s">
        <v>632</v>
      </c>
      <c r="D18" s="54"/>
      <c r="E18" s="97">
        <v>866</v>
      </c>
      <c r="F18" s="46" t="s">
        <v>599</v>
      </c>
      <c r="G18" s="48">
        <v>46150</v>
      </c>
      <c r="H18" s="46" t="s">
        <v>208</v>
      </c>
      <c r="I18" s="46"/>
      <c r="J18" s="46"/>
      <c r="K18" s="97" t="s">
        <v>274</v>
      </c>
      <c r="L18" s="46" t="s">
        <v>510</v>
      </c>
      <c r="M18" s="79"/>
    </row>
    <row r="19" spans="1:13" x14ac:dyDescent="0.35">
      <c r="A19" s="369"/>
      <c r="B19" s="370"/>
      <c r="C19" s="370"/>
      <c r="D19" s="370"/>
      <c r="E19" s="371"/>
      <c r="F19" s="186" t="s">
        <v>269</v>
      </c>
      <c r="G19" s="187" t="s">
        <v>270</v>
      </c>
      <c r="H19" s="371"/>
      <c r="I19" s="371"/>
      <c r="J19" s="371"/>
      <c r="K19" s="371"/>
      <c r="L19" s="372"/>
      <c r="M19" s="79"/>
    </row>
    <row r="20" spans="1:13" ht="18.600000000000001" customHeight="1" x14ac:dyDescent="0.35">
      <c r="A20" s="54">
        <v>12</v>
      </c>
      <c r="B20" s="43"/>
      <c r="C20" s="374" t="s">
        <v>631</v>
      </c>
      <c r="D20" s="43"/>
      <c r="E20" s="98">
        <v>874</v>
      </c>
      <c r="F20" s="46" t="s">
        <v>623</v>
      </c>
      <c r="G20" s="48">
        <v>46143</v>
      </c>
      <c r="H20" s="46">
        <v>2</v>
      </c>
      <c r="I20" s="46"/>
      <c r="J20" s="46"/>
      <c r="K20" s="98" t="s">
        <v>106</v>
      </c>
      <c r="L20" s="46" t="s">
        <v>595</v>
      </c>
      <c r="M20" s="79" t="str">
        <f>IF(OR(NOT(ISERROR(MATCH(RIGHT(E20,3)+0,#REF!,0))),NOT(ISERROR(MATCH(LEFT(E20,3)+0,#REF!,0)))),"No Post","")</f>
        <v/>
      </c>
    </row>
    <row r="21" spans="1:13" ht="18.600000000000001" customHeight="1" x14ac:dyDescent="0.35">
      <c r="A21" s="54">
        <v>13</v>
      </c>
      <c r="B21" s="43"/>
      <c r="C21" s="374" t="s">
        <v>631</v>
      </c>
      <c r="D21" s="54"/>
      <c r="E21" s="98">
        <v>877</v>
      </c>
      <c r="F21" s="46" t="s">
        <v>594</v>
      </c>
      <c r="G21" s="48">
        <v>46143</v>
      </c>
      <c r="H21" s="46">
        <v>2</v>
      </c>
      <c r="I21" s="46"/>
      <c r="J21" s="46"/>
      <c r="K21" s="98" t="s">
        <v>106</v>
      </c>
      <c r="L21" s="46" t="s">
        <v>213</v>
      </c>
      <c r="M21" s="79" t="str">
        <f>IF(OR(NOT(ISERROR(MATCH(RIGHT(E21,3)+0,#REF!,0))),NOT(ISERROR(MATCH(LEFT(E21,3)+0,#REF!,0)))),"No Post","")</f>
        <v/>
      </c>
    </row>
    <row r="22" spans="1:13" ht="18.600000000000001" customHeight="1" x14ac:dyDescent="0.35">
      <c r="A22" s="54">
        <v>14</v>
      </c>
      <c r="B22" s="54"/>
      <c r="C22" s="375" t="s">
        <v>632</v>
      </c>
      <c r="D22" s="54"/>
      <c r="E22" s="97">
        <v>882</v>
      </c>
      <c r="F22" s="46" t="s">
        <v>614</v>
      </c>
      <c r="G22" s="48">
        <v>46146</v>
      </c>
      <c r="H22" s="46" t="s">
        <v>208</v>
      </c>
      <c r="I22" s="46"/>
      <c r="J22" s="46" t="s">
        <v>626</v>
      </c>
      <c r="K22" s="97" t="s">
        <v>124</v>
      </c>
      <c r="L22" s="46" t="s">
        <v>455</v>
      </c>
      <c r="M22" s="79" t="s">
        <v>273</v>
      </c>
    </row>
    <row r="23" spans="1:13" ht="18.600000000000001" customHeight="1" x14ac:dyDescent="0.35">
      <c r="A23" s="54">
        <v>15</v>
      </c>
      <c r="B23" s="43"/>
      <c r="C23" s="374" t="s">
        <v>631</v>
      </c>
      <c r="D23" s="54"/>
      <c r="E23" s="97">
        <v>891</v>
      </c>
      <c r="F23" s="46" t="s">
        <v>613</v>
      </c>
      <c r="G23" s="48">
        <v>46143</v>
      </c>
      <c r="H23" s="46">
        <v>2</v>
      </c>
      <c r="I23" s="46"/>
      <c r="J23" s="46"/>
      <c r="K23" s="97" t="s">
        <v>124</v>
      </c>
      <c r="L23" s="46" t="s">
        <v>135</v>
      </c>
      <c r="M23" s="79" t="s">
        <v>273</v>
      </c>
    </row>
    <row r="24" spans="1:13" ht="18.600000000000001" customHeight="1" x14ac:dyDescent="0.35">
      <c r="A24" s="54">
        <v>16</v>
      </c>
      <c r="B24" s="43"/>
      <c r="C24" s="374" t="s">
        <v>631</v>
      </c>
      <c r="D24" s="54"/>
      <c r="E24" s="368">
        <v>892</v>
      </c>
      <c r="F24" s="94" t="s">
        <v>560</v>
      </c>
      <c r="G24" s="48">
        <v>46145</v>
      </c>
      <c r="H24" s="46">
        <v>2</v>
      </c>
      <c r="I24" s="46">
        <v>1</v>
      </c>
      <c r="J24" s="46"/>
      <c r="K24" s="117" t="s">
        <v>279</v>
      </c>
      <c r="L24" s="46" t="s">
        <v>294</v>
      </c>
      <c r="M24" s="79" t="str">
        <f>IF(OR(NOT(ISERROR(MATCH(RIGHT(E24,3)+0,#REF!,0))),NOT(ISERROR(MATCH(LEFT(E24,3)+0,#REF!,0)))),"No Post","")</f>
        <v/>
      </c>
    </row>
    <row r="25" spans="1:13" ht="18.600000000000001" customHeight="1" x14ac:dyDescent="0.35">
      <c r="A25" s="54">
        <v>17</v>
      </c>
      <c r="B25" s="43"/>
      <c r="C25" s="374" t="s">
        <v>631</v>
      </c>
      <c r="D25" s="54"/>
      <c r="E25" s="98">
        <v>894</v>
      </c>
      <c r="F25" s="46" t="s">
        <v>602</v>
      </c>
      <c r="G25" s="48">
        <v>46143</v>
      </c>
      <c r="H25" s="46">
        <v>2</v>
      </c>
      <c r="I25" s="46"/>
      <c r="J25" s="46"/>
      <c r="K25" s="98" t="s">
        <v>106</v>
      </c>
      <c r="L25" s="46"/>
      <c r="M25" s="79" t="str">
        <f>IF(OR(NOT(ISERROR(MATCH(RIGHT(E25,3)+0,#REF!,0))),NOT(ISERROR(MATCH(LEFT(E25,3)+0,#REF!,0)))),"No Post","")</f>
        <v/>
      </c>
    </row>
    <row r="26" spans="1:13" ht="18.600000000000001" customHeight="1" x14ac:dyDescent="0.35">
      <c r="A26" s="54">
        <v>18</v>
      </c>
      <c r="B26" s="43"/>
      <c r="C26" s="375" t="s">
        <v>632</v>
      </c>
      <c r="D26" s="54"/>
      <c r="E26" s="99" t="s">
        <v>624</v>
      </c>
      <c r="F26" s="46" t="s">
        <v>619</v>
      </c>
      <c r="G26" s="48">
        <v>46142</v>
      </c>
      <c r="H26" s="46" t="s">
        <v>208</v>
      </c>
      <c r="I26" s="46"/>
      <c r="J26" s="46"/>
      <c r="K26" s="99" t="s">
        <v>495</v>
      </c>
      <c r="L26" s="46" t="s">
        <v>472</v>
      </c>
      <c r="M26" s="79" t="s">
        <v>273</v>
      </c>
    </row>
    <row r="27" spans="1:13" ht="18.600000000000001" customHeight="1" x14ac:dyDescent="0.35">
      <c r="A27" s="54">
        <v>19</v>
      </c>
      <c r="B27" s="54"/>
      <c r="C27" s="375" t="s">
        <v>632</v>
      </c>
      <c r="D27" s="54"/>
      <c r="E27" s="143" t="s">
        <v>633</v>
      </c>
      <c r="F27" s="46" t="s">
        <v>627</v>
      </c>
      <c r="G27" s="48">
        <v>46114</v>
      </c>
      <c r="H27" s="46" t="s">
        <v>208</v>
      </c>
      <c r="I27" s="46" t="s">
        <v>208</v>
      </c>
      <c r="J27" s="46"/>
      <c r="K27" s="143" t="s">
        <v>606</v>
      </c>
      <c r="L27" s="46" t="s">
        <v>406</v>
      </c>
      <c r="M27" s="79" t="s">
        <v>273</v>
      </c>
    </row>
    <row r="28" spans="1:13" ht="18.600000000000001" customHeight="1" x14ac:dyDescent="0.35">
      <c r="A28" s="54">
        <v>20</v>
      </c>
      <c r="B28" s="43"/>
      <c r="C28" s="375" t="s">
        <v>632</v>
      </c>
      <c r="D28" s="54"/>
      <c r="E28" s="98">
        <v>630</v>
      </c>
      <c r="F28" s="46" t="s">
        <v>630</v>
      </c>
      <c r="G28" s="48">
        <v>46143</v>
      </c>
      <c r="H28" s="46" t="s">
        <v>208</v>
      </c>
      <c r="I28" s="46"/>
      <c r="J28" s="46"/>
      <c r="K28" s="98" t="s">
        <v>106</v>
      </c>
      <c r="L28" s="46" t="s">
        <v>406</v>
      </c>
      <c r="M28" s="79" t="str">
        <f>IF(OR(NOT(ISERROR(MATCH(RIGHT(E28,3)+0,#REF!,0))),NOT(ISERROR(MATCH(LEFT(E28,3)+0,#REF!,0)))),"No Post","")</f>
        <v/>
      </c>
    </row>
    <row r="29" spans="1:13" s="26" customFormat="1" ht="18.600000000000001" customHeight="1" x14ac:dyDescent="0.4">
      <c r="A29" s="54">
        <v>21</v>
      </c>
      <c r="B29" s="54"/>
      <c r="C29" s="375" t="s">
        <v>632</v>
      </c>
      <c r="D29" s="54"/>
      <c r="E29" s="98">
        <v>629</v>
      </c>
      <c r="F29" s="21" t="s">
        <v>629</v>
      </c>
      <c r="G29" s="48">
        <v>46143</v>
      </c>
      <c r="H29" s="46" t="s">
        <v>208</v>
      </c>
      <c r="I29" s="46"/>
      <c r="J29" s="46"/>
      <c r="K29" s="98" t="s">
        <v>106</v>
      </c>
      <c r="L29" s="46" t="s">
        <v>406</v>
      </c>
      <c r="M29" s="79"/>
    </row>
    <row r="30" spans="1:13" ht="20.25" customHeight="1" x14ac:dyDescent="0.35">
      <c r="A30" s="264"/>
      <c r="B30" s="265"/>
      <c r="C30" s="265"/>
      <c r="D30" s="265"/>
      <c r="E30" s="265"/>
      <c r="F30" s="265" t="str">
        <f>"Remaning: "&amp;IFERROR(MID(A5, SEARCH("MAX", A5) + LEN("MAX"), SEARCH("PAX", A5) - SEARCH("MAX", A5) - LEN("MAX")), "")+0-SUM(H30:I30)</f>
        <v>Remaning: -3</v>
      </c>
      <c r="G30" s="266" t="s">
        <v>19</v>
      </c>
      <c r="H30" s="267">
        <f>SUM(H8:H29)</f>
        <v>22</v>
      </c>
      <c r="I30" s="267">
        <f>SUM(I20:I29)</f>
        <v>1</v>
      </c>
      <c r="J30" s="265"/>
      <c r="K30" s="265"/>
      <c r="L30" s="251"/>
    </row>
    <row r="31" spans="1:13" ht="20.25" customHeight="1" x14ac:dyDescent="0.35">
      <c r="E31" s="8" t="s">
        <v>5</v>
      </c>
      <c r="F31" s="8"/>
      <c r="G31" s="35"/>
      <c r="H31" s="8"/>
      <c r="I31" s="8"/>
      <c r="J31" s="8"/>
    </row>
    <row r="32" spans="1:13" ht="20.25" customHeight="1" x14ac:dyDescent="0.35">
      <c r="E32" s="15" t="s">
        <v>6</v>
      </c>
      <c r="F32" s="9"/>
      <c r="G32" s="36"/>
      <c r="H32" s="9"/>
      <c r="I32" s="9"/>
      <c r="J32" s="9"/>
    </row>
    <row r="33" spans="5:10" ht="20.25" customHeight="1" x14ac:dyDescent="0.35">
      <c r="E33" s="15" t="s">
        <v>7</v>
      </c>
      <c r="F33" s="9"/>
      <c r="G33" s="36"/>
      <c r="H33" s="9"/>
      <c r="I33" s="9"/>
      <c r="J33" s="9"/>
    </row>
    <row r="34" spans="5:10" ht="20.25" customHeight="1" x14ac:dyDescent="0.35">
      <c r="E34" s="15" t="s">
        <v>8</v>
      </c>
      <c r="F34" s="9"/>
      <c r="G34" s="36"/>
      <c r="H34" s="9"/>
      <c r="I34" s="9"/>
      <c r="J34" s="9"/>
    </row>
    <row r="35" spans="5:10" x14ac:dyDescent="0.35">
      <c r="E35" s="15" t="s">
        <v>9</v>
      </c>
      <c r="F35" s="9"/>
      <c r="G35" s="36"/>
      <c r="H35" s="9"/>
      <c r="I35" s="9"/>
      <c r="J35" s="9"/>
    </row>
    <row r="36" spans="5:10" x14ac:dyDescent="0.35">
      <c r="E36" s="15" t="s">
        <v>10</v>
      </c>
      <c r="F36" s="9"/>
      <c r="G36" s="36"/>
      <c r="H36" s="9"/>
      <c r="I36" s="9"/>
      <c r="J36" s="9"/>
    </row>
    <row r="37" spans="5:10" x14ac:dyDescent="0.35">
      <c r="E37" s="15" t="s">
        <v>11</v>
      </c>
      <c r="F37" s="9"/>
      <c r="G37" s="36"/>
      <c r="H37" s="9"/>
      <c r="I37" s="9"/>
      <c r="J37" s="9"/>
    </row>
    <row r="38" spans="5:10" s="11" customFormat="1" ht="15.6" x14ac:dyDescent="0.3">
      <c r="E38" s="16" t="s">
        <v>12</v>
      </c>
      <c r="F38" s="10"/>
      <c r="G38" s="37"/>
      <c r="H38" s="10"/>
      <c r="I38" s="10"/>
    </row>
    <row r="39" spans="5:10" s="11" customFormat="1" ht="15.6" x14ac:dyDescent="0.3">
      <c r="E39" s="16" t="s">
        <v>13</v>
      </c>
      <c r="F39" s="10"/>
      <c r="G39" s="37"/>
      <c r="H39" s="10"/>
      <c r="I39" s="10"/>
    </row>
    <row r="40" spans="5:10" s="13" customFormat="1" ht="20.25" customHeight="1" x14ac:dyDescent="0.35">
      <c r="E40" s="17" t="s">
        <v>14</v>
      </c>
      <c r="F40" s="12"/>
      <c r="G40" s="38"/>
    </row>
    <row r="41" spans="5:10" s="8" customFormat="1" ht="14.4" x14ac:dyDescent="0.3">
      <c r="E41" s="14"/>
      <c r="F41" s="9"/>
      <c r="G41" s="36"/>
      <c r="H41" s="9"/>
      <c r="I41" s="9"/>
      <c r="J41" s="9"/>
    </row>
    <row r="42" spans="5:10" s="9" customFormat="1" ht="13.8" x14ac:dyDescent="0.3">
      <c r="G42" s="36"/>
    </row>
    <row r="43" spans="5:10" x14ac:dyDescent="0.35">
      <c r="E43" s="9"/>
      <c r="F43" s="9"/>
      <c r="G43" s="36"/>
      <c r="H43" s="9"/>
      <c r="I43" s="9"/>
      <c r="J43" s="9"/>
    </row>
    <row r="44" spans="5:10" x14ac:dyDescent="0.35">
      <c r="E44" s="8"/>
      <c r="F44" s="8"/>
      <c r="G44" s="35"/>
      <c r="H44" s="8"/>
      <c r="I44" s="8"/>
      <c r="J44" s="8"/>
    </row>
    <row r="45" spans="5:10" x14ac:dyDescent="0.35">
      <c r="E45" s="9"/>
      <c r="F45" s="9"/>
      <c r="G45" s="36"/>
      <c r="H45" s="9"/>
      <c r="I45" s="9"/>
      <c r="J45" s="9"/>
    </row>
    <row r="46" spans="5:10" x14ac:dyDescent="0.35">
      <c r="E46" s="9"/>
      <c r="F46" s="9"/>
      <c r="G46" s="36"/>
      <c r="H46" s="9"/>
      <c r="I46" s="9"/>
      <c r="J46" s="9"/>
    </row>
    <row r="47" spans="5:10" x14ac:dyDescent="0.35">
      <c r="E47" s="9"/>
      <c r="F47" s="9"/>
      <c r="G47" s="36"/>
      <c r="H47" s="9"/>
      <c r="I47" s="9"/>
      <c r="J47" s="9"/>
    </row>
    <row r="48" spans="5:10" x14ac:dyDescent="0.35">
      <c r="E48" s="9"/>
      <c r="F48" s="9"/>
      <c r="G48" s="36"/>
      <c r="H48" s="9"/>
      <c r="I48" s="9"/>
      <c r="J48" s="9"/>
    </row>
    <row r="49" spans="5:10" x14ac:dyDescent="0.35">
      <c r="E49" s="9"/>
      <c r="F49" s="9"/>
      <c r="G49" s="36"/>
      <c r="H49" s="9"/>
      <c r="I49" s="9"/>
      <c r="J49" s="9"/>
    </row>
    <row r="50" spans="5:10" x14ac:dyDescent="0.35">
      <c r="E50" s="9"/>
      <c r="F50" s="9"/>
      <c r="G50" s="36"/>
      <c r="H50" s="9"/>
      <c r="I50" s="9"/>
      <c r="J50" s="9"/>
    </row>
    <row r="51" spans="5:10" x14ac:dyDescent="0.35">
      <c r="E51" s="14"/>
      <c r="F51" s="9"/>
      <c r="G51" s="36"/>
      <c r="H51" s="9"/>
      <c r="I51" s="9"/>
      <c r="J51" s="9"/>
    </row>
    <row r="52" spans="5:10" x14ac:dyDescent="0.35">
      <c r="E52" s="9"/>
      <c r="F52" s="9"/>
      <c r="G52" s="36"/>
      <c r="H52" s="9"/>
      <c r="I52" s="9"/>
      <c r="J52" s="9"/>
    </row>
    <row r="54" spans="5:10" x14ac:dyDescent="0.35">
      <c r="E54" s="1"/>
      <c r="F54" s="1"/>
      <c r="G54" s="33"/>
      <c r="H54" s="1"/>
      <c r="I54" s="1"/>
      <c r="J54" s="1"/>
    </row>
    <row r="69" spans="5:10" x14ac:dyDescent="0.35">
      <c r="E69" s="9"/>
      <c r="F69" s="9"/>
      <c r="G69" s="36"/>
      <c r="H69" s="9"/>
      <c r="I69" s="9"/>
      <c r="J69" s="9"/>
    </row>
    <row r="70" spans="5:10" x14ac:dyDescent="0.35">
      <c r="E70" s="9"/>
      <c r="F70" s="9"/>
      <c r="G70" s="36"/>
      <c r="H70" s="9"/>
      <c r="I70" s="9"/>
      <c r="J70" s="9"/>
    </row>
    <row r="71" spans="5:10" x14ac:dyDescent="0.35">
      <c r="E71" s="9"/>
      <c r="F71" s="9"/>
      <c r="G71" s="36"/>
      <c r="H71" s="9"/>
      <c r="I71" s="9"/>
      <c r="J71" s="9"/>
    </row>
    <row r="72" spans="5:10" x14ac:dyDescent="0.35">
      <c r="E72" s="14"/>
      <c r="F72" s="9"/>
      <c r="G72" s="36"/>
      <c r="H72" s="9"/>
      <c r="I72" s="9"/>
      <c r="J72" s="9"/>
    </row>
    <row r="73" spans="5:10" x14ac:dyDescent="0.35">
      <c r="E73" s="9"/>
      <c r="F73" s="9"/>
      <c r="G73" s="36"/>
      <c r="H73" s="9"/>
      <c r="I73" s="9"/>
      <c r="J73" s="9"/>
    </row>
  </sheetData>
  <sortState ref="E7:L24">
    <sortCondition ref="E7"/>
  </sortState>
  <customSheetViews>
    <customSheetView guid="{744BB052-D863-41D2-951C-2AB325855A97}" showPageBreaks="1" printArea="1">
      <selection activeCell="F24" sqref="F24"/>
      <rowBreaks count="1" manualBreakCount="1">
        <brk id="41" min="3" max="10" man="1"/>
      </rowBreaks>
      <colBreaks count="1" manualBreakCount="1">
        <brk id="13" max="30" man="1"/>
      </colBreaks>
      <pageMargins left="0.17" right="0.17" top="0.75" bottom="0.75" header="0.3" footer="0.3"/>
      <pageSetup scale="64" orientation="landscape" r:id="rId1"/>
    </customSheetView>
    <customSheetView guid="{E646B2A6-D876-4850-BD6A-9EDE7D7D90A5}">
      <selection activeCell="I9" sqref="I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2"/>
    </customSheetView>
    <customSheetView guid="{BF5B6E81-A93C-498B-825D-A8F997D33B36}" showPageBreaks="1" printArea="1">
      <selection activeCell="I9" sqref="I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3"/>
    </customSheetView>
    <customSheetView guid="{F72E1D2B-35A0-48DE-9DE8-D5DC19588220}" showPageBreaks="1" printArea="1">
      <selection activeCell="I9" sqref="I9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4"/>
    </customSheetView>
    <customSheetView guid="{4E59406A-696F-45F3-96CE-A9A2B9D4DCC4}" showPageBreaks="1" printArea="1">
      <selection activeCell="G27" sqref="G27"/>
      <rowBreaks count="1" manualBreakCount="1">
        <brk id="38" min="1" max="8" man="1"/>
      </rowBreaks>
      <colBreaks count="1" manualBreakCount="1">
        <brk id="11" max="30" man="1"/>
      </colBreaks>
      <pageMargins left="0.17" right="0.17" top="0.75" bottom="0.75" header="0.3" footer="0.3"/>
      <pageSetup scale="64" orientation="landscape" r:id="rId5"/>
    </customSheetView>
  </customSheetViews>
  <mergeCells count="1">
    <mergeCell ref="A5:J5"/>
  </mergeCells>
  <conditionalFormatting sqref="M8:M29">
    <cfRule type="containsText" dxfId="0" priority="1" operator="containsText" text="No Post">
      <formula>NOT(ISERROR(SEARCH("No Post",M8)))</formula>
    </cfRule>
  </conditionalFormatting>
  <pageMargins left="0.17" right="0.17" top="0.75" bottom="0.75" header="0.3" footer="0.3"/>
  <pageSetup scale="64" orientation="landscape" r:id="rId6"/>
  <rowBreaks count="1" manualBreakCount="1">
    <brk id="41" min="3" max="10" man="1"/>
  </rowBreaks>
  <colBreaks count="1" manualBreakCount="1">
    <brk id="13" max="30" man="1"/>
  </colBreaks>
  <drawing r:id="rId7"/>
</worksheet>
</file>

<file path=xl/worksheets/wsSortMap1.xml><?xml version="1.0" encoding="utf-8"?>
<worksheetSortMap xmlns="http://schemas.microsoft.com/office/excel/2006/main">
  <rowSortMap ref="A8:XFD27" count="16">
    <row newVal="7" oldVal="8"/>
    <row newVal="8" oldVal="26"/>
    <row newVal="9" oldVal="14"/>
    <row newVal="12" oldVal="20"/>
    <row newVal="13" oldVal="24"/>
    <row newVal="14" oldVal="16"/>
    <row newVal="15" oldVal="13"/>
    <row newVal="16" oldVal="7"/>
    <row newVal="19" oldVal="25"/>
    <row newVal="20" oldVal="23"/>
    <row newVal="21" oldVal="22"/>
    <row newVal="22" oldVal="9"/>
    <row newVal="23" oldVal="12"/>
    <row newVal="24" oldVal="21"/>
    <row newVal="25" oldVal="19"/>
    <row newVal="26" oldVal="15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30</vt:i4>
      </vt:variant>
    </vt:vector>
  </HeadingPairs>
  <TitlesOfParts>
    <vt:vector size="6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Dive Centre Office</cp:lastModifiedBy>
  <cp:lastPrinted>2026-04-23T11:25:58Z</cp:lastPrinted>
  <dcterms:created xsi:type="dcterms:W3CDTF">2019-01-14T08:48:29Z</dcterms:created>
  <dcterms:modified xsi:type="dcterms:W3CDTF">2026-05-01T08:33:49Z</dcterms:modified>
</cp:coreProperties>
</file>