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BOOKINGS\2026\04- April\"/>
    </mc:Choice>
  </mc:AlternateContent>
  <bookViews>
    <workbookView xWindow="0" yWindow="0" windowWidth="23040" windowHeight="9072" tabRatio="853" activeTab="6"/>
  </bookViews>
  <sheets>
    <sheet name="4" sheetId="1" r:id="rId1"/>
    <sheet name="7" sheetId="2" r:id="rId2"/>
    <sheet name="11" sheetId="3" r:id="rId3"/>
    <sheet name="14" sheetId="4" r:id="rId4"/>
    <sheet name="18" sheetId="5" r:id="rId5"/>
    <sheet name="21" sheetId="6" r:id="rId6"/>
    <sheet name="25" sheetId="7" r:id="rId7"/>
    <sheet name="28" sheetId="8" r:id="rId8"/>
  </sheets>
  <definedNames>
    <definedName name="_xlnm.Print_Area" localSheetId="0">'4'!$A$1:$J$29</definedName>
    <definedName name="Z_3401187C_FEA2_4BBD_A2A1_1470385212C9_.wvu.PrintArea" localSheetId="0" hidden="1">'4'!$A$1:$J$29</definedName>
    <definedName name="Z_3B7A717D_F7C1_4B3F_A808_FA5F4AC70C7F_.wvu.PrintArea" localSheetId="0" hidden="1">'4'!$A$1:$J$29</definedName>
    <definedName name="Z_F71AB124_05BD_4C18_9EA5_D07F5595DBB7_.wvu.PrintArea" localSheetId="0" hidden="1">'4'!$A$1:$J$29</definedName>
  </definedNames>
  <calcPr calcId="162913" calcOnSave="0"/>
  <customWorkbookViews>
    <customWorkbookView name="Assistant DiveCenter Manager - Personal View" guid="{3401187C-FEA2-4BBD-A2A1-1470385212C9}" mergeInterval="0" personalView="1" maximized="1" xWindow="-9" yWindow="-9" windowWidth="1938" windowHeight="1038" tabRatio="853" activeSheetId="2"/>
    <customWorkbookView name="Dhigurah Water Sports - Personal View" guid="{F71AB124-05BD-4C18-9EA5-D07F5595DBB7}" mergeInterval="0" personalView="1" maximized="1" xWindow="-8" yWindow="-8" windowWidth="1382" windowHeight="736" tabRatio="853" activeSheetId="1"/>
    <customWorkbookView name="Dive Centre Office - Personal View" guid="{3B7A717D-F7C1-4B3F-A808-FA5F4AC70C7F}" mergeInterval="0" personalView="1" maximized="1" xWindow="-9" yWindow="-9" windowWidth="1938" windowHeight="1038" tabRatio="853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7" i="3" l="1"/>
  <c r="J5" i="8" l="1"/>
  <c r="J5" i="7"/>
  <c r="J5" i="6"/>
  <c r="K5" i="5"/>
  <c r="J5" i="4"/>
  <c r="J5" i="3"/>
  <c r="J5" i="2"/>
  <c r="J5" i="1"/>
  <c r="F17" i="8" l="1"/>
  <c r="E17" i="8"/>
  <c r="K16" i="8"/>
  <c r="K15" i="8"/>
  <c r="K14" i="8"/>
  <c r="K13" i="8"/>
  <c r="K12" i="8"/>
  <c r="K11" i="8"/>
  <c r="K10" i="8"/>
  <c r="K9" i="8"/>
  <c r="K8" i="8"/>
  <c r="F17" i="7"/>
  <c r="E17" i="7"/>
  <c r="K16" i="7"/>
  <c r="K15" i="7"/>
  <c r="K14" i="7"/>
  <c r="K13" i="7"/>
  <c r="K12" i="7"/>
  <c r="K11" i="7"/>
  <c r="K10" i="7"/>
  <c r="F17" i="6"/>
  <c r="E17" i="6"/>
  <c r="K16" i="6"/>
  <c r="K15" i="6"/>
  <c r="K14" i="6"/>
  <c r="K13" i="6"/>
  <c r="K12" i="6"/>
  <c r="K11" i="6"/>
  <c r="K10" i="6"/>
  <c r="K9" i="6"/>
  <c r="K8" i="6"/>
  <c r="K7" i="6"/>
  <c r="G17" i="5"/>
  <c r="F17" i="5"/>
  <c r="L16" i="5"/>
  <c r="L15" i="5"/>
  <c r="L14" i="5"/>
  <c r="L13" i="5"/>
  <c r="L12" i="5"/>
  <c r="L11" i="5"/>
  <c r="L10" i="5"/>
  <c r="L9" i="5"/>
  <c r="F17" i="4"/>
  <c r="E17" i="4"/>
  <c r="K16" i="4"/>
  <c r="K15" i="4"/>
  <c r="K14" i="4"/>
  <c r="K13" i="4"/>
  <c r="K12" i="4"/>
  <c r="K11" i="4"/>
  <c r="K10" i="4"/>
  <c r="K9" i="4"/>
  <c r="K8" i="4"/>
  <c r="K7" i="4"/>
  <c r="F17" i="3"/>
  <c r="E17" i="3"/>
  <c r="K16" i="3"/>
  <c r="K15" i="3"/>
  <c r="K14" i="3"/>
  <c r="K13" i="3"/>
  <c r="K12" i="3"/>
  <c r="K11" i="3"/>
  <c r="K10" i="3"/>
  <c r="K9" i="3"/>
  <c r="K8" i="3"/>
  <c r="F17" i="2"/>
  <c r="E17" i="2"/>
  <c r="K16" i="2"/>
  <c r="K15" i="2"/>
  <c r="K14" i="2"/>
  <c r="K13" i="2"/>
  <c r="K12" i="2"/>
  <c r="K11" i="2"/>
  <c r="K10" i="2"/>
  <c r="K9" i="2"/>
  <c r="K8" i="2"/>
  <c r="K8" i="1" l="1"/>
  <c r="K9" i="1"/>
  <c r="K10" i="1"/>
  <c r="K11" i="1"/>
  <c r="K12" i="1"/>
  <c r="K13" i="1"/>
  <c r="K14" i="1"/>
  <c r="K15" i="1"/>
  <c r="F17" i="1" l="1"/>
  <c r="E17" i="1"/>
  <c r="K7" i="1" l="1"/>
  <c r="K16" i="1"/>
</calcChain>
</file>

<file path=xl/sharedStrings.xml><?xml version="1.0" encoding="utf-8"?>
<sst xmlns="http://schemas.openxmlformats.org/spreadsheetml/2006/main" count="223" uniqueCount="47">
  <si>
    <t xml:space="preserve">Note :  we require a booking  of 4 guests minimum </t>
  </si>
  <si>
    <r>
      <rPr>
        <b/>
        <sz val="18"/>
        <color theme="1"/>
        <rFont val="Calibri"/>
        <family val="2"/>
        <scheme val="minor"/>
      </rPr>
      <t xml:space="preserve">Date: </t>
    </r>
    <r>
      <rPr>
        <sz val="18"/>
        <color theme="1"/>
        <rFont val="Calibri"/>
        <family val="2"/>
        <scheme val="minor"/>
      </rPr>
      <t xml:space="preserve">                 </t>
    </r>
  </si>
  <si>
    <t>Room No:</t>
  </si>
  <si>
    <t>Guest Name</t>
  </si>
  <si>
    <t>Liability</t>
  </si>
  <si>
    <t>Bill No: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</si>
  <si>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</si>
  <si>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</si>
  <si>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</si>
  <si>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</si>
  <si>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</si>
  <si>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</si>
  <si>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</si>
  <si>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</si>
  <si>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</si>
  <si>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</si>
  <si>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</si>
  <si>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Child</t>
  </si>
  <si>
    <t>TOTAL</t>
  </si>
  <si>
    <t>Adults</t>
  </si>
  <si>
    <t>Remarks</t>
  </si>
  <si>
    <t>Departure</t>
  </si>
  <si>
    <t>LOCAL ISLAND EXCURSION (MAX 10PAX)  USD$70 PP  9:30 TO 11:30</t>
  </si>
  <si>
    <t>Mr. Emmanuelle Vetu Coste</t>
  </si>
  <si>
    <t>Mrs. Mireille Vetu</t>
  </si>
  <si>
    <t>Mr. Sylviane Coste</t>
  </si>
  <si>
    <t>Monica/Vifau</t>
  </si>
  <si>
    <t>Mr. Jean Audouin Duval</t>
  </si>
  <si>
    <t>Vifau/Shamrath</t>
  </si>
  <si>
    <t xml:space="preserve">MA CHENGHUA .MR </t>
  </si>
  <si>
    <t>OLD</t>
  </si>
  <si>
    <t>MS. HONG MEI</t>
  </si>
  <si>
    <t>Shamrath/Tarush</t>
  </si>
  <si>
    <t xml:space="preserve">MR. YANG,ZIXI </t>
  </si>
  <si>
    <t>Mrs Karen Messer</t>
  </si>
  <si>
    <t>Faiha/Aiperi</t>
  </si>
  <si>
    <t>Artem Irushmanov</t>
  </si>
  <si>
    <t>Steven Woods</t>
  </si>
  <si>
    <t>ALLOCATION</t>
  </si>
  <si>
    <t>Faiha</t>
  </si>
  <si>
    <t>Aurelien Goillot</t>
  </si>
  <si>
    <t>Edwige Touzart</t>
  </si>
  <si>
    <t>Rahil</t>
  </si>
  <si>
    <t>Carsten Sattel</t>
  </si>
  <si>
    <t>CXL2</t>
  </si>
  <si>
    <t>SAI</t>
  </si>
  <si>
    <t>NO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</si>
</sst>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indent="14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3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/>
    </xf>
    <xf numFmtId="0" fontId="2" fillId="3" borderId="8" xfId="0" applyFont="1" applyFill="1" applyBorder="1"/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0" xfId="0" applyNumberFormat="1" applyFont="1" applyFill="1"/>
    <xf numFmtId="14" fontId="2" fillId="0" borderId="0" xfId="0" applyNumberFormat="1" applyFont="1"/>
    <xf numFmtId="14" fontId="3" fillId="0" borderId="0" xfId="0" applyNumberFormat="1" applyFont="1"/>
    <xf numFmtId="14" fontId="4" fillId="0" borderId="3" xfId="0" applyNumberFormat="1" applyFont="1" applyBorder="1"/>
    <xf numFmtId="14" fontId="3" fillId="3" borderId="6" xfId="0" applyNumberFormat="1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0" fillId="0" borderId="0" xfId="0" applyNumberFormat="1"/>
    <xf numFmtId="14" fontId="7" fillId="0" borderId="0" xfId="0" applyNumberFormat="1" applyFont="1"/>
    <xf numFmtId="14" fontId="8" fillId="2" borderId="0" xfId="0" applyNumberFormat="1" applyFont="1" applyFill="1"/>
    <xf numFmtId="14" fontId="9" fillId="0" borderId="0" xfId="0" applyNumberFormat="1" applyFont="1"/>
    <xf numFmtId="14" fontId="3" fillId="0" borderId="0" xfId="0" applyNumberFormat="1" applyFont="1" applyAlignment="1">
      <alignment horizontal="center"/>
    </xf>
    <xf numFmtId="0" fontId="13" fillId="0" borderId="0" xfId="0" applyFont="1"/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8" xfId="0" applyFont="1" applyFill="1" applyBorder="1"/>
    <xf numFmtId="0" fontId="2" fillId="4" borderId="8" xfId="0" applyFont="1" applyFill="1" applyBorder="1" applyAlignment="1">
      <alignment horizontal="center"/>
    </xf>
    <xf numFmtId="0" fontId="2" fillId="4" borderId="8" xfId="0" applyFont="1" applyFill="1" applyBorder="1"/>
    <xf numFmtId="0" fontId="2" fillId="4" borderId="1" xfId="0" applyFont="1" applyFill="1" applyBorder="1"/>
    <xf numFmtId="0" fontId="4" fillId="0" borderId="9" xfId="0" applyFont="1" applyBorder="1"/>
    <xf numFmtId="0" fontId="2" fillId="3" borderId="1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1" xfId="0" applyFont="1" applyFill="1" applyBorder="1"/>
    <xf numFmtId="0" fontId="2" fillId="3" borderId="8" xfId="0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usernames" Target="revisions/userNames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3</xdr:col>
      <xdr:colOff>30481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9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" Type="http://schemas.openxmlformats.org/officeDocument/2006/relationships/revisionLog" Target="revisionLog3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29" Type="http://schemas.openxmlformats.org/officeDocument/2006/relationships/revisionLog" Target="revisionLog29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8" Type="http://schemas.openxmlformats.org/officeDocument/2006/relationships/revisionLog" Target="revisionLog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A20F263-1E0C-4DEB-AEC0-9AF2C0E4B075}" diskRevisions="1" revisionId="131" version="36">
  <header guid="{364A8356-7AF8-45DF-8041-D595B1C1026C}" dateTime="2026-04-01T14:53:24" maxSheetId="9" userName="Dive Centre Office" r:id="rId1">
    <sheetIdMap count="8">
      <sheetId val="1"/>
      <sheetId val="2"/>
      <sheetId val="3"/>
      <sheetId val="4"/>
      <sheetId val="5"/>
      <sheetId val="6"/>
      <sheetId val="7"/>
      <sheetId val="8"/>
    </sheetIdMap>
  </header>
  <header guid="{D2DC1292-F479-4CD9-A6FD-1EF677D0941F}" dateTime="2026-04-03T11:48:36" maxSheetId="9" userName="Dhigurah Water Sports" r:id="rId2">
    <sheetIdMap count="8">
      <sheetId val="1"/>
      <sheetId val="2"/>
      <sheetId val="3"/>
      <sheetId val="4"/>
      <sheetId val="5"/>
      <sheetId val="6"/>
      <sheetId val="7"/>
      <sheetId val="8"/>
    </sheetIdMap>
  </header>
  <header guid="{9014F49B-6600-415D-A98F-ACC2C9CCADDB}" dateTime="2026-04-04T15:25:36" maxSheetId="9" userName="Dive Centre Office" r:id="rId3" minRId="2" maxRId="7">
    <sheetIdMap count="8">
      <sheetId val="1"/>
      <sheetId val="2"/>
      <sheetId val="3"/>
      <sheetId val="4"/>
      <sheetId val="5"/>
      <sheetId val="6"/>
      <sheetId val="7"/>
      <sheetId val="8"/>
    </sheetIdMap>
  </header>
  <header guid="{0319EB25-2DF5-4BAA-BA42-577CD91EC7A1}" dateTime="2026-04-05T12:41:06" maxSheetId="9" userName="Dive Centre Office" r:id="rId4" minRId="8" maxRId="82">
    <sheetIdMap count="8">
      <sheetId val="1"/>
      <sheetId val="2"/>
      <sheetId val="3"/>
      <sheetId val="4"/>
      <sheetId val="5"/>
      <sheetId val="6"/>
      <sheetId val="7"/>
      <sheetId val="8"/>
    </sheetIdMap>
  </header>
  <header guid="{CE80BB68-8454-4C29-B833-B72211ECDF11}" dateTime="2026-04-06T08:50:55" maxSheetId="9" userName="Assistant DiveCenter Manager" r:id="rId5">
    <sheetIdMap count="8">
      <sheetId val="1"/>
      <sheetId val="2"/>
      <sheetId val="3"/>
      <sheetId val="4"/>
      <sheetId val="5"/>
      <sheetId val="6"/>
      <sheetId val="7"/>
      <sheetId val="8"/>
    </sheetIdMap>
  </header>
  <header guid="{A42993A8-2FF7-470F-9F8E-8586A8737692}" dateTime="2026-04-06T08:52:31" maxSheetId="9" userName="Dive Centre Office" r:id="rId6" minRId="84">
    <sheetIdMap count="8">
      <sheetId val="1"/>
      <sheetId val="2"/>
      <sheetId val="3"/>
      <sheetId val="4"/>
      <sheetId val="5"/>
      <sheetId val="6"/>
      <sheetId val="7"/>
      <sheetId val="8"/>
    </sheetIdMap>
  </header>
  <header guid="{AD54DC40-CED7-4CBA-AAF0-651F2FA84120}" dateTime="2026-04-07T08:03:28" maxSheetId="9" userName="Assistant DiveCenter Manager" r:id="rId7" minRId="85">
    <sheetIdMap count="8">
      <sheetId val="1"/>
      <sheetId val="2"/>
      <sheetId val="3"/>
      <sheetId val="4"/>
      <sheetId val="5"/>
      <sheetId val="6"/>
      <sheetId val="7"/>
      <sheetId val="8"/>
    </sheetIdMap>
  </header>
  <header guid="{C13C76D7-38E9-489C-909F-0D2D8562C90D}" dateTime="2026-04-07T08:10:45" maxSheetId="9" userName="Assistant DiveCenter Manager" r:id="rId8">
    <sheetIdMap count="8">
      <sheetId val="1"/>
      <sheetId val="2"/>
      <sheetId val="3"/>
      <sheetId val="4"/>
      <sheetId val="5"/>
      <sheetId val="6"/>
      <sheetId val="7"/>
      <sheetId val="8"/>
    </sheetIdMap>
  </header>
  <header guid="{5B624F1A-ADA4-4509-93B8-46EE7F87A108}" dateTime="2026-04-07T08:11:33" maxSheetId="9" userName="Assistant DiveCenter Manager" r:id="rId9" minRId="86">
    <sheetIdMap count="8">
      <sheetId val="1"/>
      <sheetId val="2"/>
      <sheetId val="3"/>
      <sheetId val="4"/>
      <sheetId val="5"/>
      <sheetId val="6"/>
      <sheetId val="7"/>
      <sheetId val="8"/>
    </sheetIdMap>
  </header>
  <header guid="{5C2B63DD-70E5-4DD6-A708-43AA115858E8}" dateTime="2026-04-07T09:13:34" maxSheetId="9" userName="Dive Centre Office" r:id="rId10">
    <sheetIdMap count="8">
      <sheetId val="1"/>
      <sheetId val="2"/>
      <sheetId val="3"/>
      <sheetId val="4"/>
      <sheetId val="5"/>
      <sheetId val="6"/>
      <sheetId val="7"/>
      <sheetId val="8"/>
    </sheetIdMap>
  </header>
  <header guid="{DA569512-79A4-464A-9698-50B7FDEF6855}" dateTime="2026-04-07T09:16:33" maxSheetId="9" userName="Dive Centre Office" r:id="rId11">
    <sheetIdMap count="8">
      <sheetId val="1"/>
      <sheetId val="2"/>
      <sheetId val="3"/>
      <sheetId val="4"/>
      <sheetId val="5"/>
      <sheetId val="6"/>
      <sheetId val="7"/>
      <sheetId val="8"/>
    </sheetIdMap>
  </header>
  <header guid="{37209F6A-B232-4CAC-BE10-15E43190702C}" dateTime="2026-04-07T09:37:20" maxSheetId="9" userName="Assistant DiveCenter Manager" r:id="rId12">
    <sheetIdMap count="8">
      <sheetId val="1"/>
      <sheetId val="2"/>
      <sheetId val="3"/>
      <sheetId val="4"/>
      <sheetId val="5"/>
      <sheetId val="6"/>
      <sheetId val="7"/>
      <sheetId val="8"/>
    </sheetIdMap>
  </header>
  <header guid="{80421DE5-A7C0-494D-A908-0B548B07E0CE}" dateTime="2026-04-09T14:19:44" maxSheetId="9" userName="Assistant DiveCenter Manager" r:id="rId13" minRId="87" maxRId="89">
    <sheetIdMap count="8">
      <sheetId val="1"/>
      <sheetId val="2"/>
      <sheetId val="3"/>
      <sheetId val="4"/>
      <sheetId val="5"/>
      <sheetId val="6"/>
      <sheetId val="7"/>
      <sheetId val="8"/>
    </sheetIdMap>
  </header>
  <header guid="{B55424D1-28F5-46FF-8AF5-E1ED0E382E74}" dateTime="2026-04-11T08:40:03" maxSheetId="9" userName="Dive Centre Office" r:id="rId14" minRId="90" maxRId="92">
    <sheetIdMap count="8">
      <sheetId val="1"/>
      <sheetId val="2"/>
      <sheetId val="3"/>
      <sheetId val="4"/>
      <sheetId val="5"/>
      <sheetId val="6"/>
      <sheetId val="7"/>
      <sheetId val="8"/>
    </sheetIdMap>
  </header>
  <header guid="{85161F35-9ABF-4720-9E22-ADFAB54052E0}" dateTime="2026-04-11T08:41:30" maxSheetId="9" userName="Dive Centre Office" r:id="rId15" minRId="93">
    <sheetIdMap count="8">
      <sheetId val="1"/>
      <sheetId val="2"/>
      <sheetId val="3"/>
      <sheetId val="4"/>
      <sheetId val="5"/>
      <sheetId val="6"/>
      <sheetId val="7"/>
      <sheetId val="8"/>
    </sheetIdMap>
  </header>
  <header guid="{DD455C1E-178C-4862-B276-00A57A383DDB}" dateTime="2026-04-11T09:14:10" maxSheetId="9" userName="Dive Centre Office" r:id="rId16">
    <sheetIdMap count="8">
      <sheetId val="1"/>
      <sheetId val="2"/>
      <sheetId val="3"/>
      <sheetId val="4"/>
      <sheetId val="5"/>
      <sheetId val="6"/>
      <sheetId val="7"/>
      <sheetId val="8"/>
    </sheetIdMap>
  </header>
  <header guid="{D0168422-DB8B-4657-996A-365122B260D1}" dateTime="2026-04-13T10:29:19" maxSheetId="9" userName="Dive Centre Office" r:id="rId17" minRId="94" maxRId="99">
    <sheetIdMap count="8">
      <sheetId val="1"/>
      <sheetId val="2"/>
      <sheetId val="3"/>
      <sheetId val="4"/>
      <sheetId val="5"/>
      <sheetId val="6"/>
      <sheetId val="7"/>
      <sheetId val="8"/>
    </sheetIdMap>
  </header>
  <header guid="{CD896EE1-04D4-4EB2-8DC3-AA9BD8269F5A}" dateTime="2026-04-13T10:33:23" maxSheetId="9" userName="Dive Centre Office" r:id="rId18" minRId="100" maxRId="103">
    <sheetIdMap count="8">
      <sheetId val="1"/>
      <sheetId val="2"/>
      <sheetId val="3"/>
      <sheetId val="4"/>
      <sheetId val="5"/>
      <sheetId val="6"/>
      <sheetId val="7"/>
      <sheetId val="8"/>
    </sheetIdMap>
  </header>
  <header guid="{B4384FC3-AF2B-4161-ADDF-496A2FC70672}" dateTime="2026-04-13T14:07:38" maxSheetId="9" userName="Dive Centre Office" r:id="rId19" minRId="104">
    <sheetIdMap count="8">
      <sheetId val="1"/>
      <sheetId val="2"/>
      <sheetId val="3"/>
      <sheetId val="4"/>
      <sheetId val="5"/>
      <sheetId val="6"/>
      <sheetId val="7"/>
      <sheetId val="8"/>
    </sheetIdMap>
  </header>
  <header guid="{6BA37F38-F7FC-4127-BAED-3332253B5B5E}" dateTime="2026-04-15T12:03:53" maxSheetId="9" userName="Dive Centre Office" r:id="rId20" minRId="105" maxRId="107">
    <sheetIdMap count="8">
      <sheetId val="1"/>
      <sheetId val="2"/>
      <sheetId val="3"/>
      <sheetId val="4"/>
      <sheetId val="5"/>
      <sheetId val="6"/>
      <sheetId val="7"/>
      <sheetId val="8"/>
    </sheetIdMap>
  </header>
  <header guid="{E0DB00AF-13BB-409A-80BB-EB02AA1D1F70}" dateTime="2026-04-15T12:04:36" maxSheetId="9" userName="Dive Centre Office" r:id="rId21" minRId="108" maxRId="109">
    <sheetIdMap count="8">
      <sheetId val="1"/>
      <sheetId val="2"/>
      <sheetId val="3"/>
      <sheetId val="4"/>
      <sheetId val="5"/>
      <sheetId val="6"/>
      <sheetId val="7"/>
      <sheetId val="8"/>
    </sheetIdMap>
  </header>
  <header guid="{5DF93DD5-4BCE-4AFF-A146-99F20C8B62DB}" dateTime="2026-04-16T17:02:06" maxSheetId="9" userName="Dive Centre Office" r:id="rId22" minRId="110">
    <sheetIdMap count="8">
      <sheetId val="1"/>
      <sheetId val="2"/>
      <sheetId val="3"/>
      <sheetId val="4"/>
      <sheetId val="5"/>
      <sheetId val="6"/>
      <sheetId val="7"/>
      <sheetId val="8"/>
    </sheetIdMap>
  </header>
  <header guid="{7DE42009-389F-4C2C-8272-AA05C0ACD2B1}" dateTime="2026-04-18T08:22:58" maxSheetId="9" userName="Dive Centre Office" r:id="rId23" minRId="111" maxRId="115">
    <sheetIdMap count="8">
      <sheetId val="1"/>
      <sheetId val="2"/>
      <sheetId val="3"/>
      <sheetId val="4"/>
      <sheetId val="5"/>
      <sheetId val="6"/>
      <sheetId val="7"/>
      <sheetId val="8"/>
    </sheetIdMap>
  </header>
  <header guid="{4A2B9E5F-5779-4CEA-8259-2D4E4283FBE4}" dateTime="2026-04-18T08:23:14" maxSheetId="9" userName="Dive Centre Office" r:id="rId24" minRId="116">
    <sheetIdMap count="8">
      <sheetId val="1"/>
      <sheetId val="2"/>
      <sheetId val="3"/>
      <sheetId val="4"/>
      <sheetId val="5"/>
      <sheetId val="6"/>
      <sheetId val="7"/>
      <sheetId val="8"/>
    </sheetIdMap>
  </header>
  <header guid="{07728FAC-8AE9-41D9-BE3D-EB70B73F0E6A}" dateTime="2026-04-18T09:23:06" maxSheetId="9" userName="Dive Centre Office" r:id="rId25">
    <sheetIdMap count="8">
      <sheetId val="1"/>
      <sheetId val="2"/>
      <sheetId val="3"/>
      <sheetId val="4"/>
      <sheetId val="5"/>
      <sheetId val="6"/>
      <sheetId val="7"/>
      <sheetId val="8"/>
    </sheetIdMap>
  </header>
  <header guid="{3D702B58-5D79-438B-A105-7D65D28CAF88}" dateTime="2026-04-18T09:33:26" maxSheetId="9" userName="Dive Centre Office" r:id="rId26" minRId="118">
    <sheetIdMap count="8">
      <sheetId val="1"/>
      <sheetId val="2"/>
      <sheetId val="3"/>
      <sheetId val="4"/>
      <sheetId val="5"/>
      <sheetId val="6"/>
      <sheetId val="7"/>
      <sheetId val="8"/>
    </sheetIdMap>
  </header>
  <header guid="{0A300474-0041-4FC4-A377-C989D97F27FA}" dateTime="2026-04-23T16:23:22" maxSheetId="9" userName="Dive Centre Office" r:id="rId27" minRId="119">
    <sheetIdMap count="8">
      <sheetId val="1"/>
      <sheetId val="2"/>
      <sheetId val="3"/>
      <sheetId val="4"/>
      <sheetId val="5"/>
      <sheetId val="6"/>
      <sheetId val="7"/>
      <sheetId val="8"/>
    </sheetIdMap>
  </header>
  <header guid="{DC8E54A3-D632-42F9-85C1-EA4EFA698049}" dateTime="2026-04-24T17:22:47" maxSheetId="9" userName="Dive Centre Office" r:id="rId28">
    <sheetIdMap count="8">
      <sheetId val="1"/>
      <sheetId val="2"/>
      <sheetId val="3"/>
      <sheetId val="4"/>
      <sheetId val="5"/>
      <sheetId val="6"/>
      <sheetId val="7"/>
      <sheetId val="8"/>
    </sheetIdMap>
  </header>
  <header guid="{6C5038C4-1903-4B6A-B505-B1B623E370AF}" dateTime="2026-04-24T17:24:29" maxSheetId="9" userName="Dive Centre Office" r:id="rId29" minRId="121" maxRId="123">
    <sheetIdMap count="8">
      <sheetId val="1"/>
      <sheetId val="2"/>
      <sheetId val="3"/>
      <sheetId val="4"/>
      <sheetId val="5"/>
      <sheetId val="6"/>
      <sheetId val="7"/>
      <sheetId val="8"/>
    </sheetIdMap>
  </header>
  <header guid="{CB8FAFB7-147F-4B22-B6E8-9F39BAD6F75B}" dateTime="2026-04-25T08:46:59" maxSheetId="9" userName="Dive Centre Office" r:id="rId30">
    <sheetIdMap count="8">
      <sheetId val="1"/>
      <sheetId val="2"/>
      <sheetId val="3"/>
      <sheetId val="4"/>
      <sheetId val="5"/>
      <sheetId val="6"/>
      <sheetId val="7"/>
      <sheetId val="8"/>
    </sheetIdMap>
  </header>
  <header guid="{577249BA-CCF7-418D-BC1C-1A3CA88878F0}" dateTime="2026-04-25T09:11:15" maxSheetId="9" userName="Dive Centre Office" r:id="rId31" minRId="125" maxRId="127">
    <sheetIdMap count="8">
      <sheetId val="1"/>
      <sheetId val="2"/>
      <sheetId val="3"/>
      <sheetId val="4"/>
      <sheetId val="5"/>
      <sheetId val="6"/>
      <sheetId val="7"/>
      <sheetId val="8"/>
    </sheetIdMap>
  </header>
  <header guid="{31B6B1F3-9F74-4491-B580-4605AF51994F}" dateTime="2026-04-25T09:11:27" maxSheetId="9" userName="Dive Centre Office" r:id="rId32">
    <sheetIdMap count="8">
      <sheetId val="1"/>
      <sheetId val="2"/>
      <sheetId val="3"/>
      <sheetId val="4"/>
      <sheetId val="5"/>
      <sheetId val="6"/>
      <sheetId val="7"/>
      <sheetId val="8"/>
    </sheetIdMap>
  </header>
  <header guid="{4C4D6FAD-B9D7-425C-B85A-4F784A93EB86}" dateTime="2026-04-25T09:34:10" maxSheetId="9" userName="Dive Centre Office" r:id="rId33" minRId="129">
    <sheetIdMap count="8">
      <sheetId val="1"/>
      <sheetId val="2"/>
      <sheetId val="3"/>
      <sheetId val="4"/>
      <sheetId val="5"/>
      <sheetId val="6"/>
      <sheetId val="7"/>
      <sheetId val="8"/>
    </sheetIdMap>
  </header>
  <header guid="{CBFD13B7-978B-4FAA-B9D0-9F6F5420BF93}" dateTime="2026-04-25T10:29:06" maxSheetId="9" userName="Dive Centre Office" r:id="rId34">
    <sheetIdMap count="8">
      <sheetId val="1"/>
      <sheetId val="2"/>
      <sheetId val="3"/>
      <sheetId val="4"/>
      <sheetId val="5"/>
      <sheetId val="6"/>
      <sheetId val="7"/>
      <sheetId val="8"/>
    </sheetIdMap>
  </header>
  <header guid="{0AA6990A-34A5-443F-92AB-7F4979157DE6}" dateTime="2026-04-27T17:07:19" maxSheetId="9" userName="Dive Centre Office" r:id="rId35" minRId="130">
    <sheetIdMap count="8">
      <sheetId val="1"/>
      <sheetId val="2"/>
      <sheetId val="3"/>
      <sheetId val="4"/>
      <sheetId val="5"/>
      <sheetId val="6"/>
      <sheetId val="7"/>
      <sheetId val="8"/>
    </sheetIdMap>
  </header>
  <header guid="{6A20F263-1E0C-4DEB-AEC0-9AF2C0E4B075}" dateTime="2026-05-05T09:56:28" maxSheetId="9" userName="Assistant DiveCenter Manager" r:id="rId36" minRId="131">
    <sheetIdMap count="8">
      <sheetId val="1"/>
      <sheetId val="2"/>
      <sheetId val="3"/>
      <sheetId val="4"/>
      <sheetId val="5"/>
      <sheetId val="6"/>
      <sheetId val="7"/>
      <sheetId val="8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F71AB124_05BD_4C18_9EA5_D07F5595DBB7_.wvu.PrintArea" hidden="1" oldHidden="1">
    <formula>'4'!$A$1:$J$29</formula>
  </rdn>
  <rcv guid="{F71AB124-05BD-4C18-9EA5-D07F5595DBB7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" sId="2">
    <nc r="B9">
      <v>615</v>
    </nc>
  </rcc>
  <rcc rId="3" sId="2">
    <nc r="F9">
      <v>1</v>
    </nc>
  </rcc>
  <rcc rId="4" sId="2">
    <nc r="E9">
      <v>3</v>
    </nc>
  </rcc>
  <rcc rId="5" sId="2">
    <nc r="J9" t="inlineStr">
      <is>
        <t>Faiha/Aiperi</t>
      </is>
    </nc>
  </rcc>
  <rcc rId="6" sId="2">
    <nc r="C9" t="inlineStr">
      <is>
        <t>Artem Irushmanov</t>
      </is>
    </nc>
  </rcc>
  <rcc rId="7" sId="2" numFmtId="19">
    <nc r="D9">
      <v>46120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" sId="1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9" sId="1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0" sId="1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1" sId="1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2" sId="1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3" sId="1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4" sId="1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5" sId="1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6" sId="1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7" sId="1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8" sId="2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9" sId="2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20" sId="2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1" sId="2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2" sId="2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3" sId="2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4" sId="2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5" sId="2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6" sId="2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27" sId="3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28" sId="3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29" sId="3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30" sId="3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31" sId="3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32" sId="3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33" sId="3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34" sId="3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35" sId="3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36" sId="3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37" sId="4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38" sId="4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39" sId="4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40" sId="4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41" sId="4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42" sId="4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43" sId="4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44" sId="4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45" sId="4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46" sId="4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47" sId="5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48" sId="5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49" sId="5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50" sId="5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51" sId="5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52" sId="5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53" sId="5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54" sId="5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55" sId="5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56" sId="5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57" sId="6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58" sId="6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59" sId="6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60" sId="6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61" sId="6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62" sId="6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63" sId="6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64" sId="6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65" sId="6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66" sId="6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67" sId="7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68" sId="7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69" sId="7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70" sId="7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71" sId="7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72" sId="7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73" sId="7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74" sId="8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75" sId="8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76" sId="8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77" sId="8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78" sId="8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79" sId="8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80" sId="8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81" sId="8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82" sId="8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3401187C_FEA2_4BBD_A2A1_1470385212C9_.wvu.PrintArea" hidden="1" oldHidden="1">
    <formula>'4'!$A$1:$J$29</formula>
  </rdn>
  <rcv guid="{3401187C-FEA2-4BBD-A2A1-1470385212C9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" sId="2">
    <oc r="B8" t="inlineStr">
      <is>
        <t>Prebooking</t>
      </is>
    </oc>
    <nc r="B8">
      <v>820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" sId="2">
    <oc r="B7" t="inlineStr">
      <is>
        <t>Prebooking</t>
      </is>
    </oc>
    <nc r="B7">
      <v>308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8">
    <dxf>
      <fill>
        <patternFill>
          <bgColor rgb="FF92D050"/>
        </patternFill>
      </fill>
    </dxf>
  </rfmt>
  <rfmt sheetId="2" sqref="B9">
    <dxf>
      <fill>
        <patternFill>
          <bgColor rgb="FFFFFF00"/>
        </patternFill>
      </fill>
    </dxf>
  </rfmt>
  <rfmt sheetId="2" sqref="B7">
    <dxf>
      <fill>
        <patternFill>
          <bgColor rgb="FFFFFF00"/>
        </patternFill>
      </fill>
    </dxf>
  </rfmt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" sId="2">
    <nc r="L7">
      <v>70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9">
    <dxf>
      <fill>
        <patternFill>
          <bgColor rgb="FFFF0000"/>
        </patternFill>
      </fill>
    </dxf>
  </rfmt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8">
    <dxf>
      <fill>
        <patternFill>
          <bgColor rgb="FFFF0000"/>
        </patternFill>
      </fill>
    </dxf>
  </rfmt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7">
    <dxf>
      <fill>
        <patternFill>
          <bgColor rgb="FFFF0000"/>
        </patternFill>
      </fill>
    </dxf>
  </rfmt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" sId="3">
    <nc r="B8">
      <v>815</v>
    </nc>
  </rcc>
  <rcc rId="88" sId="3">
    <nc r="E8">
      <v>2</v>
    </nc>
  </rcc>
  <rcc rId="89" sId="3">
    <nc r="F8">
      <v>2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" sId="3">
    <oc r="B7" t="inlineStr">
      <is>
        <t>Prebooking</t>
      </is>
    </oc>
    <nc r="B7">
      <v>856</v>
    </nc>
  </rcc>
  <rcc rId="91" sId="3">
    <nc r="C8" t="inlineStr">
      <is>
        <t>Steven Woods</t>
      </is>
    </nc>
  </rcc>
  <rcc rId="92" sId="3" numFmtId="19">
    <nc r="D8">
      <v>46129</v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3" sId="3">
    <oc r="I7" t="inlineStr">
      <is>
        <t>3249933, 3249932-TRMD</t>
      </is>
    </oc>
    <nc r="I7" t="inlineStr">
      <is>
        <t>ALLOCATION</t>
      </is>
    </nc>
  </rcc>
  <rfmt sheetId="3" sqref="I7">
    <dxf>
      <fill>
        <patternFill>
          <bgColor rgb="FF92D050"/>
        </patternFill>
      </fill>
    </dxf>
  </rfmt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A7:A8">
    <dxf>
      <fill>
        <patternFill>
          <bgColor rgb="FF92D050"/>
        </patternFill>
      </fill>
    </dxf>
  </rfmt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4" sId="5" odxf="1" dxf="1">
    <nc r="B7">
      <v>865</v>
    </nc>
    <odxf>
      <border outline="0">
        <top/>
      </border>
    </odxf>
    <ndxf>
      <border outline="0">
        <top style="thin">
          <color indexed="64"/>
        </top>
      </border>
    </ndxf>
  </rcc>
  <rfmt sheetId="5" sqref="C7" start="0" length="0">
    <dxf>
      <border outline="0">
        <top style="thin">
          <color indexed="64"/>
        </top>
      </border>
    </dxf>
  </rfmt>
  <rfmt sheetId="5" sqref="D7" start="0" length="0">
    <dxf>
      <border outline="0">
        <top style="thin">
          <color indexed="64"/>
        </top>
      </border>
    </dxf>
  </rfmt>
  <rcc rId="95" sId="5" odxf="1" dxf="1">
    <nc r="E7">
      <v>2</v>
    </nc>
    <odxf>
      <border outline="0">
        <top/>
      </border>
    </odxf>
    <ndxf>
      <border outline="0">
        <top style="thin">
          <color indexed="64"/>
        </top>
      </border>
    </ndxf>
  </rcc>
  <rcc rId="96" sId="5">
    <nc r="B8">
      <v>863</v>
    </nc>
  </rcc>
  <rcc rId="97" sId="5">
    <nc r="E8">
      <v>2</v>
    </nc>
  </rcc>
  <rcc rId="98" sId="5">
    <nc r="J7" t="inlineStr">
      <is>
        <t>Faiha</t>
      </is>
    </nc>
  </rcc>
  <rcc rId="99" sId="5">
    <nc r="J8" t="inlineStr">
      <is>
        <t>Faiha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" sId="5">
    <nc r="C7" t="inlineStr">
      <is>
        <t>Aurelien Goillot</t>
      </is>
    </nc>
  </rcc>
  <rcc rId="101" sId="5" numFmtId="19">
    <nc r="D7">
      <v>46132</v>
    </nc>
  </rcc>
  <rcc rId="102" sId="5">
    <nc r="C8" t="inlineStr">
      <is>
        <t>Edwige Touzart</t>
      </is>
    </nc>
  </rcc>
  <rcc rId="103" sId="5" numFmtId="19">
    <nc r="D8">
      <v>46132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" sId="4">
    <oc r="B7" t="inlineStr">
      <is>
        <t>Prebooking</t>
      </is>
    </oc>
    <nc r="B7">
      <v>653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" sId="5">
    <nc r="B9">
      <v>330</v>
    </nc>
  </rcc>
  <rcc rId="106" sId="5">
    <nc r="E9">
      <v>2</v>
    </nc>
  </rcc>
  <rcc rId="107" sId="5">
    <nc r="J9" t="inlineStr">
      <is>
        <t>Rahil</t>
      </is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" sId="5">
    <nc r="C9" t="inlineStr">
      <is>
        <t>Carsten Sattel</t>
      </is>
    </nc>
  </rcc>
  <rcc rId="109" sId="5" numFmtId="19">
    <nc r="D9">
      <v>46133</v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" sId="5">
    <oc r="E9">
      <v>2</v>
    </oc>
    <nc r="E9" t="inlineStr">
      <is>
        <t>cxl2</t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1" sId="5">
    <oc r="E9" t="inlineStr">
      <is>
        <t>cxl2</t>
      </is>
    </oc>
    <nc r="E9" t="inlineStr">
      <is>
        <t>CXL2</t>
      </is>
    </nc>
  </rcc>
  <rcc rId="112" sId="5">
    <nc r="I7" t="inlineStr">
      <is>
        <t>SAI</t>
      </is>
    </nc>
  </rcc>
  <rcc rId="113" sId="5">
    <oc r="K7">
      <f>IF(OR(NOT(ISERROR(MATCH(RIGHT(B7,3)+0,#REF!,0))),NOT(ISERROR(MATCH(LEFT(B7,3)+0,#REF!,0)))),"No Post","")</f>
    </oc>
    <nc r="K7" t="inlineStr">
      <is>
        <t>NO POST</t>
      </is>
    </nc>
  </rcc>
  <rcc rId="114" sId="5">
    <oc r="K8">
      <f>IF(OR(NOT(ISERROR(MATCH(RIGHT(B8,3)+0,#REF!,0))),NOT(ISERROR(MATCH(LEFT(B8,3)+0,#REF!,0)))),"No Post","")</f>
    </oc>
    <nc r="K8" t="inlineStr">
      <is>
        <t>NO POST</t>
      </is>
    </nc>
  </rcc>
  <rcc rId="115" sId="5" odxf="1" dxf="1">
    <nc r="I8" t="inlineStr">
      <is>
        <t>SAI</t>
      </is>
    </nc>
    <odxf>
      <border outline="0">
        <top style="thin">
          <color indexed="64"/>
        </top>
      </border>
    </odxf>
    <ndxf>
      <border outline="0">
        <top/>
      </border>
    </ndxf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16" sId="5" ref="B1:B1048576" action="insertCol"/>
  <rfmt sheetId="5" sqref="C9 F9">
    <dxf>
      <fill>
        <patternFill>
          <bgColor rgb="FFFF0000"/>
        </patternFill>
      </fill>
    </dxf>
  </rfmt>
  <rcv guid="{3B7A717D-F7C1-4B3F-A808-FA5F4AC70C7F}" action="delete"/>
  <rdn rId="0" localSheetId="1" customView="1" name="Z_3B7A717D_F7C1_4B3F_A808_FA5F4AC70C7F_.wvu.PrintArea" hidden="1" oldHidden="1">
    <formula>'4'!$A$1:$J$29</formula>
    <oldFormula>'4'!$A$1:$J$29</oldFormula>
  </rdn>
  <rcv guid="{3B7A717D-F7C1-4B3F-A808-FA5F4AC70C7F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7:B8">
    <dxf>
      <fill>
        <patternFill>
          <bgColor rgb="FFFFFF00"/>
        </patternFill>
      </fill>
    </dxf>
  </rfmt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8" sId="5">
    <oc r="F8">
      <v>2</v>
    </oc>
    <nc r="F8">
      <v>1</v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9" sId="7">
    <oc r="B9" t="inlineStr">
      <is>
        <t>Prebooking</t>
      </is>
    </oc>
    <nc r="B9">
      <v>609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B7A717D-F7C1-4B3F-A808-FA5F4AC70C7F}" action="delete"/>
  <rdn rId="0" localSheetId="1" customView="1" name="Z_3B7A717D_F7C1_4B3F_A808_FA5F4AC70C7F_.wvu.PrintArea" hidden="1" oldHidden="1">
    <formula>'4'!$A$1:$J$29</formula>
    <oldFormula>'4'!$A$1:$J$29</oldFormula>
  </rdn>
  <rcv guid="{3B7A717D-F7C1-4B3F-A808-FA5F4AC70C7F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1" sId="7">
    <oc r="B8" t="inlineStr">
      <is>
        <t>Prebooking</t>
      </is>
    </oc>
    <nc r="B8">
      <v>610</v>
    </nc>
  </rcc>
  <rcc rId="122" sId="7">
    <oc r="B7" t="inlineStr">
      <is>
        <t>Prebooking</t>
      </is>
    </oc>
    <nc r="B7">
      <v>609</v>
    </nc>
  </rcc>
  <rcc rId="123" sId="7">
    <oc r="B9">
      <v>609</v>
    </oc>
    <nc r="B9">
      <v>611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B7A717D-F7C1-4B3F-A808-FA5F4AC70C7F}" action="delete"/>
  <rdn rId="0" localSheetId="1" customView="1" name="Z_3B7A717D_F7C1_4B3F_A808_FA5F4AC70C7F_.wvu.PrintArea" hidden="1" oldHidden="1">
    <formula>'4'!$A$1:$J$29</formula>
    <oldFormula>'4'!$A$1:$J$29</oldFormula>
  </rdn>
  <rcv guid="{3B7A717D-F7C1-4B3F-A808-FA5F4AC70C7F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" sId="7">
    <oc r="I7">
      <v>2774700</v>
    </oc>
    <nc r="I7" t="inlineStr">
      <is>
        <t>SAI</t>
      </is>
    </nc>
  </rcc>
  <rcc rId="126" sId="7">
    <oc r="I8">
      <v>3012693</v>
    </oc>
    <nc r="I8" t="inlineStr">
      <is>
        <t>SAI</t>
      </is>
    </nc>
  </rcc>
  <rcc rId="127" sId="7">
    <oc r="I9">
      <v>3012695</v>
    </oc>
    <nc r="I9" t="inlineStr">
      <is>
        <t>SAI</t>
      </is>
    </nc>
  </rcc>
  <rcv guid="{3B7A717D-F7C1-4B3F-A808-FA5F4AC70C7F}" action="delete"/>
  <rdn rId="0" localSheetId="1" customView="1" name="Z_3B7A717D_F7C1_4B3F_A808_FA5F4AC70C7F_.wvu.PrintArea" hidden="1" oldHidden="1">
    <formula>'4'!$A$1:$J$29</formula>
    <oldFormula>'4'!$A$1:$J$29</oldFormula>
  </rdn>
  <rcv guid="{3B7A717D-F7C1-4B3F-A808-FA5F4AC70C7F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7:K9">
    <dxf>
      <alignment vertical="center" readingOrder="0"/>
    </dxf>
  </rfmt>
  <rfmt sheetId="7" sqref="B7:K9">
    <dxf>
      <alignment horizontal="general" readingOrder="0"/>
    </dxf>
  </rfmt>
  <rfmt sheetId="7" sqref="B7:K9">
    <dxf>
      <alignment horizontal="center" readingOrder="0"/>
    </dxf>
  </rfmt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" sId="7">
    <oc r="F7">
      <v>2</v>
    </oc>
    <nc r="F7">
      <v>1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B7:B9">
    <dxf>
      <fill>
        <patternFill>
          <bgColor theme="5" tint="0.39997558519241921"/>
        </patternFill>
      </fill>
    </dxf>
  </rfmt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0" sId="8">
    <oc r="B7" t="inlineStr">
      <is>
        <t>Prebooking</t>
      </is>
    </oc>
    <nc r="B7">
      <v>623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" sId="7">
    <oc r="F7">
      <v>1</v>
    </oc>
    <nc r="F7">
      <v>2</v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6">
  <userInfo guid="{364A8356-7AF8-45DF-8041-D595B1C1026C}" name="Dive Centre Office" id="-387590722" dateTime="2026-04-01T14:53:24"/>
  <userInfo guid="{E0DB00AF-13BB-409A-80BB-EB02AA1D1F70}" name="Dive Centre Office" id="-387599389" dateTime="2026-04-15T12:02:02"/>
  <userInfo guid="{3D702B58-5D79-438B-A105-7D65D28CAF88}" name="Dive Centre Office" id="-387580960" dateTime="2026-04-17T15:59:34"/>
  <userInfo guid="{0A300474-0041-4FC4-A377-C989D97F27FA}" name="Dive Centre Office" id="-387640201" dateTime="2026-04-22T16:14:32"/>
  <userInfo guid="{6C5038C4-1903-4B6A-B505-B1B623E370AF}" name="Dive Centre Office" id="-387602664" dateTime="2026-04-24T17:22:14"/>
  <userInfo guid="{0AA6990A-34A5-443F-92AB-7F4979157DE6}" name="Dive Centre Office" id="-387613896" dateTime="2026-04-27T13:46:42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3"/>
  <sheetViews>
    <sheetView topLeftCell="A4" zoomScaleNormal="100" zoomScaleSheetLayoutView="100" zoomScalePageLayoutView="90" workbookViewId="0">
      <selection activeCell="M14" sqref="M14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4" t="s">
        <v>22</v>
      </c>
      <c r="B5" s="25"/>
      <c r="C5" s="25"/>
      <c r="D5" s="41"/>
      <c r="E5" s="25"/>
      <c r="F5" s="25"/>
      <c r="G5" s="25"/>
      <c r="H5" s="25"/>
      <c r="I5" s="26" t="s">
        <v>1</v>
      </c>
      <c r="J5" s="17" t="str">
        <f ca="1">CONCATENATE((MID(CELL("filename",J5),FIND("]",CELL("filename",J5))+1,255)),"/04/2026")</f>
        <v>4/04/2026</v>
      </c>
    </row>
    <row r="6" spans="1:11" ht="18.600000000000001" thickBot="1" x14ac:dyDescent="0.4">
      <c r="A6" s="32"/>
      <c r="B6" s="27" t="s">
        <v>2</v>
      </c>
      <c r="C6" s="27" t="s">
        <v>3</v>
      </c>
      <c r="D6" s="42" t="s">
        <v>21</v>
      </c>
      <c r="E6" s="27" t="s">
        <v>19</v>
      </c>
      <c r="F6" s="27" t="s">
        <v>17</v>
      </c>
      <c r="G6" s="27" t="s">
        <v>4</v>
      </c>
      <c r="H6" s="28" t="s">
        <v>5</v>
      </c>
      <c r="I6" s="28" t="s">
        <v>20</v>
      </c>
      <c r="J6" s="29" t="s">
        <v>6</v>
      </c>
    </row>
    <row r="7" spans="1:11" x14ac:dyDescent="0.35">
      <c r="A7" s="33">
        <v>1</v>
      </c>
      <c r="B7" s="18"/>
      <c r="C7" s="36"/>
      <c r="D7" s="43"/>
      <c r="E7" s="18"/>
      <c r="F7" s="18"/>
      <c r="G7" s="18"/>
      <c r="H7" s="18"/>
      <c r="I7" s="18"/>
      <c r="J7" s="18"/>
      <c r="K7" s="51" t="str">
        <f>IF(OR(NOT(ISERROR(MATCH(RIGHT(B7,3)+0,#REF!,0))),NOT(ISERROR(MATCH(LEFT(B7,3)+0,#REF!,0)))),"No Post","")</f>
        <v/>
      </c>
    </row>
    <row r="8" spans="1:11" x14ac:dyDescent="0.35">
      <c r="A8" s="22">
        <v>2</v>
      </c>
      <c r="B8" s="30"/>
      <c r="C8" s="37"/>
      <c r="D8" s="44"/>
      <c r="E8" s="30"/>
      <c r="F8" s="30"/>
      <c r="G8" s="30"/>
      <c r="H8" s="30"/>
      <c r="I8" s="30"/>
      <c r="J8" s="30"/>
      <c r="K8" s="51" t="str">
        <f>IF(OR(NOT(ISERROR(MATCH(RIGHT(B8,3)+0,#REF!,0))),NOT(ISERROR(MATCH(LEFT(B8,3)+0,#REF!,0)))),"No Post","")</f>
        <v/>
      </c>
    </row>
    <row r="9" spans="1:11" x14ac:dyDescent="0.35">
      <c r="A9" s="22">
        <v>3</v>
      </c>
      <c r="B9" s="30"/>
      <c r="C9" s="37"/>
      <c r="D9" s="44"/>
      <c r="E9" s="30"/>
      <c r="F9" s="30"/>
      <c r="G9" s="30"/>
      <c r="H9" s="30"/>
      <c r="I9" s="30"/>
      <c r="J9" s="30"/>
      <c r="K9" s="51" t="str">
        <f>IF(OR(NOT(ISERROR(MATCH(RIGHT(B9,3)+0,#REF!,0))),NOT(ISERROR(MATCH(LEFT(B9,3)+0,#REF!,0)))),"No Post","")</f>
        <v/>
      </c>
    </row>
    <row r="10" spans="1:11" x14ac:dyDescent="0.35">
      <c r="A10" s="22">
        <v>4</v>
      </c>
      <c r="B10" s="30"/>
      <c r="C10" s="37"/>
      <c r="D10" s="44"/>
      <c r="E10" s="30"/>
      <c r="F10" s="30"/>
      <c r="G10" s="30"/>
      <c r="H10" s="30"/>
      <c r="I10" s="30"/>
      <c r="J10" s="30"/>
      <c r="K10" s="51" t="str">
        <f>IF(OR(NOT(ISERROR(MATCH(RIGHT(B10,3)+0,#REF!,0))),NOT(ISERROR(MATCH(LEFT(B10,3)+0,#REF!,0)))),"No Post","")</f>
        <v/>
      </c>
    </row>
    <row r="11" spans="1:11" x14ac:dyDescent="0.35">
      <c r="A11" s="22">
        <v>5</v>
      </c>
      <c r="B11" s="30"/>
      <c r="C11" s="37"/>
      <c r="D11" s="44"/>
      <c r="E11" s="30"/>
      <c r="F11" s="30"/>
      <c r="G11" s="30"/>
      <c r="H11" s="30"/>
      <c r="I11" s="30"/>
      <c r="J11" s="30"/>
      <c r="K11" s="51" t="str">
        <f>IF(OR(NOT(ISERROR(MATCH(RIGHT(B11,3)+0,#REF!,0))),NOT(ISERROR(MATCH(LEFT(B11,3)+0,#REF!,0)))),"No Post","")</f>
        <v/>
      </c>
    </row>
    <row r="12" spans="1:11" x14ac:dyDescent="0.35">
      <c r="A12" s="22">
        <v>6</v>
      </c>
      <c r="B12" s="23"/>
      <c r="C12" s="31"/>
      <c r="D12" s="20"/>
      <c r="E12" s="23"/>
      <c r="F12" s="34"/>
      <c r="G12" s="19"/>
      <c r="H12" s="30"/>
      <c r="I12" s="31"/>
      <c r="J12" s="31"/>
      <c r="K12" s="51" t="str">
        <f>IF(OR(NOT(ISERROR(MATCH(RIGHT(B12,3)+0,#REF!,0))),NOT(ISERROR(MATCH(LEFT(B12,3)+0,#REF!,0)))),"No Post","")</f>
        <v/>
      </c>
    </row>
    <row r="13" spans="1:11" x14ac:dyDescent="0.35">
      <c r="A13" s="22">
        <v>7</v>
      </c>
      <c r="B13" s="23"/>
      <c r="C13" s="31"/>
      <c r="D13" s="20"/>
      <c r="E13" s="23"/>
      <c r="F13" s="21"/>
      <c r="G13" s="19"/>
      <c r="H13" s="22"/>
      <c r="I13" s="31"/>
      <c r="J13" s="31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2">
        <v>8</v>
      </c>
      <c r="B14" s="23"/>
      <c r="C14" s="31"/>
      <c r="D14" s="20"/>
      <c r="E14" s="19"/>
      <c r="F14" s="19"/>
      <c r="G14" s="19"/>
      <c r="H14" s="22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2">
        <v>9</v>
      </c>
      <c r="B15" s="23"/>
      <c r="C15" s="31"/>
      <c r="D15" s="20"/>
      <c r="E15" s="19"/>
      <c r="F15" s="19"/>
      <c r="G15" s="19"/>
      <c r="H15" s="22"/>
      <c r="I15" s="31"/>
      <c r="J15" s="31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2">
        <v>10</v>
      </c>
      <c r="B16" s="23"/>
      <c r="C16" s="31"/>
      <c r="D16" s="20"/>
      <c r="E16" s="19"/>
      <c r="F16" s="19"/>
      <c r="G16" s="19"/>
      <c r="H16" s="22"/>
      <c r="I16" s="31"/>
      <c r="J16" s="31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3401187C-FEA2-4BBD-A2A1-1470385212C9}" fitToPage="1" topLeftCell="A4">
      <selection activeCell="M14" sqref="M14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F71AB124-05BD-4C18-9EA5-D07F5595DBB7}" fitToPage="1" topLeftCell="A10">
      <selection activeCell="J18" sqref="J18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3B7A717D-F7C1-4B3F-A808-FA5F4AC70C7F}" showPageBreaks="1" fitToPage="1" printArea="1">
      <selection activeCell="C13" sqref="C13"/>
      <pageMargins left="0.7" right="0.7" top="0.75" bottom="0.75" header="0.3" footer="0.3"/>
      <printOptions horizontalCentered="1"/>
      <pageSetup paperSize="9" scale="84" fitToHeight="0" orientation="landscape" r:id="rId3"/>
    </customSheetView>
  </customSheetViews>
  <conditionalFormatting sqref="K7:K16">
    <cfRule type="containsText" dxfId="7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3"/>
  <sheetViews>
    <sheetView workbookViewId="0">
      <selection activeCell="M10" sqref="M10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2" x14ac:dyDescent="0.35">
      <c r="C2" s="2" t="s">
        <v>0</v>
      </c>
      <c r="D2" s="38"/>
      <c r="E2" s="3"/>
      <c r="F2" s="3"/>
      <c r="G2" s="3"/>
    </row>
    <row r="3" spans="1:12" x14ac:dyDescent="0.35">
      <c r="G3" s="4"/>
    </row>
    <row r="4" spans="1:12" s="5" customFormat="1" thickBot="1" x14ac:dyDescent="0.4">
      <c r="C4" s="6"/>
      <c r="D4" s="40"/>
    </row>
    <row r="5" spans="1:12" s="7" customFormat="1" ht="23.4" x14ac:dyDescent="0.45">
      <c r="A5" s="24" t="s">
        <v>22</v>
      </c>
      <c r="B5" s="25"/>
      <c r="C5" s="25"/>
      <c r="D5" s="41"/>
      <c r="E5" s="25"/>
      <c r="F5" s="25"/>
      <c r="G5" s="25"/>
      <c r="H5" s="25"/>
      <c r="I5" s="26" t="s">
        <v>1</v>
      </c>
      <c r="J5" s="17" t="str">
        <f ca="1">CONCATENATE((MID(CELL("filename",J5),FIND("]",CELL("filename",J5))+1,255)),"/04/2026")</f>
        <v>7/04/2026</v>
      </c>
    </row>
    <row r="6" spans="1:12" ht="18.600000000000001" thickBot="1" x14ac:dyDescent="0.4">
      <c r="A6" s="32"/>
      <c r="B6" s="27" t="s">
        <v>2</v>
      </c>
      <c r="C6" s="27" t="s">
        <v>3</v>
      </c>
      <c r="D6" s="42" t="s">
        <v>21</v>
      </c>
      <c r="E6" s="27" t="s">
        <v>19</v>
      </c>
      <c r="F6" s="27" t="s">
        <v>17</v>
      </c>
      <c r="G6" s="27" t="s">
        <v>4</v>
      </c>
      <c r="H6" s="28" t="s">
        <v>5</v>
      </c>
      <c r="I6" s="28" t="s">
        <v>20</v>
      </c>
      <c r="J6" s="29" t="s">
        <v>6</v>
      </c>
    </row>
    <row r="7" spans="1:12" x14ac:dyDescent="0.35">
      <c r="A7" s="56">
        <v>1</v>
      </c>
      <c r="B7" s="54">
        <v>308</v>
      </c>
      <c r="C7" s="30" t="s">
        <v>27</v>
      </c>
      <c r="D7" s="44">
        <v>46123</v>
      </c>
      <c r="E7" s="30">
        <v>2</v>
      </c>
      <c r="F7" s="18"/>
      <c r="G7" s="18"/>
      <c r="H7" s="18"/>
      <c r="I7" s="30">
        <v>25861155</v>
      </c>
      <c r="J7" s="30" t="s">
        <v>28</v>
      </c>
      <c r="K7" s="51" t="s">
        <v>30</v>
      </c>
      <c r="L7" s="1">
        <v>70</v>
      </c>
    </row>
    <row r="8" spans="1:12" x14ac:dyDescent="0.35">
      <c r="A8" s="55">
        <v>2</v>
      </c>
      <c r="B8" s="53">
        <v>820</v>
      </c>
      <c r="C8" s="30" t="s">
        <v>33</v>
      </c>
      <c r="D8" s="44">
        <v>46121</v>
      </c>
      <c r="E8" s="30">
        <v>2</v>
      </c>
      <c r="F8" s="30"/>
      <c r="G8" s="30"/>
      <c r="H8" s="30"/>
      <c r="I8" s="30">
        <v>3170180</v>
      </c>
      <c r="J8" s="30" t="s">
        <v>28</v>
      </c>
      <c r="K8" s="51" t="str">
        <f>IF(OR(NOT(ISERROR(MATCH(RIGHT(B8,3)+0,#REF!,0))),NOT(ISERROR(MATCH(LEFT(B8,3)+0,#REF!,0)))),"No Post","")</f>
        <v/>
      </c>
    </row>
    <row r="9" spans="1:12" x14ac:dyDescent="0.35">
      <c r="A9" s="55">
        <v>3</v>
      </c>
      <c r="B9" s="54">
        <v>615</v>
      </c>
      <c r="C9" s="37" t="s">
        <v>36</v>
      </c>
      <c r="D9" s="44">
        <v>46120</v>
      </c>
      <c r="E9" s="30">
        <v>3</v>
      </c>
      <c r="F9" s="30">
        <v>1</v>
      </c>
      <c r="G9" s="30"/>
      <c r="H9" s="30"/>
      <c r="I9" s="30"/>
      <c r="J9" s="30" t="s">
        <v>35</v>
      </c>
      <c r="K9" s="51" t="str">
        <f>IF(OR(NOT(ISERROR(MATCH(RIGHT(B9,3)+0,#REF!,0))),NOT(ISERROR(MATCH(LEFT(B9,3)+0,#REF!,0)))),"No Post","")</f>
        <v/>
      </c>
    </row>
    <row r="10" spans="1:12" x14ac:dyDescent="0.35">
      <c r="A10" s="22">
        <v>4</v>
      </c>
      <c r="B10" s="30"/>
      <c r="C10" s="37"/>
      <c r="D10" s="44"/>
      <c r="E10" s="30"/>
      <c r="F10" s="30"/>
      <c r="G10" s="30"/>
      <c r="H10" s="30"/>
      <c r="I10" s="30"/>
      <c r="J10" s="30"/>
      <c r="K10" s="51" t="str">
        <f>IF(OR(NOT(ISERROR(MATCH(RIGHT(B10,3)+0,#REF!,0))),NOT(ISERROR(MATCH(LEFT(B10,3)+0,#REF!,0)))),"No Post","")</f>
        <v/>
      </c>
    </row>
    <row r="11" spans="1:12" x14ac:dyDescent="0.35">
      <c r="A11" s="22">
        <v>5</v>
      </c>
      <c r="B11" s="30"/>
      <c r="C11" s="37"/>
      <c r="D11" s="44"/>
      <c r="E11" s="30"/>
      <c r="F11" s="30"/>
      <c r="G11" s="30"/>
      <c r="H11" s="30"/>
      <c r="I11" s="30"/>
      <c r="J11" s="30"/>
      <c r="K11" s="51" t="str">
        <f>IF(OR(NOT(ISERROR(MATCH(RIGHT(B11,3)+0,#REF!,0))),NOT(ISERROR(MATCH(LEFT(B11,3)+0,#REF!,0)))),"No Post","")</f>
        <v/>
      </c>
    </row>
    <row r="12" spans="1:12" x14ac:dyDescent="0.35">
      <c r="A12" s="22">
        <v>6</v>
      </c>
      <c r="B12" s="23"/>
      <c r="C12" s="31"/>
      <c r="D12" s="20"/>
      <c r="E12" s="23"/>
      <c r="F12" s="34"/>
      <c r="G12" s="19"/>
      <c r="H12" s="30"/>
      <c r="I12" s="31"/>
      <c r="J12" s="31"/>
      <c r="K12" s="51" t="str">
        <f>IF(OR(NOT(ISERROR(MATCH(RIGHT(B12,3)+0,#REF!,0))),NOT(ISERROR(MATCH(LEFT(B12,3)+0,#REF!,0)))),"No Post","")</f>
        <v/>
      </c>
    </row>
    <row r="13" spans="1:12" x14ac:dyDescent="0.35">
      <c r="A13" s="22">
        <v>7</v>
      </c>
      <c r="B13" s="23"/>
      <c r="C13" s="31"/>
      <c r="D13" s="20"/>
      <c r="E13" s="23"/>
      <c r="F13" s="21"/>
      <c r="G13" s="19"/>
      <c r="H13" s="22"/>
      <c r="I13" s="31"/>
      <c r="J13" s="31"/>
      <c r="K13" s="51" t="str">
        <f>IF(OR(NOT(ISERROR(MATCH(RIGHT(B13,3)+0,#REF!,0))),NOT(ISERROR(MATCH(LEFT(B13,3)+0,#REF!,0)))),"No Post","")</f>
        <v/>
      </c>
    </row>
    <row r="14" spans="1:12" s="8" customFormat="1" ht="19.8" x14ac:dyDescent="0.4">
      <c r="A14" s="22">
        <v>8</v>
      </c>
      <c r="B14" s="23"/>
      <c r="C14" s="31"/>
      <c r="D14" s="20"/>
      <c r="E14" s="19"/>
      <c r="F14" s="19"/>
      <c r="G14" s="19"/>
      <c r="H14" s="22"/>
      <c r="I14" s="35"/>
      <c r="J14" s="35"/>
      <c r="K14" s="51" t="str">
        <f>IF(OR(NOT(ISERROR(MATCH(RIGHT(B14,3)+0,#REF!,0))),NOT(ISERROR(MATCH(LEFT(B14,3)+0,#REF!,0)))),"No Post","")</f>
        <v/>
      </c>
    </row>
    <row r="15" spans="1:12" x14ac:dyDescent="0.35">
      <c r="A15" s="22">
        <v>9</v>
      </c>
      <c r="B15" s="23"/>
      <c r="C15" s="31"/>
      <c r="D15" s="20"/>
      <c r="E15" s="19"/>
      <c r="F15" s="19"/>
      <c r="G15" s="19"/>
      <c r="H15" s="22"/>
      <c r="I15" s="31"/>
      <c r="J15" s="31"/>
      <c r="K15" s="51" t="str">
        <f>IF(OR(NOT(ISERROR(MATCH(RIGHT(B15,3)+0,#REF!,0))),NOT(ISERROR(MATCH(LEFT(B15,3)+0,#REF!,0)))),"No Post","")</f>
        <v/>
      </c>
    </row>
    <row r="16" spans="1:12" s="9" customFormat="1" x14ac:dyDescent="0.35">
      <c r="A16" s="22">
        <v>10</v>
      </c>
      <c r="B16" s="23"/>
      <c r="C16" s="31"/>
      <c r="D16" s="20"/>
      <c r="E16" s="19"/>
      <c r="F16" s="19"/>
      <c r="G16" s="19"/>
      <c r="H16" s="22"/>
      <c r="I16" s="31"/>
      <c r="J16" s="31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7</v>
      </c>
      <c r="F17" s="16">
        <f>SUM(F7:F16)</f>
        <v>1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3401187C-FEA2-4BBD-A2A1-1470385212C9}">
      <selection activeCell="M10" sqref="M10"/>
      <pageMargins left="0.7" right="0.7" top="0.75" bottom="0.75" header="0.3" footer="0.3"/>
    </customSheetView>
    <customSheetView guid="{F71AB124-05BD-4C18-9EA5-D07F5595DBB7}">
      <selection activeCell="M16" sqref="M16"/>
      <pageMargins left="0.7" right="0.7" top="0.75" bottom="0.75" header="0.3" footer="0.3"/>
    </customSheetView>
    <customSheetView guid="{3B7A717D-F7C1-4B3F-A808-FA5F4AC70C7F}">
      <selection activeCell="M16" sqref="M16"/>
      <pageMargins left="0.7" right="0.7" top="0.75" bottom="0.75" header="0.3" footer="0.3"/>
    </customSheetView>
  </customSheetViews>
  <conditionalFormatting sqref="K7:K16">
    <cfRule type="containsText" dxfId="6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workbookViewId="0">
      <selection activeCell="I11" sqref="I11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4" t="s">
        <v>22</v>
      </c>
      <c r="B5" s="25"/>
      <c r="C5" s="25"/>
      <c r="D5" s="41"/>
      <c r="E5" s="25"/>
      <c r="F5" s="25"/>
      <c r="G5" s="25"/>
      <c r="H5" s="25"/>
      <c r="I5" s="26" t="s">
        <v>1</v>
      </c>
      <c r="J5" s="17" t="str">
        <f ca="1">CONCATENATE((MID(CELL("filename",J5),FIND("]",CELL("filename",J5))+1,255)),"/04/2026")</f>
        <v>11/04/2026</v>
      </c>
    </row>
    <row r="6" spans="1:11" ht="18.600000000000001" thickBot="1" x14ac:dyDescent="0.4">
      <c r="A6" s="32"/>
      <c r="B6" s="27" t="s">
        <v>2</v>
      </c>
      <c r="C6" s="27" t="s">
        <v>3</v>
      </c>
      <c r="D6" s="42" t="s">
        <v>21</v>
      </c>
      <c r="E6" s="27" t="s">
        <v>19</v>
      </c>
      <c r="F6" s="27" t="s">
        <v>17</v>
      </c>
      <c r="G6" s="27" t="s">
        <v>4</v>
      </c>
      <c r="H6" s="28" t="s">
        <v>5</v>
      </c>
      <c r="I6" s="28" t="s">
        <v>20</v>
      </c>
      <c r="J6" s="29" t="s">
        <v>6</v>
      </c>
    </row>
    <row r="7" spans="1:11" x14ac:dyDescent="0.35">
      <c r="A7" s="58">
        <v>1</v>
      </c>
      <c r="B7" s="18">
        <v>856</v>
      </c>
      <c r="C7" s="36" t="s">
        <v>31</v>
      </c>
      <c r="D7" s="43">
        <v>46124</v>
      </c>
      <c r="E7" s="18">
        <v>2</v>
      </c>
      <c r="F7" s="18"/>
      <c r="H7" s="18"/>
      <c r="I7" s="57" t="s">
        <v>38</v>
      </c>
      <c r="J7" s="18" t="s">
        <v>32</v>
      </c>
      <c r="K7" s="51" t="str">
        <f>IF(OR(NOT(ISERROR(MATCH(RIGHT(B7,3)+0,#REF!,0))),NOT(ISERROR(MATCH(LEFT(B7,3)+0,#REF!,0)))),"No Post","")</f>
        <v/>
      </c>
    </row>
    <row r="8" spans="1:11" x14ac:dyDescent="0.35">
      <c r="A8" s="59">
        <v>2</v>
      </c>
      <c r="B8" s="30">
        <v>815</v>
      </c>
      <c r="C8" s="37" t="s">
        <v>37</v>
      </c>
      <c r="D8" s="44">
        <v>46129</v>
      </c>
      <c r="E8" s="30">
        <v>2</v>
      </c>
      <c r="F8" s="30">
        <v>2</v>
      </c>
      <c r="G8" s="30"/>
      <c r="H8" s="30"/>
      <c r="I8" s="30"/>
      <c r="J8" s="30"/>
      <c r="K8" s="51" t="str">
        <f>IF(OR(NOT(ISERROR(MATCH(RIGHT(B8,3)+0,#REF!,0))),NOT(ISERROR(MATCH(LEFT(B8,3)+0,#REF!,0)))),"No Post","")</f>
        <v/>
      </c>
    </row>
    <row r="9" spans="1:11" x14ac:dyDescent="0.35">
      <c r="A9" s="22">
        <v>3</v>
      </c>
      <c r="B9" s="30"/>
      <c r="C9" s="37"/>
      <c r="D9" s="44"/>
      <c r="E9" s="30"/>
      <c r="F9" s="30"/>
      <c r="G9" s="30"/>
      <c r="H9" s="30"/>
      <c r="I9" s="30"/>
      <c r="J9" s="30"/>
      <c r="K9" s="51" t="str">
        <f>IF(OR(NOT(ISERROR(MATCH(RIGHT(B9,3)+0,#REF!,0))),NOT(ISERROR(MATCH(LEFT(B9,3)+0,#REF!,0)))),"No Post","")</f>
        <v/>
      </c>
    </row>
    <row r="10" spans="1:11" x14ac:dyDescent="0.35">
      <c r="A10" s="22">
        <v>4</v>
      </c>
      <c r="B10" s="30"/>
      <c r="C10" s="37"/>
      <c r="D10" s="44"/>
      <c r="E10" s="30"/>
      <c r="F10" s="30"/>
      <c r="G10" s="30"/>
      <c r="H10" s="30"/>
      <c r="I10" s="30"/>
      <c r="J10" s="30"/>
      <c r="K10" s="51" t="str">
        <f>IF(OR(NOT(ISERROR(MATCH(RIGHT(B10,3)+0,#REF!,0))),NOT(ISERROR(MATCH(LEFT(B10,3)+0,#REF!,0)))),"No Post","")</f>
        <v/>
      </c>
    </row>
    <row r="11" spans="1:11" x14ac:dyDescent="0.35">
      <c r="A11" s="22">
        <v>5</v>
      </c>
      <c r="B11" s="30"/>
      <c r="C11" s="37"/>
      <c r="D11" s="44"/>
      <c r="E11" s="30"/>
      <c r="F11" s="30"/>
      <c r="G11" s="30"/>
      <c r="H11" s="30"/>
      <c r="I11" s="30"/>
      <c r="J11" s="30"/>
      <c r="K11" s="51" t="str">
        <f>IF(OR(NOT(ISERROR(MATCH(RIGHT(B11,3)+0,#REF!,0))),NOT(ISERROR(MATCH(LEFT(B11,3)+0,#REF!,0)))),"No Post","")</f>
        <v/>
      </c>
    </row>
    <row r="12" spans="1:11" x14ac:dyDescent="0.35">
      <c r="A12" s="22">
        <v>6</v>
      </c>
      <c r="B12" s="23"/>
      <c r="C12" s="31"/>
      <c r="D12" s="20"/>
      <c r="E12" s="23"/>
      <c r="F12" s="34"/>
      <c r="G12" s="19"/>
      <c r="H12" s="30"/>
      <c r="I12" s="31"/>
      <c r="J12" s="31"/>
      <c r="K12" s="51" t="str">
        <f>IF(OR(NOT(ISERROR(MATCH(RIGHT(B12,3)+0,#REF!,0))),NOT(ISERROR(MATCH(LEFT(B12,3)+0,#REF!,0)))),"No Post","")</f>
        <v/>
      </c>
    </row>
    <row r="13" spans="1:11" x14ac:dyDescent="0.35">
      <c r="A13" s="22">
        <v>7</v>
      </c>
      <c r="B13" s="23"/>
      <c r="C13" s="31"/>
      <c r="D13" s="20"/>
      <c r="E13" s="23"/>
      <c r="F13" s="21"/>
      <c r="G13" s="19"/>
      <c r="H13" s="22"/>
      <c r="I13" s="31"/>
      <c r="J13" s="31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2">
        <v>8</v>
      </c>
      <c r="B14" s="23"/>
      <c r="C14" s="31"/>
      <c r="D14" s="20"/>
      <c r="E14" s="19"/>
      <c r="F14" s="19"/>
      <c r="G14" s="19"/>
      <c r="H14" s="22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2">
        <v>9</v>
      </c>
      <c r="B15" s="23"/>
      <c r="C15" s="31"/>
      <c r="D15" s="20"/>
      <c r="E15" s="19"/>
      <c r="F15" s="19"/>
      <c r="G15" s="19"/>
      <c r="H15" s="22"/>
      <c r="I15" s="31"/>
      <c r="J15" s="31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2">
        <v>10</v>
      </c>
      <c r="B16" s="23"/>
      <c r="C16" s="31"/>
      <c r="D16" s="20"/>
      <c r="E16" s="19"/>
      <c r="F16" s="19"/>
      <c r="G16" s="19"/>
      <c r="H16" s="22"/>
      <c r="I16" s="31"/>
      <c r="J16" s="31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4</v>
      </c>
      <c r="F17" s="16">
        <f>SUM(F7:F16)</f>
        <v>2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3401187C-FEA2-4BBD-A2A1-1470385212C9}">
      <selection activeCell="I11" sqref="I11"/>
      <pageMargins left="0.7" right="0.7" top="0.75" bottom="0.75" header="0.3" footer="0.3"/>
    </customSheetView>
    <customSheetView guid="{F71AB124-05BD-4C18-9EA5-D07F5595DBB7}">
      <selection activeCell="I11" sqref="I11"/>
      <pageMargins left="0.7" right="0.7" top="0.75" bottom="0.75" header="0.3" footer="0.3"/>
    </customSheetView>
    <customSheetView guid="{3B7A717D-F7C1-4B3F-A808-FA5F4AC70C7F}">
      <selection activeCell="I11" sqref="I11"/>
      <pageMargins left="0.7" right="0.7" top="0.75" bottom="0.75" header="0.3" footer="0.3"/>
    </customSheetView>
  </customSheetViews>
  <conditionalFormatting sqref="K7:K16">
    <cfRule type="containsText" dxfId="5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workbookViewId="0">
      <selection activeCell="C12" sqref="C12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4" t="s">
        <v>22</v>
      </c>
      <c r="B5" s="25"/>
      <c r="C5" s="25"/>
      <c r="D5" s="41"/>
      <c r="E5" s="25"/>
      <c r="F5" s="25"/>
      <c r="G5" s="25"/>
      <c r="H5" s="25"/>
      <c r="I5" s="26" t="s">
        <v>1</v>
      </c>
      <c r="J5" s="17" t="str">
        <f ca="1">CONCATENATE((MID(CELL("filename",J5),FIND("]",CELL("filename",J5))+1,255)),"/04/2026")</f>
        <v>14/04/2026</v>
      </c>
    </row>
    <row r="6" spans="1:11" ht="18.600000000000001" thickBot="1" x14ac:dyDescent="0.4">
      <c r="A6" s="32"/>
      <c r="B6" s="27" t="s">
        <v>2</v>
      </c>
      <c r="C6" s="27" t="s">
        <v>3</v>
      </c>
      <c r="D6" s="42" t="s">
        <v>21</v>
      </c>
      <c r="E6" s="27" t="s">
        <v>19</v>
      </c>
      <c r="F6" s="27" t="s">
        <v>17</v>
      </c>
      <c r="G6" s="27" t="s">
        <v>4</v>
      </c>
      <c r="H6" s="28" t="s">
        <v>5</v>
      </c>
      <c r="I6" s="28" t="s">
        <v>20</v>
      </c>
      <c r="J6" s="29" t="s">
        <v>6</v>
      </c>
    </row>
    <row r="7" spans="1:11" x14ac:dyDescent="0.35">
      <c r="A7" s="33">
        <v>1</v>
      </c>
      <c r="B7" s="52">
        <v>653</v>
      </c>
      <c r="C7" s="31" t="s">
        <v>34</v>
      </c>
      <c r="D7" s="20">
        <v>46132</v>
      </c>
      <c r="E7" s="23">
        <v>2</v>
      </c>
      <c r="F7" s="23">
        <v>2</v>
      </c>
      <c r="G7" s="18"/>
      <c r="H7" s="18"/>
      <c r="I7" s="23">
        <v>2927678</v>
      </c>
      <c r="J7" s="31" t="s">
        <v>28</v>
      </c>
      <c r="K7" s="51" t="str">
        <f>IF(OR(NOT(ISERROR(MATCH(RIGHT(B7,3)+0,#REF!,0))),NOT(ISERROR(MATCH(LEFT(B7,3)+0,#REF!,0)))),"No Post","")</f>
        <v/>
      </c>
    </row>
    <row r="8" spans="1:11" x14ac:dyDescent="0.35">
      <c r="A8" s="22">
        <v>2</v>
      </c>
      <c r="B8" s="30"/>
      <c r="C8" s="37"/>
      <c r="D8" s="44"/>
      <c r="E8" s="30"/>
      <c r="F8" s="30"/>
      <c r="G8" s="30"/>
      <c r="H8" s="30"/>
      <c r="I8" s="30"/>
      <c r="J8" s="30"/>
      <c r="K8" s="51" t="str">
        <f>IF(OR(NOT(ISERROR(MATCH(RIGHT(B8,3)+0,#REF!,0))),NOT(ISERROR(MATCH(LEFT(B8,3)+0,#REF!,0)))),"No Post","")</f>
        <v/>
      </c>
    </row>
    <row r="9" spans="1:11" x14ac:dyDescent="0.35">
      <c r="A9" s="22">
        <v>3</v>
      </c>
      <c r="B9" s="30"/>
      <c r="C9" s="37"/>
      <c r="D9" s="44"/>
      <c r="E9" s="30"/>
      <c r="F9" s="30"/>
      <c r="G9" s="30"/>
      <c r="H9" s="30"/>
      <c r="I9" s="30"/>
      <c r="J9" s="30"/>
      <c r="K9" s="51" t="str">
        <f>IF(OR(NOT(ISERROR(MATCH(RIGHT(B9,3)+0,#REF!,0))),NOT(ISERROR(MATCH(LEFT(B9,3)+0,#REF!,0)))),"No Post","")</f>
        <v/>
      </c>
    </row>
    <row r="10" spans="1:11" x14ac:dyDescent="0.35">
      <c r="A10" s="22">
        <v>4</v>
      </c>
      <c r="B10" s="30"/>
      <c r="C10" s="37"/>
      <c r="D10" s="44"/>
      <c r="E10" s="30"/>
      <c r="F10" s="30"/>
      <c r="G10" s="30"/>
      <c r="H10" s="30"/>
      <c r="I10" s="30"/>
      <c r="J10" s="30"/>
      <c r="K10" s="51" t="str">
        <f>IF(OR(NOT(ISERROR(MATCH(RIGHT(B10,3)+0,#REF!,0))),NOT(ISERROR(MATCH(LEFT(B10,3)+0,#REF!,0)))),"No Post","")</f>
        <v/>
      </c>
    </row>
    <row r="11" spans="1:11" x14ac:dyDescent="0.35">
      <c r="A11" s="22">
        <v>5</v>
      </c>
      <c r="B11" s="30"/>
      <c r="C11" s="37"/>
      <c r="D11" s="44"/>
      <c r="E11" s="30"/>
      <c r="F11" s="30"/>
      <c r="G11" s="30"/>
      <c r="H11" s="30"/>
      <c r="I11" s="30"/>
      <c r="J11" s="30"/>
      <c r="K11" s="51" t="str">
        <f>IF(OR(NOT(ISERROR(MATCH(RIGHT(B11,3)+0,#REF!,0))),NOT(ISERROR(MATCH(LEFT(B11,3)+0,#REF!,0)))),"No Post","")</f>
        <v/>
      </c>
    </row>
    <row r="12" spans="1:11" x14ac:dyDescent="0.35">
      <c r="A12" s="22">
        <v>6</v>
      </c>
      <c r="B12" s="23"/>
      <c r="C12" s="31"/>
      <c r="D12" s="20"/>
      <c r="E12" s="23"/>
      <c r="F12" s="34"/>
      <c r="G12" s="19"/>
      <c r="H12" s="30"/>
      <c r="I12" s="31"/>
      <c r="J12" s="31"/>
      <c r="K12" s="51" t="str">
        <f>IF(OR(NOT(ISERROR(MATCH(RIGHT(B12,3)+0,#REF!,0))),NOT(ISERROR(MATCH(LEFT(B12,3)+0,#REF!,0)))),"No Post","")</f>
        <v/>
      </c>
    </row>
    <row r="13" spans="1:11" x14ac:dyDescent="0.35">
      <c r="A13" s="22">
        <v>7</v>
      </c>
      <c r="B13" s="23"/>
      <c r="C13" s="31"/>
      <c r="D13" s="20"/>
      <c r="E13" s="23"/>
      <c r="F13" s="21"/>
      <c r="G13" s="19"/>
      <c r="H13" s="22"/>
      <c r="I13" s="31"/>
      <c r="J13" s="31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2">
        <v>8</v>
      </c>
      <c r="B14" s="23"/>
      <c r="C14" s="31"/>
      <c r="D14" s="20"/>
      <c r="E14" s="19"/>
      <c r="F14" s="19"/>
      <c r="G14" s="19"/>
      <c r="H14" s="22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2">
        <v>9</v>
      </c>
      <c r="B15" s="23"/>
      <c r="C15" s="31"/>
      <c r="D15" s="20"/>
      <c r="E15" s="19"/>
      <c r="F15" s="19"/>
      <c r="G15" s="19"/>
      <c r="H15" s="22"/>
      <c r="I15" s="31"/>
      <c r="J15" s="31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2">
        <v>10</v>
      </c>
      <c r="B16" s="23"/>
      <c r="C16" s="31"/>
      <c r="D16" s="20"/>
      <c r="E16" s="19"/>
      <c r="F16" s="19"/>
      <c r="G16" s="19"/>
      <c r="H16" s="22"/>
      <c r="I16" s="31"/>
      <c r="J16" s="31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2</v>
      </c>
      <c r="F17" s="16">
        <f>SUM(F7:F16)</f>
        <v>2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3401187C-FEA2-4BBD-A2A1-1470385212C9}">
      <selection activeCell="C12" sqref="C12"/>
      <pageMargins left="0.7" right="0.7" top="0.75" bottom="0.75" header="0.3" footer="0.3"/>
    </customSheetView>
    <customSheetView guid="{F71AB124-05BD-4C18-9EA5-D07F5595DBB7}">
      <selection activeCell="C12" sqref="C12"/>
      <pageMargins left="0.7" right="0.7" top="0.75" bottom="0.75" header="0.3" footer="0.3"/>
    </customSheetView>
    <customSheetView guid="{3B7A717D-F7C1-4B3F-A808-FA5F4AC70C7F}">
      <selection activeCell="C12" sqref="C12"/>
      <pageMargins left="0.7" right="0.7" top="0.75" bottom="0.75" header="0.3" footer="0.3"/>
    </customSheetView>
  </customSheetViews>
  <conditionalFormatting sqref="K7:K16">
    <cfRule type="containsText" dxfId="4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3"/>
  <sheetViews>
    <sheetView workbookViewId="0">
      <selection activeCell="C11" sqref="C11"/>
    </sheetView>
  </sheetViews>
  <sheetFormatPr defaultColWidth="9.109375" defaultRowHeight="18" x14ac:dyDescent="0.35"/>
  <cols>
    <col min="1" max="1" width="4.109375" style="1" bestFit="1" customWidth="1"/>
    <col min="2" max="2" width="4.109375" style="1" customWidth="1"/>
    <col min="3" max="3" width="13.44140625" style="1" customWidth="1"/>
    <col min="4" max="4" width="41.33203125" style="1" customWidth="1"/>
    <col min="5" max="5" width="14.88671875" style="39" customWidth="1"/>
    <col min="6" max="7" width="10.6640625" style="1" customWidth="1"/>
    <col min="8" max="8" width="8.6640625" style="1" bestFit="1" customWidth="1"/>
    <col min="9" max="9" width="10.33203125" style="1" customWidth="1"/>
    <col min="10" max="10" width="20.33203125" style="1" customWidth="1"/>
    <col min="11" max="11" width="20.6640625" style="1" customWidth="1"/>
    <col min="12" max="16384" width="9.109375" style="1"/>
  </cols>
  <sheetData>
    <row r="2" spans="1:12" x14ac:dyDescent="0.35">
      <c r="D2" s="2" t="s">
        <v>0</v>
      </c>
      <c r="E2" s="38"/>
      <c r="F2" s="3"/>
      <c r="G2" s="3"/>
      <c r="H2" s="3"/>
    </row>
    <row r="3" spans="1:12" x14ac:dyDescent="0.35">
      <c r="H3" s="4"/>
    </row>
    <row r="4" spans="1:12" s="5" customFormat="1" thickBot="1" x14ac:dyDescent="0.4">
      <c r="D4" s="6"/>
      <c r="E4" s="40"/>
    </row>
    <row r="5" spans="1:12" s="7" customFormat="1" ht="23.4" x14ac:dyDescent="0.45">
      <c r="A5" s="24" t="s">
        <v>22</v>
      </c>
      <c r="B5" s="60"/>
      <c r="C5" s="25"/>
      <c r="D5" s="25"/>
      <c r="E5" s="41"/>
      <c r="F5" s="25"/>
      <c r="G5" s="25"/>
      <c r="H5" s="25"/>
      <c r="I5" s="25"/>
      <c r="J5" s="26" t="s">
        <v>1</v>
      </c>
      <c r="K5" s="17" t="str">
        <f ca="1">CONCATENATE((MID(CELL("filename",K5),FIND("]",CELL("filename",K5))+1,255)),"/04/2026")</f>
        <v>18/04/2026</v>
      </c>
    </row>
    <row r="6" spans="1:12" ht="18.600000000000001" thickBot="1" x14ac:dyDescent="0.4">
      <c r="A6" s="32"/>
      <c r="B6" s="61"/>
      <c r="C6" s="27" t="s">
        <v>2</v>
      </c>
      <c r="D6" s="27" t="s">
        <v>3</v>
      </c>
      <c r="E6" s="42" t="s">
        <v>21</v>
      </c>
      <c r="F6" s="27" t="s">
        <v>19</v>
      </c>
      <c r="G6" s="27" t="s">
        <v>17</v>
      </c>
      <c r="H6" s="27" t="s">
        <v>4</v>
      </c>
      <c r="I6" s="28" t="s">
        <v>5</v>
      </c>
      <c r="J6" s="28" t="s">
        <v>20</v>
      </c>
      <c r="K6" s="29" t="s">
        <v>6</v>
      </c>
    </row>
    <row r="7" spans="1:12" x14ac:dyDescent="0.35">
      <c r="A7" s="33">
        <v>1</v>
      </c>
      <c r="B7" s="63"/>
      <c r="C7" s="30">
        <v>865</v>
      </c>
      <c r="D7" s="37" t="s">
        <v>40</v>
      </c>
      <c r="E7" s="44">
        <v>46132</v>
      </c>
      <c r="F7" s="30">
        <v>2</v>
      </c>
      <c r="G7" s="18"/>
      <c r="H7" s="18"/>
      <c r="I7" s="18"/>
      <c r="J7" s="18" t="s">
        <v>45</v>
      </c>
      <c r="K7" s="18" t="s">
        <v>39</v>
      </c>
      <c r="L7" s="51" t="s">
        <v>46</v>
      </c>
    </row>
    <row r="8" spans="1:12" x14ac:dyDescent="0.35">
      <c r="A8" s="22">
        <v>2</v>
      </c>
      <c r="B8" s="64"/>
      <c r="C8" s="30">
        <v>863</v>
      </c>
      <c r="D8" s="37" t="s">
        <v>41</v>
      </c>
      <c r="E8" s="44">
        <v>46132</v>
      </c>
      <c r="F8" s="30">
        <v>1</v>
      </c>
      <c r="G8" s="30"/>
      <c r="H8" s="30"/>
      <c r="I8" s="30"/>
      <c r="J8" s="18" t="s">
        <v>45</v>
      </c>
      <c r="K8" s="30" t="s">
        <v>39</v>
      </c>
      <c r="L8" s="51" t="s">
        <v>46</v>
      </c>
    </row>
    <row r="9" spans="1:12" x14ac:dyDescent="0.35">
      <c r="A9" s="22">
        <v>3</v>
      </c>
      <c r="B9" s="22"/>
      <c r="C9" s="62">
        <v>330</v>
      </c>
      <c r="D9" s="37" t="s">
        <v>43</v>
      </c>
      <c r="E9" s="44">
        <v>46133</v>
      </c>
      <c r="F9" s="62" t="s">
        <v>44</v>
      </c>
      <c r="G9" s="30"/>
      <c r="H9" s="30"/>
      <c r="I9" s="30"/>
      <c r="J9" s="30"/>
      <c r="K9" s="30" t="s">
        <v>42</v>
      </c>
      <c r="L9" s="51" t="str">
        <f>IF(OR(NOT(ISERROR(MATCH(RIGHT(C9,3)+0,#REF!,0))),NOT(ISERROR(MATCH(LEFT(C9,3)+0,#REF!,0)))),"No Post","")</f>
        <v/>
      </c>
    </row>
    <row r="10" spans="1:12" x14ac:dyDescent="0.35">
      <c r="A10" s="22">
        <v>4</v>
      </c>
      <c r="B10" s="22"/>
      <c r="C10" s="30"/>
      <c r="D10" s="37"/>
      <c r="E10" s="44"/>
      <c r="F10" s="30"/>
      <c r="G10" s="30"/>
      <c r="H10" s="30"/>
      <c r="I10" s="30"/>
      <c r="J10" s="30"/>
      <c r="K10" s="30"/>
      <c r="L10" s="51" t="str">
        <f>IF(OR(NOT(ISERROR(MATCH(RIGHT(C10,3)+0,#REF!,0))),NOT(ISERROR(MATCH(LEFT(C10,3)+0,#REF!,0)))),"No Post","")</f>
        <v/>
      </c>
    </row>
    <row r="11" spans="1:12" x14ac:dyDescent="0.35">
      <c r="A11" s="22">
        <v>5</v>
      </c>
      <c r="B11" s="22"/>
      <c r="C11" s="30"/>
      <c r="D11" s="37"/>
      <c r="E11" s="44"/>
      <c r="F11" s="30"/>
      <c r="G11" s="30"/>
      <c r="H11" s="30"/>
      <c r="I11" s="30"/>
      <c r="J11" s="30"/>
      <c r="K11" s="30"/>
      <c r="L11" s="51" t="str">
        <f>IF(OR(NOT(ISERROR(MATCH(RIGHT(C11,3)+0,#REF!,0))),NOT(ISERROR(MATCH(LEFT(C11,3)+0,#REF!,0)))),"No Post","")</f>
        <v/>
      </c>
    </row>
    <row r="12" spans="1:12" x14ac:dyDescent="0.35">
      <c r="A12" s="22">
        <v>6</v>
      </c>
      <c r="B12" s="22"/>
      <c r="C12" s="23"/>
      <c r="D12" s="31"/>
      <c r="E12" s="20"/>
      <c r="F12" s="23"/>
      <c r="G12" s="34"/>
      <c r="H12" s="19"/>
      <c r="I12" s="30"/>
      <c r="J12" s="31"/>
      <c r="K12" s="31"/>
      <c r="L12" s="51" t="str">
        <f>IF(OR(NOT(ISERROR(MATCH(RIGHT(C12,3)+0,#REF!,0))),NOT(ISERROR(MATCH(LEFT(C12,3)+0,#REF!,0)))),"No Post","")</f>
        <v/>
      </c>
    </row>
    <row r="13" spans="1:12" x14ac:dyDescent="0.35">
      <c r="A13" s="22">
        <v>7</v>
      </c>
      <c r="B13" s="22"/>
      <c r="C13" s="23"/>
      <c r="D13" s="31"/>
      <c r="E13" s="20"/>
      <c r="F13" s="23"/>
      <c r="G13" s="21"/>
      <c r="H13" s="19"/>
      <c r="I13" s="22"/>
      <c r="J13" s="31"/>
      <c r="K13" s="31"/>
      <c r="L13" s="51" t="str">
        <f>IF(OR(NOT(ISERROR(MATCH(RIGHT(C13,3)+0,#REF!,0))),NOT(ISERROR(MATCH(LEFT(C13,3)+0,#REF!,0)))),"No Post","")</f>
        <v/>
      </c>
    </row>
    <row r="14" spans="1:12" s="8" customFormat="1" ht="19.8" x14ac:dyDescent="0.4">
      <c r="A14" s="22">
        <v>8</v>
      </c>
      <c r="B14" s="22"/>
      <c r="C14" s="23"/>
      <c r="D14" s="31"/>
      <c r="E14" s="20"/>
      <c r="F14" s="19"/>
      <c r="G14" s="19"/>
      <c r="H14" s="19"/>
      <c r="I14" s="22"/>
      <c r="J14" s="35"/>
      <c r="K14" s="35"/>
      <c r="L14" s="51" t="str">
        <f>IF(OR(NOT(ISERROR(MATCH(RIGHT(C14,3)+0,#REF!,0))),NOT(ISERROR(MATCH(LEFT(C14,3)+0,#REF!,0)))),"No Post","")</f>
        <v/>
      </c>
    </row>
    <row r="15" spans="1:12" x14ac:dyDescent="0.35">
      <c r="A15" s="22">
        <v>9</v>
      </c>
      <c r="B15" s="22"/>
      <c r="C15" s="23"/>
      <c r="D15" s="31"/>
      <c r="E15" s="20"/>
      <c r="F15" s="19"/>
      <c r="G15" s="19"/>
      <c r="H15" s="19"/>
      <c r="I15" s="22"/>
      <c r="J15" s="31"/>
      <c r="K15" s="31"/>
      <c r="L15" s="51" t="str">
        <f>IF(OR(NOT(ISERROR(MATCH(RIGHT(C15,3)+0,#REF!,0))),NOT(ISERROR(MATCH(LEFT(C15,3)+0,#REF!,0)))),"No Post","")</f>
        <v/>
      </c>
    </row>
    <row r="16" spans="1:12" s="9" customFormat="1" x14ac:dyDescent="0.35">
      <c r="A16" s="22">
        <v>10</v>
      </c>
      <c r="B16" s="22"/>
      <c r="C16" s="23"/>
      <c r="D16" s="31"/>
      <c r="E16" s="20"/>
      <c r="F16" s="19"/>
      <c r="G16" s="19"/>
      <c r="H16" s="19"/>
      <c r="I16" s="22"/>
      <c r="J16" s="31"/>
      <c r="K16" s="31"/>
      <c r="L16" s="51" t="str">
        <f>IF(OR(NOT(ISERROR(MATCH(RIGHT(C16,3)+0,#REF!,0))),NOT(ISERROR(MATCH(LEFT(C16,3)+0,#REF!,0)))),"No Post","")</f>
        <v/>
      </c>
    </row>
    <row r="17" spans="1:9" s="9" customFormat="1" ht="23.25" customHeight="1" x14ac:dyDescent="0.35">
      <c r="A17" s="1"/>
      <c r="B17" s="1"/>
      <c r="C17" s="1"/>
      <c r="D17" s="1"/>
      <c r="E17" s="45" t="s">
        <v>18</v>
      </c>
      <c r="F17" s="16">
        <f>SUM(F7:F16)</f>
        <v>3</v>
      </c>
      <c r="G17" s="16">
        <f>SUM(G7:G16)</f>
        <v>0</v>
      </c>
      <c r="H17" s="1"/>
      <c r="I17" s="1"/>
    </row>
    <row r="18" spans="1:9" s="9" customFormat="1" ht="23.25" customHeight="1" x14ac:dyDescent="0.35">
      <c r="A18" s="1"/>
      <c r="B18" s="1"/>
      <c r="C18" s="1"/>
      <c r="D18" s="1"/>
      <c r="E18" s="39"/>
      <c r="F18" s="1"/>
      <c r="G18" s="1"/>
      <c r="H18" s="1"/>
      <c r="I18" s="1"/>
    </row>
    <row r="19" spans="1:9" ht="20.25" customHeight="1" x14ac:dyDescent="0.35">
      <c r="C19" t="s">
        <v>7</v>
      </c>
      <c r="D19"/>
      <c r="E19" s="46"/>
      <c r="F19"/>
      <c r="G19"/>
      <c r="H19"/>
      <c r="I19"/>
    </row>
    <row r="20" spans="1:9" ht="20.25" customHeight="1" x14ac:dyDescent="0.35">
      <c r="C20" s="10" t="s">
        <v>8</v>
      </c>
      <c r="D20" s="10"/>
      <c r="E20" s="47"/>
      <c r="F20" s="10"/>
      <c r="G20" s="10"/>
      <c r="H20" s="10"/>
      <c r="I20" s="10"/>
    </row>
    <row r="21" spans="1:9" ht="20.25" customHeight="1" x14ac:dyDescent="0.35">
      <c r="C21" s="10" t="s">
        <v>9</v>
      </c>
      <c r="D21" s="10"/>
      <c r="E21" s="47"/>
      <c r="F21" s="10"/>
      <c r="G21" s="10"/>
      <c r="H21" s="10"/>
      <c r="I21" s="10"/>
    </row>
    <row r="22" spans="1:9" ht="20.25" customHeight="1" x14ac:dyDescent="0.35">
      <c r="C22" s="10" t="s">
        <v>10</v>
      </c>
      <c r="D22" s="10"/>
      <c r="E22" s="47"/>
      <c r="F22" s="10"/>
      <c r="G22" s="10"/>
      <c r="H22" s="10"/>
      <c r="I22" s="10"/>
    </row>
    <row r="23" spans="1:9" x14ac:dyDescent="0.35">
      <c r="C23" s="10" t="s">
        <v>11</v>
      </c>
      <c r="D23" s="10"/>
      <c r="E23" s="47"/>
      <c r="F23" s="10"/>
      <c r="G23" s="10"/>
      <c r="H23" s="10"/>
      <c r="I23" s="10"/>
    </row>
    <row r="24" spans="1:9" x14ac:dyDescent="0.35">
      <c r="C24" s="10" t="s">
        <v>12</v>
      </c>
      <c r="D24" s="10"/>
      <c r="E24" s="47"/>
      <c r="F24" s="10"/>
      <c r="G24" s="10"/>
      <c r="H24" s="10"/>
      <c r="I24" s="10"/>
    </row>
    <row r="25" spans="1:9" x14ac:dyDescent="0.35">
      <c r="C25" s="10" t="s">
        <v>13</v>
      </c>
      <c r="D25" s="10"/>
      <c r="E25" s="47"/>
      <c r="F25" s="10"/>
      <c r="G25" s="10"/>
      <c r="H25" s="10"/>
      <c r="I25" s="10"/>
    </row>
    <row r="26" spans="1:9" s="12" customFormat="1" ht="15.6" x14ac:dyDescent="0.3">
      <c r="C26" s="11" t="s">
        <v>14</v>
      </c>
      <c r="D26" s="11"/>
      <c r="E26" s="48"/>
      <c r="F26" s="11"/>
      <c r="G26" s="11"/>
      <c r="H26" s="11"/>
    </row>
    <row r="27" spans="1:9" s="12" customFormat="1" ht="15.6" x14ac:dyDescent="0.3">
      <c r="C27" s="11" t="s">
        <v>15</v>
      </c>
      <c r="D27" s="11"/>
      <c r="E27" s="48"/>
      <c r="F27" s="11"/>
      <c r="G27" s="11"/>
      <c r="H27" s="11"/>
    </row>
    <row r="28" spans="1:9" s="14" customFormat="1" ht="20.25" customHeight="1" x14ac:dyDescent="0.35">
      <c r="C28" s="13" t="s">
        <v>16</v>
      </c>
      <c r="D28" s="13"/>
      <c r="E28" s="49"/>
    </row>
    <row r="29" spans="1:9" customFormat="1" ht="14.4" x14ac:dyDescent="0.3">
      <c r="C29" s="15"/>
      <c r="D29" s="10"/>
      <c r="E29" s="47"/>
      <c r="F29" s="10"/>
      <c r="G29" s="10"/>
      <c r="H29" s="10"/>
      <c r="I29" s="10"/>
    </row>
    <row r="30" spans="1:9" x14ac:dyDescent="0.35">
      <c r="C30" s="10"/>
      <c r="D30" s="10"/>
      <c r="E30" s="47"/>
      <c r="F30" s="10"/>
      <c r="G30" s="10"/>
      <c r="H30" s="10"/>
      <c r="I30" s="10"/>
    </row>
    <row r="31" spans="1:9" x14ac:dyDescent="0.35">
      <c r="C31" s="15"/>
      <c r="D31" s="10"/>
      <c r="E31" s="47"/>
      <c r="F31" s="10"/>
      <c r="G31" s="10"/>
      <c r="H31" s="10"/>
      <c r="I31" s="10"/>
    </row>
    <row r="32" spans="1:9" x14ac:dyDescent="0.35">
      <c r="C32" s="10"/>
      <c r="D32" s="10"/>
      <c r="E32" s="47"/>
      <c r="F32" s="10"/>
      <c r="G32" s="10"/>
      <c r="H32" s="10"/>
      <c r="I32" s="10"/>
    </row>
    <row r="34" spans="3:9" x14ac:dyDescent="0.35">
      <c r="C34" s="9"/>
      <c r="D34" s="9"/>
      <c r="E34" s="50"/>
      <c r="F34" s="9"/>
      <c r="G34" s="9"/>
      <c r="H34" s="9"/>
      <c r="I34" s="9"/>
    </row>
    <row r="49" spans="3:9" x14ac:dyDescent="0.35">
      <c r="C49" s="10"/>
      <c r="D49" s="10"/>
      <c r="E49" s="47"/>
      <c r="F49" s="10"/>
      <c r="G49" s="10"/>
      <c r="H49" s="10"/>
      <c r="I49" s="10"/>
    </row>
    <row r="50" spans="3:9" x14ac:dyDescent="0.35">
      <c r="C50" s="10"/>
      <c r="D50" s="10"/>
      <c r="E50" s="47"/>
      <c r="F50" s="10"/>
      <c r="G50" s="10"/>
      <c r="H50" s="10"/>
      <c r="I50" s="10"/>
    </row>
    <row r="51" spans="3:9" x14ac:dyDescent="0.35">
      <c r="C51" s="10"/>
      <c r="D51" s="10"/>
      <c r="E51" s="47"/>
      <c r="F51" s="10"/>
      <c r="G51" s="10"/>
      <c r="H51" s="10"/>
      <c r="I51" s="10"/>
    </row>
    <row r="52" spans="3:9" x14ac:dyDescent="0.35">
      <c r="C52" s="15"/>
      <c r="D52" s="10"/>
      <c r="E52" s="47"/>
      <c r="F52" s="10"/>
      <c r="G52" s="10"/>
      <c r="H52" s="10"/>
      <c r="I52" s="10"/>
    </row>
    <row r="53" spans="3:9" x14ac:dyDescent="0.35">
      <c r="C53" s="10"/>
      <c r="D53" s="10"/>
      <c r="E53" s="47"/>
      <c r="F53" s="10"/>
      <c r="G53" s="10"/>
      <c r="H53" s="10"/>
      <c r="I53" s="10"/>
    </row>
  </sheetData>
  <customSheetViews>
    <customSheetView guid="{3401187C-FEA2-4BBD-A2A1-1470385212C9}">
      <selection activeCell="C11" sqref="C11"/>
      <pageMargins left="0.7" right="0.7" top="0.75" bottom="0.75" header="0.3" footer="0.3"/>
    </customSheetView>
    <customSheetView guid="{F71AB124-05BD-4C18-9EA5-D07F5595DBB7}">
      <selection activeCell="C11" sqref="C11"/>
      <pageMargins left="0.7" right="0.7" top="0.75" bottom="0.75" header="0.3" footer="0.3"/>
    </customSheetView>
    <customSheetView guid="{3B7A717D-F7C1-4B3F-A808-FA5F4AC70C7F}">
      <selection activeCell="D12" sqref="D12"/>
      <pageMargins left="0.7" right="0.7" top="0.75" bottom="0.75" header="0.3" footer="0.3"/>
    </customSheetView>
  </customSheetViews>
  <conditionalFormatting sqref="L7:L16">
    <cfRule type="containsText" dxfId="3" priority="1" operator="containsText" text="No Post">
      <formula>NOT(ISERROR(SEARCH("No Post",L7)))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workbookViewId="0">
      <selection activeCell="C11" sqref="C11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4" t="s">
        <v>22</v>
      </c>
      <c r="B5" s="25"/>
      <c r="C5" s="25"/>
      <c r="D5" s="41"/>
      <c r="E5" s="25"/>
      <c r="F5" s="25"/>
      <c r="G5" s="25"/>
      <c r="H5" s="25"/>
      <c r="I5" s="26" t="s">
        <v>1</v>
      </c>
      <c r="J5" s="17" t="str">
        <f ca="1">CONCATENATE((MID(CELL("filename",J5),FIND("]",CELL("filename",J5))+1,255)),"/04/2026")</f>
        <v>21/04/2026</v>
      </c>
    </row>
    <row r="6" spans="1:11" ht="18.600000000000001" thickBot="1" x14ac:dyDescent="0.4">
      <c r="A6" s="32"/>
      <c r="B6" s="27" t="s">
        <v>2</v>
      </c>
      <c r="C6" s="27" t="s">
        <v>3</v>
      </c>
      <c r="D6" s="42" t="s">
        <v>21</v>
      </c>
      <c r="E6" s="27" t="s">
        <v>19</v>
      </c>
      <c r="F6" s="27" t="s">
        <v>17</v>
      </c>
      <c r="G6" s="27" t="s">
        <v>4</v>
      </c>
      <c r="H6" s="28" t="s">
        <v>5</v>
      </c>
      <c r="I6" s="28" t="s">
        <v>20</v>
      </c>
      <c r="J6" s="29" t="s">
        <v>6</v>
      </c>
    </row>
    <row r="7" spans="1:11" x14ac:dyDescent="0.35">
      <c r="A7" s="33">
        <v>1</v>
      </c>
      <c r="B7" s="18"/>
      <c r="C7" s="36"/>
      <c r="D7" s="43"/>
      <c r="E7" s="18"/>
      <c r="F7" s="18"/>
      <c r="G7" s="18"/>
      <c r="H7" s="18"/>
      <c r="I7" s="18"/>
      <c r="J7" s="18"/>
      <c r="K7" s="51" t="str">
        <f>IF(OR(NOT(ISERROR(MATCH(RIGHT(B7,3)+0,#REF!,0))),NOT(ISERROR(MATCH(LEFT(B7,3)+0,#REF!,0)))),"No Post","")</f>
        <v/>
      </c>
    </row>
    <row r="8" spans="1:11" x14ac:dyDescent="0.35">
      <c r="A8" s="22">
        <v>2</v>
      </c>
      <c r="B8" s="30"/>
      <c r="C8" s="37"/>
      <c r="D8" s="44"/>
      <c r="E8" s="30"/>
      <c r="F8" s="30"/>
      <c r="G8" s="30"/>
      <c r="H8" s="30"/>
      <c r="I8" s="30"/>
      <c r="J8" s="30"/>
      <c r="K8" s="51" t="str">
        <f>IF(OR(NOT(ISERROR(MATCH(RIGHT(B8,3)+0,#REF!,0))),NOT(ISERROR(MATCH(LEFT(B8,3)+0,#REF!,0)))),"No Post","")</f>
        <v/>
      </c>
    </row>
    <row r="9" spans="1:11" x14ac:dyDescent="0.35">
      <c r="A9" s="22">
        <v>3</v>
      </c>
      <c r="B9" s="30"/>
      <c r="C9" s="37"/>
      <c r="D9" s="44"/>
      <c r="E9" s="30"/>
      <c r="F9" s="30"/>
      <c r="G9" s="30"/>
      <c r="H9" s="30"/>
      <c r="I9" s="30"/>
      <c r="J9" s="30"/>
      <c r="K9" s="51" t="str">
        <f>IF(OR(NOT(ISERROR(MATCH(RIGHT(B9,3)+0,#REF!,0))),NOT(ISERROR(MATCH(LEFT(B9,3)+0,#REF!,0)))),"No Post","")</f>
        <v/>
      </c>
    </row>
    <row r="10" spans="1:11" x14ac:dyDescent="0.35">
      <c r="A10" s="22">
        <v>4</v>
      </c>
      <c r="B10" s="30"/>
      <c r="C10" s="37"/>
      <c r="D10" s="44"/>
      <c r="E10" s="30"/>
      <c r="F10" s="30"/>
      <c r="G10" s="30"/>
      <c r="H10" s="30"/>
      <c r="I10" s="30"/>
      <c r="J10" s="30"/>
      <c r="K10" s="51" t="str">
        <f>IF(OR(NOT(ISERROR(MATCH(RIGHT(B10,3)+0,#REF!,0))),NOT(ISERROR(MATCH(LEFT(B10,3)+0,#REF!,0)))),"No Post","")</f>
        <v/>
      </c>
    </row>
    <row r="11" spans="1:11" x14ac:dyDescent="0.35">
      <c r="A11" s="22">
        <v>5</v>
      </c>
      <c r="B11" s="30"/>
      <c r="C11" s="37"/>
      <c r="D11" s="44"/>
      <c r="E11" s="30"/>
      <c r="F11" s="30"/>
      <c r="G11" s="30"/>
      <c r="H11" s="30"/>
      <c r="I11" s="30"/>
      <c r="J11" s="30"/>
      <c r="K11" s="51" t="str">
        <f>IF(OR(NOT(ISERROR(MATCH(RIGHT(B11,3)+0,#REF!,0))),NOT(ISERROR(MATCH(LEFT(B11,3)+0,#REF!,0)))),"No Post","")</f>
        <v/>
      </c>
    </row>
    <row r="12" spans="1:11" x14ac:dyDescent="0.35">
      <c r="A12" s="22">
        <v>6</v>
      </c>
      <c r="B12" s="23"/>
      <c r="C12" s="31"/>
      <c r="D12" s="20"/>
      <c r="E12" s="23"/>
      <c r="F12" s="34"/>
      <c r="G12" s="19"/>
      <c r="H12" s="30"/>
      <c r="I12" s="31"/>
      <c r="J12" s="31"/>
      <c r="K12" s="51" t="str">
        <f>IF(OR(NOT(ISERROR(MATCH(RIGHT(B12,3)+0,#REF!,0))),NOT(ISERROR(MATCH(LEFT(B12,3)+0,#REF!,0)))),"No Post","")</f>
        <v/>
      </c>
    </row>
    <row r="13" spans="1:11" x14ac:dyDescent="0.35">
      <c r="A13" s="22">
        <v>7</v>
      </c>
      <c r="B13" s="23"/>
      <c r="C13" s="31"/>
      <c r="D13" s="20"/>
      <c r="E13" s="23"/>
      <c r="F13" s="21"/>
      <c r="G13" s="19"/>
      <c r="H13" s="22"/>
      <c r="I13" s="31"/>
      <c r="J13" s="31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2">
        <v>8</v>
      </c>
      <c r="B14" s="23"/>
      <c r="C14" s="31"/>
      <c r="D14" s="20"/>
      <c r="E14" s="19"/>
      <c r="F14" s="19"/>
      <c r="G14" s="19"/>
      <c r="H14" s="22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2">
        <v>9</v>
      </c>
      <c r="B15" s="23"/>
      <c r="C15" s="31"/>
      <c r="D15" s="20"/>
      <c r="E15" s="19"/>
      <c r="F15" s="19"/>
      <c r="G15" s="19"/>
      <c r="H15" s="22"/>
      <c r="I15" s="31"/>
      <c r="J15" s="31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2">
        <v>10</v>
      </c>
      <c r="B16" s="23"/>
      <c r="C16" s="31"/>
      <c r="D16" s="20"/>
      <c r="E16" s="19"/>
      <c r="F16" s="19"/>
      <c r="G16" s="19"/>
      <c r="H16" s="22"/>
      <c r="I16" s="31"/>
      <c r="J16" s="31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3401187C-FEA2-4BBD-A2A1-1470385212C9}">
      <selection activeCell="C11" sqref="C11"/>
      <pageMargins left="0.7" right="0.7" top="0.75" bottom="0.75" header="0.3" footer="0.3"/>
    </customSheetView>
    <customSheetView guid="{F71AB124-05BD-4C18-9EA5-D07F5595DBB7}">
      <selection activeCell="C11" sqref="C11"/>
      <pageMargins left="0.7" right="0.7" top="0.75" bottom="0.75" header="0.3" footer="0.3"/>
    </customSheetView>
    <customSheetView guid="{3B7A717D-F7C1-4B3F-A808-FA5F4AC70C7F}">
      <selection activeCell="C11" sqref="C11"/>
      <pageMargins left="0.7" right="0.7" top="0.75" bottom="0.75" header="0.3" footer="0.3"/>
    </customSheetView>
  </customSheetViews>
  <conditionalFormatting sqref="K7:K16">
    <cfRule type="containsText" dxfId="2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tabSelected="1" workbookViewId="0">
      <selection activeCell="G11" sqref="G11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4" t="s">
        <v>22</v>
      </c>
      <c r="B5" s="25"/>
      <c r="C5" s="25"/>
      <c r="D5" s="41"/>
      <c r="E5" s="25"/>
      <c r="F5" s="25"/>
      <c r="G5" s="25"/>
      <c r="H5" s="25"/>
      <c r="I5" s="26" t="s">
        <v>1</v>
      </c>
      <c r="J5" s="17" t="str">
        <f ca="1">CONCATENATE((MID(CELL("filename",J5),FIND("]",CELL("filename",J5))+1,255)),"/04/2026")</f>
        <v>25/04/2026</v>
      </c>
    </row>
    <row r="6" spans="1:11" ht="18.600000000000001" thickBot="1" x14ac:dyDescent="0.4">
      <c r="A6" s="32"/>
      <c r="B6" s="27" t="s">
        <v>2</v>
      </c>
      <c r="C6" s="27" t="s">
        <v>3</v>
      </c>
      <c r="D6" s="42" t="s">
        <v>21</v>
      </c>
      <c r="E6" s="27" t="s">
        <v>19</v>
      </c>
      <c r="F6" s="27" t="s">
        <v>17</v>
      </c>
      <c r="G6" s="27" t="s">
        <v>4</v>
      </c>
      <c r="H6" s="28" t="s">
        <v>5</v>
      </c>
      <c r="I6" s="28" t="s">
        <v>20</v>
      </c>
      <c r="J6" s="29" t="s">
        <v>6</v>
      </c>
    </row>
    <row r="7" spans="1:11" x14ac:dyDescent="0.35">
      <c r="A7" s="33">
        <v>1</v>
      </c>
      <c r="B7" s="68">
        <v>609</v>
      </c>
      <c r="C7" s="65" t="s">
        <v>23</v>
      </c>
      <c r="D7" s="66">
        <v>46143</v>
      </c>
      <c r="E7" s="65">
        <v>2</v>
      </c>
      <c r="F7" s="65">
        <v>2</v>
      </c>
      <c r="G7" s="65"/>
      <c r="H7" s="65"/>
      <c r="I7" s="65" t="s">
        <v>45</v>
      </c>
      <c r="J7" s="65" t="s">
        <v>26</v>
      </c>
      <c r="K7" s="67" t="s">
        <v>30</v>
      </c>
    </row>
    <row r="8" spans="1:11" x14ac:dyDescent="0.35">
      <c r="A8" s="22">
        <v>2</v>
      </c>
      <c r="B8" s="69">
        <v>610</v>
      </c>
      <c r="C8" s="23" t="s">
        <v>24</v>
      </c>
      <c r="D8" s="66">
        <v>46143</v>
      </c>
      <c r="E8" s="23">
        <v>2</v>
      </c>
      <c r="F8" s="23"/>
      <c r="G8" s="23"/>
      <c r="H8" s="23"/>
      <c r="I8" s="23" t="s">
        <v>45</v>
      </c>
      <c r="J8" s="65" t="s">
        <v>26</v>
      </c>
      <c r="K8" s="67" t="s">
        <v>30</v>
      </c>
    </row>
    <row r="9" spans="1:11" x14ac:dyDescent="0.35">
      <c r="A9" s="22">
        <v>3</v>
      </c>
      <c r="B9" s="69">
        <v>611</v>
      </c>
      <c r="C9" s="23" t="s">
        <v>25</v>
      </c>
      <c r="D9" s="66">
        <v>46143</v>
      </c>
      <c r="E9" s="23">
        <v>1</v>
      </c>
      <c r="F9" s="23"/>
      <c r="G9" s="23"/>
      <c r="H9" s="23"/>
      <c r="I9" s="23" t="s">
        <v>45</v>
      </c>
      <c r="J9" s="65" t="s">
        <v>26</v>
      </c>
      <c r="K9" s="67" t="s">
        <v>30</v>
      </c>
    </row>
    <row r="10" spans="1:11" x14ac:dyDescent="0.35">
      <c r="A10" s="22">
        <v>4</v>
      </c>
      <c r="B10" s="30"/>
      <c r="C10" s="37"/>
      <c r="D10" s="44"/>
      <c r="E10" s="30"/>
      <c r="F10" s="30"/>
      <c r="G10" s="30"/>
      <c r="H10" s="30"/>
      <c r="I10" s="30"/>
      <c r="J10" s="30"/>
      <c r="K10" s="51" t="str">
        <f>IF(OR(NOT(ISERROR(MATCH(RIGHT(B10,3)+0,#REF!,0))),NOT(ISERROR(MATCH(LEFT(B10,3)+0,#REF!,0)))),"No Post","")</f>
        <v/>
      </c>
    </row>
    <row r="11" spans="1:11" x14ac:dyDescent="0.35">
      <c r="A11" s="22">
        <v>5</v>
      </c>
      <c r="B11" s="30"/>
      <c r="C11" s="37"/>
      <c r="D11" s="44"/>
      <c r="E11" s="30"/>
      <c r="F11" s="30"/>
      <c r="G11" s="30"/>
      <c r="H11" s="30"/>
      <c r="I11" s="30"/>
      <c r="J11" s="30"/>
      <c r="K11" s="51" t="str">
        <f>IF(OR(NOT(ISERROR(MATCH(RIGHT(B11,3)+0,#REF!,0))),NOT(ISERROR(MATCH(LEFT(B11,3)+0,#REF!,0)))),"No Post","")</f>
        <v/>
      </c>
    </row>
    <row r="12" spans="1:11" x14ac:dyDescent="0.35">
      <c r="A12" s="22">
        <v>6</v>
      </c>
      <c r="B12" s="23"/>
      <c r="C12" s="31"/>
      <c r="D12" s="20"/>
      <c r="E12" s="23"/>
      <c r="F12" s="34"/>
      <c r="G12" s="19"/>
      <c r="H12" s="30"/>
      <c r="I12" s="31"/>
      <c r="J12" s="31"/>
      <c r="K12" s="51" t="str">
        <f>IF(OR(NOT(ISERROR(MATCH(RIGHT(B12,3)+0,#REF!,0))),NOT(ISERROR(MATCH(LEFT(B12,3)+0,#REF!,0)))),"No Post","")</f>
        <v/>
      </c>
    </row>
    <row r="13" spans="1:11" x14ac:dyDescent="0.35">
      <c r="A13" s="22">
        <v>7</v>
      </c>
      <c r="B13" s="23"/>
      <c r="C13" s="31"/>
      <c r="D13" s="20"/>
      <c r="E13" s="23"/>
      <c r="F13" s="21"/>
      <c r="G13" s="19"/>
      <c r="H13" s="22"/>
      <c r="I13" s="31"/>
      <c r="J13" s="31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2">
        <v>8</v>
      </c>
      <c r="B14" s="23"/>
      <c r="C14" s="31"/>
      <c r="D14" s="20"/>
      <c r="E14" s="19"/>
      <c r="F14" s="19"/>
      <c r="G14" s="19"/>
      <c r="H14" s="22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2">
        <v>9</v>
      </c>
      <c r="B15" s="23"/>
      <c r="C15" s="31"/>
      <c r="D15" s="20"/>
      <c r="E15" s="19"/>
      <c r="F15" s="19"/>
      <c r="G15" s="19"/>
      <c r="H15" s="22"/>
      <c r="I15" s="31"/>
      <c r="J15" s="31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2">
        <v>10</v>
      </c>
      <c r="B16" s="23"/>
      <c r="C16" s="31"/>
      <c r="D16" s="20"/>
      <c r="E16" s="19"/>
      <c r="F16" s="19"/>
      <c r="G16" s="19"/>
      <c r="H16" s="22"/>
      <c r="I16" s="31"/>
      <c r="J16" s="31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5</v>
      </c>
      <c r="F17" s="16">
        <f>SUM(F7:F16)</f>
        <v>2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3401187C-FEA2-4BBD-A2A1-1470385212C9}">
      <selection activeCell="K10" sqref="K10"/>
      <pageMargins left="0.7" right="0.7" top="0.75" bottom="0.75" header="0.3" footer="0.3"/>
    </customSheetView>
    <customSheetView guid="{F71AB124-05BD-4C18-9EA5-D07F5595DBB7}">
      <selection activeCell="K10" sqref="K10"/>
      <pageMargins left="0.7" right="0.7" top="0.75" bottom="0.75" header="0.3" footer="0.3"/>
    </customSheetView>
    <customSheetView guid="{3B7A717D-F7C1-4B3F-A808-FA5F4AC70C7F}">
      <selection activeCell="I12" sqref="I12"/>
      <pageMargins left="0.7" right="0.7" top="0.75" bottom="0.75" header="0.3" footer="0.3"/>
    </customSheetView>
  </customSheetViews>
  <conditionalFormatting sqref="K7:K16">
    <cfRule type="containsText" dxfId="1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workbookViewId="0">
      <selection activeCell="E9" sqref="E9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4" t="s">
        <v>22</v>
      </c>
      <c r="B5" s="25"/>
      <c r="C5" s="25"/>
      <c r="D5" s="41"/>
      <c r="E5" s="25"/>
      <c r="F5" s="25"/>
      <c r="G5" s="25"/>
      <c r="H5" s="25"/>
      <c r="I5" s="26" t="s">
        <v>1</v>
      </c>
      <c r="J5" s="17" t="str">
        <f ca="1">CONCATENATE((MID(CELL("filename",J5),FIND("]",CELL("filename",J5))+1,255)),"/04/2026")</f>
        <v>28/04/2026</v>
      </c>
    </row>
    <row r="6" spans="1:11" ht="18.600000000000001" thickBot="1" x14ac:dyDescent="0.4">
      <c r="A6" s="32"/>
      <c r="B6" s="27" t="s">
        <v>2</v>
      </c>
      <c r="C6" s="27" t="s">
        <v>3</v>
      </c>
      <c r="D6" s="42" t="s">
        <v>21</v>
      </c>
      <c r="E6" s="27" t="s">
        <v>19</v>
      </c>
      <c r="F6" s="27" t="s">
        <v>17</v>
      </c>
      <c r="G6" s="27" t="s">
        <v>4</v>
      </c>
      <c r="H6" s="28" t="s">
        <v>5</v>
      </c>
      <c r="I6" s="28" t="s">
        <v>20</v>
      </c>
      <c r="J6" s="29" t="s">
        <v>6</v>
      </c>
    </row>
    <row r="7" spans="1:11" x14ac:dyDescent="0.35">
      <c r="A7" s="33">
        <v>1</v>
      </c>
      <c r="B7" s="30">
        <v>623</v>
      </c>
      <c r="C7" s="37" t="s">
        <v>29</v>
      </c>
      <c r="D7" s="44">
        <v>46144</v>
      </c>
      <c r="E7" s="30">
        <v>3</v>
      </c>
      <c r="F7" s="30"/>
      <c r="G7" s="30"/>
      <c r="H7" s="30"/>
      <c r="I7" s="30">
        <v>3237958</v>
      </c>
      <c r="J7" s="30" t="s">
        <v>28</v>
      </c>
      <c r="K7" s="51" t="s">
        <v>30</v>
      </c>
    </row>
    <row r="8" spans="1:11" x14ac:dyDescent="0.35">
      <c r="A8" s="22">
        <v>2</v>
      </c>
      <c r="B8" s="30"/>
      <c r="C8" s="37"/>
      <c r="D8" s="44"/>
      <c r="E8" s="30"/>
      <c r="F8" s="30"/>
      <c r="G8" s="30"/>
      <c r="H8" s="30"/>
      <c r="I8" s="30"/>
      <c r="J8" s="30"/>
      <c r="K8" s="51" t="str">
        <f>IF(OR(NOT(ISERROR(MATCH(RIGHT(B8,3)+0,#REF!,0))),NOT(ISERROR(MATCH(LEFT(B8,3)+0,#REF!,0)))),"No Post","")</f>
        <v/>
      </c>
    </row>
    <row r="9" spans="1:11" x14ac:dyDescent="0.35">
      <c r="A9" s="22">
        <v>3</v>
      </c>
      <c r="B9" s="30"/>
      <c r="C9" s="37"/>
      <c r="D9" s="44"/>
      <c r="E9" s="30"/>
      <c r="F9" s="30"/>
      <c r="G9" s="30"/>
      <c r="H9" s="30"/>
      <c r="I9" s="30"/>
      <c r="J9" s="30"/>
      <c r="K9" s="51" t="str">
        <f>IF(OR(NOT(ISERROR(MATCH(RIGHT(B9,3)+0,#REF!,0))),NOT(ISERROR(MATCH(LEFT(B9,3)+0,#REF!,0)))),"No Post","")</f>
        <v/>
      </c>
    </row>
    <row r="10" spans="1:11" x14ac:dyDescent="0.35">
      <c r="A10" s="22">
        <v>4</v>
      </c>
      <c r="B10" s="30"/>
      <c r="C10" s="37"/>
      <c r="D10" s="44"/>
      <c r="E10" s="30"/>
      <c r="F10" s="30"/>
      <c r="G10" s="30"/>
      <c r="H10" s="30"/>
      <c r="I10" s="30"/>
      <c r="J10" s="30"/>
      <c r="K10" s="51" t="str">
        <f>IF(OR(NOT(ISERROR(MATCH(RIGHT(B10,3)+0,#REF!,0))),NOT(ISERROR(MATCH(LEFT(B10,3)+0,#REF!,0)))),"No Post","")</f>
        <v/>
      </c>
    </row>
    <row r="11" spans="1:11" x14ac:dyDescent="0.35">
      <c r="A11" s="22">
        <v>5</v>
      </c>
      <c r="B11" s="30"/>
      <c r="C11" s="37"/>
      <c r="D11" s="44"/>
      <c r="E11" s="30"/>
      <c r="F11" s="30"/>
      <c r="G11" s="30"/>
      <c r="H11" s="30"/>
      <c r="I11" s="30"/>
      <c r="J11" s="30"/>
      <c r="K11" s="51" t="str">
        <f>IF(OR(NOT(ISERROR(MATCH(RIGHT(B11,3)+0,#REF!,0))),NOT(ISERROR(MATCH(LEFT(B11,3)+0,#REF!,0)))),"No Post","")</f>
        <v/>
      </c>
    </row>
    <row r="12" spans="1:11" x14ac:dyDescent="0.35">
      <c r="A12" s="22">
        <v>6</v>
      </c>
      <c r="B12" s="23"/>
      <c r="C12" s="31"/>
      <c r="D12" s="20"/>
      <c r="E12" s="23"/>
      <c r="F12" s="34"/>
      <c r="G12" s="19"/>
      <c r="H12" s="30"/>
      <c r="I12" s="31"/>
      <c r="J12" s="31"/>
      <c r="K12" s="51" t="str">
        <f>IF(OR(NOT(ISERROR(MATCH(RIGHT(B12,3)+0,#REF!,0))),NOT(ISERROR(MATCH(LEFT(B12,3)+0,#REF!,0)))),"No Post","")</f>
        <v/>
      </c>
    </row>
    <row r="13" spans="1:11" x14ac:dyDescent="0.35">
      <c r="A13" s="22">
        <v>7</v>
      </c>
      <c r="B13" s="23"/>
      <c r="C13" s="31"/>
      <c r="D13" s="20"/>
      <c r="E13" s="23"/>
      <c r="F13" s="21"/>
      <c r="G13" s="19"/>
      <c r="H13" s="22"/>
      <c r="I13" s="31"/>
      <c r="J13" s="31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2">
        <v>8</v>
      </c>
      <c r="B14" s="23"/>
      <c r="C14" s="31"/>
      <c r="D14" s="20"/>
      <c r="E14" s="19"/>
      <c r="F14" s="19"/>
      <c r="G14" s="19"/>
      <c r="H14" s="22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2">
        <v>9</v>
      </c>
      <c r="B15" s="23"/>
      <c r="C15" s="31"/>
      <c r="D15" s="20"/>
      <c r="E15" s="19"/>
      <c r="F15" s="19"/>
      <c r="G15" s="19"/>
      <c r="H15" s="22"/>
      <c r="I15" s="31"/>
      <c r="J15" s="31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2">
        <v>10</v>
      </c>
      <c r="B16" s="23"/>
      <c r="C16" s="31"/>
      <c r="D16" s="20"/>
      <c r="E16" s="19"/>
      <c r="F16" s="19"/>
      <c r="G16" s="19"/>
      <c r="H16" s="22"/>
      <c r="I16" s="31"/>
      <c r="J16" s="31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3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3401187C-FEA2-4BBD-A2A1-1470385212C9}">
      <selection activeCell="J15" sqref="J15"/>
      <pageMargins left="0.7" right="0.7" top="0.75" bottom="0.75" header="0.3" footer="0.3"/>
    </customSheetView>
    <customSheetView guid="{F71AB124-05BD-4C18-9EA5-D07F5595DBB7}">
      <selection activeCell="J15" sqref="J15"/>
      <pageMargins left="0.7" right="0.7" top="0.75" bottom="0.75" header="0.3" footer="0.3"/>
    </customSheetView>
    <customSheetView guid="{3B7A717D-F7C1-4B3F-A808-FA5F4AC70C7F}">
      <selection activeCell="J15" sqref="J15"/>
      <pageMargins left="0.7" right="0.7" top="0.75" bottom="0.75" header="0.3" footer="0.3"/>
    </customSheetView>
  </customSheetViews>
  <conditionalFormatting sqref="K7:K16">
    <cfRule type="containsText" dxfId="0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4</vt:lpstr>
      <vt:lpstr>7</vt:lpstr>
      <vt:lpstr>11</vt:lpstr>
      <vt:lpstr>14</vt:lpstr>
      <vt:lpstr>18</vt:lpstr>
      <vt:lpstr>21</vt:lpstr>
      <vt:lpstr>25</vt:lpstr>
      <vt:lpstr>28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Assistant DiveCenter Manager</cp:lastModifiedBy>
  <cp:lastPrinted>2021-08-16T08:15:57Z</cp:lastPrinted>
  <dcterms:created xsi:type="dcterms:W3CDTF">2019-01-14T09:07:47Z</dcterms:created>
  <dcterms:modified xsi:type="dcterms:W3CDTF">2026-05-05T04:56:36Z</dcterms:modified>
</cp:coreProperties>
</file>