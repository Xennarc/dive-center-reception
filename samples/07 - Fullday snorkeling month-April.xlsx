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BOOKINGS\2026\04- April\"/>
    </mc:Choice>
  </mc:AlternateContent>
  <bookViews>
    <workbookView xWindow="0" yWindow="0" windowWidth="23040" windowHeight="9072" tabRatio="853" activeTab="3"/>
  </bookViews>
  <sheets>
    <sheet name="5" sheetId="1" r:id="rId1"/>
    <sheet name="12" sheetId="2" r:id="rId2"/>
    <sheet name="19" sheetId="3" r:id="rId3"/>
    <sheet name="26" sheetId="4" r:id="rId4"/>
  </sheets>
  <definedNames>
    <definedName name="_xlnm.Print_Area" localSheetId="0">'5'!$A$1:$J$29</definedName>
    <definedName name="Z_57921AD6_4E78_4BC5_B6EB_A8D32B8387DE_.wvu.PrintArea" localSheetId="0" hidden="1">'5'!$A$1:$J$29</definedName>
    <definedName name="Z_8766BD4A_A2D9_47A2_BAFB_80FCE2CBA564_.wvu.PrintArea" localSheetId="0" hidden="1">'5'!$A$1:$J$29</definedName>
    <definedName name="Z_E5346F5D_AB32_4911_8D1C_D52CEE49A305_.wvu.PrintArea" localSheetId="0" hidden="1">'5'!$A$1:$J$29</definedName>
  </definedNames>
  <calcPr calcId="162913" calcOnSave="0"/>
  <customWorkbookViews>
    <customWorkbookView name="Assistant DiveCenter Manager - Personal View" guid="{8766BD4A-A2D9-47A2-BAFB-80FCE2CBA564}" mergeInterval="0" personalView="1" maximized="1" xWindow="-9" yWindow="-9" windowWidth="1938" windowHeight="1038" tabRatio="853" activeSheetId="1"/>
    <customWorkbookView name="Dive Centre Office - Personal View" guid="{57921AD6-4E78-4BC5-B6EB-A8D32B8387DE}" mergeInterval="0" personalView="1" maximized="1" xWindow="-9" yWindow="-9" windowWidth="1938" windowHeight="1038" tabRatio="853" activeSheetId="1"/>
    <customWorkbookView name="Dhigurah Water Sports - Personal View" guid="{E5346F5D-AB32-4911-8D1C-D52CEE49A305}" mergeInterval="0" personalView="1" maximized="1" xWindow="-8" yWindow="-8" windowWidth="1382" windowHeight="736" tabRatio="85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" i="4" l="1"/>
  <c r="J5" i="3"/>
  <c r="J5" i="2"/>
  <c r="J5" i="1"/>
  <c r="G17" i="4" l="1"/>
  <c r="F17" i="4"/>
  <c r="L16" i="4"/>
  <c r="L15" i="4"/>
  <c r="L14" i="4"/>
  <c r="L13" i="4"/>
  <c r="L12" i="4"/>
  <c r="L11" i="4"/>
  <c r="L10" i="4"/>
  <c r="F17" i="3"/>
  <c r="E17" i="3"/>
  <c r="K16" i="3"/>
  <c r="K15" i="3"/>
  <c r="K14" i="3"/>
  <c r="K13" i="3"/>
  <c r="K12" i="3"/>
  <c r="K11" i="3"/>
  <c r="K10" i="3"/>
  <c r="K9" i="3"/>
  <c r="K8" i="3"/>
  <c r="K7" i="3"/>
  <c r="F17" i="2"/>
  <c r="E17" i="2"/>
  <c r="K16" i="2"/>
  <c r="K15" i="2"/>
  <c r="K14" i="2"/>
  <c r="K13" i="2"/>
  <c r="K12" i="2"/>
  <c r="K11" i="2"/>
  <c r="K10" i="2"/>
  <c r="K9" i="2"/>
  <c r="K8" i="2"/>
  <c r="K7" i="2"/>
  <c r="K11" i="1" l="1"/>
  <c r="K12" i="1"/>
  <c r="K13" i="1"/>
  <c r="K14" i="1"/>
  <c r="K15" i="1"/>
  <c r="F17" i="1" l="1"/>
  <c r="E17" i="1"/>
  <c r="K16" i="1" l="1"/>
  <c r="K10" i="1" l="1"/>
</calcChain>
</file>

<file path=xl/sharedStrings.xml><?xml version="1.0" encoding="utf-8"?>
<sst xmlns="http://schemas.openxmlformats.org/spreadsheetml/2006/main" count="130" uniqueCount="50">
  <si>
    <t xml:space="preserve">Note :  we require a booking  of 4 guests minimum 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</si>
  <si>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</si>
  <si>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</si>
  <si>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</si>
  <si>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</si>
  <si>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</si>
  <si>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</si>
  <si>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</si>
  <si>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</si>
  <si>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</si>
  <si>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</si>
  <si>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</si>
  <si>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</si>
  <si>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</si>
  <si>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</si>
  <si>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</si>
  <si>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</si>
  <si>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Child</t>
  </si>
  <si>
    <t>TOTAL</t>
  </si>
  <si>
    <t>Adults</t>
  </si>
  <si>
    <t>Remarks</t>
  </si>
  <si>
    <t>Departure</t>
  </si>
  <si>
    <t>FULLDAY SNORKELING  (MAX 10PAX)  USD$ 225 PP  10:00 TO 17:00</t>
  </si>
  <si>
    <t>Mr. Emmanuelle Vetu Coste</t>
  </si>
  <si>
    <t>Prebooking</t>
  </si>
  <si>
    <t>2774700 (TRMD)</t>
  </si>
  <si>
    <t>Mrs. Mireille Vetu</t>
  </si>
  <si>
    <t>3012693 (TRMD)</t>
  </si>
  <si>
    <t>Mr. Sylviane Coste</t>
  </si>
  <si>
    <t>3012695 (TRMD)</t>
  </si>
  <si>
    <t>Monica/Tarush</t>
  </si>
  <si>
    <t>Tanja Videbæk Thomassen</t>
  </si>
  <si>
    <t>Tanja Videbæk Thomassen &lt;tanja.videbak.thomassen@jyskebank.dk&gt;</t>
  </si>
  <si>
    <t>Tarush</t>
  </si>
  <si>
    <t>PreBooking</t>
  </si>
  <si>
    <t xml:space="preserve">Mr. Paul Warren </t>
  </si>
  <si>
    <t>Faiha/Shamrath</t>
  </si>
  <si>
    <t>VENTURA QUEIJA/SANTIAGO</t>
  </si>
  <si>
    <t>invoiced to TA at USD 225++ per person</t>
  </si>
  <si>
    <t>CXL2</t>
  </si>
  <si>
    <t>OLD</t>
  </si>
  <si>
    <t>Sascha Goetz</t>
  </si>
  <si>
    <t>Lorenzo/Tarush</t>
  </si>
  <si>
    <t>CXL 4</t>
  </si>
  <si>
    <t>Maaji</t>
  </si>
  <si>
    <t>Aurelien Goillot</t>
  </si>
  <si>
    <t>865 &amp; 863</t>
  </si>
  <si>
    <t>Rahil</t>
  </si>
  <si>
    <t>Lonnie Hardis</t>
  </si>
  <si>
    <t>Rowan Healey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</si>
</sst>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  <font>
      <sz val="11"/>
      <color rgb="FF4F3629"/>
      <name val="Arial"/>
      <family val="2"/>
    </font>
    <font>
      <b/>
      <sz val="11"/>
      <color rgb="FF4F3629"/>
      <name val="Arial"/>
      <family val="2"/>
    </font>
    <font>
      <b/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/>
    <xf numFmtId="14" fontId="2" fillId="3" borderId="1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/>
    <xf numFmtId="14" fontId="7" fillId="0" borderId="0" xfId="0" applyNumberFormat="1" applyFont="1"/>
    <xf numFmtId="14" fontId="8" fillId="2" borderId="0" xfId="0" applyNumberFormat="1" applyFont="1" applyFill="1"/>
    <xf numFmtId="14" fontId="9" fillId="0" borderId="0" xfId="0" applyNumberFormat="1" applyFont="1"/>
    <xf numFmtId="14" fontId="3" fillId="0" borderId="0" xfId="0" applyNumberFormat="1" applyFont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left"/>
    </xf>
    <xf numFmtId="14" fontId="2" fillId="3" borderId="8" xfId="0" applyNumberFormat="1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0" fontId="5" fillId="0" borderId="3" xfId="0" applyFont="1" applyBorder="1"/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vertical="center"/>
    </xf>
    <xf numFmtId="0" fontId="16" fillId="0" borderId="0" xfId="0" applyFont="1"/>
    <xf numFmtId="0" fontId="2" fillId="4" borderId="1" xfId="0" applyFont="1" applyFill="1" applyBorder="1"/>
    <xf numFmtId="0" fontId="2" fillId="4" borderId="8" xfId="0" applyFont="1" applyFill="1" applyBorder="1"/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0" borderId="9" xfId="0" applyFont="1" applyBorder="1"/>
    <xf numFmtId="0" fontId="2" fillId="3" borderId="10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usernames" Target="revisions/userNames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revisionHeaders" Target="revisions/revisionHeader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60961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57300" cy="73533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99388</xdr:colOff>
      <xdr:row>5</xdr:row>
      <xdr:rowOff>68581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96617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259081</xdr:colOff>
      <xdr:row>0</xdr:row>
      <xdr:rowOff>80010</xdr:rowOff>
    </xdr:from>
    <xdr:to>
      <xdr:col>3</xdr:col>
      <xdr:colOff>30481</xdr:colOff>
      <xdr:row>3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84148</xdr:colOff>
      <xdr:row>4</xdr:row>
      <xdr:rowOff>114301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9EC908F-E648-406F-B360-5596D4FB30FA}" diskRevisions="1" revisionId="74" version="18">
  <header guid="{39309C7E-D8EA-49E1-B730-D0FD05BEAB3B}" dateTime="2026-04-04T10:58:17" maxSheetId="5" userName="Assistant DiveCenter Manager" r:id="rId1">
    <sheetIdMap count="4">
      <sheetId val="1"/>
      <sheetId val="2"/>
      <sheetId val="3"/>
      <sheetId val="4"/>
    </sheetIdMap>
  </header>
  <header guid="{B2D8BBE4-3069-4180-BB4D-B6069A342FFD}" dateTime="2026-04-04T11:03:19" maxSheetId="5" userName="Dive Centre Office" r:id="rId2" minRId="1" maxRId="2">
    <sheetIdMap count="4">
      <sheetId val="1"/>
      <sheetId val="2"/>
      <sheetId val="3"/>
      <sheetId val="4"/>
    </sheetIdMap>
  </header>
  <header guid="{FCC4E3EA-81D3-4761-9ABA-6E37F4D53E44}" dateTime="2026-04-05T09:04:11" maxSheetId="5" userName="Dive Centre Office" r:id="rId3" minRId="4" maxRId="37">
    <sheetIdMap count="4">
      <sheetId val="1"/>
      <sheetId val="2"/>
      <sheetId val="3"/>
      <sheetId val="4"/>
    </sheetIdMap>
  </header>
  <header guid="{B31FB0C0-C652-44D1-AC23-DD4AEF0F9B82}" dateTime="2026-04-05T09:26:08" maxSheetId="5" userName="Dive Centre Office" r:id="rId4">
    <sheetIdMap count="4">
      <sheetId val="1"/>
      <sheetId val="2"/>
      <sheetId val="3"/>
      <sheetId val="4"/>
    </sheetIdMap>
  </header>
  <header guid="{1CDF9972-3C49-467F-B019-A68F214A671C}" dateTime="2026-04-05T09:47:02" maxSheetId="5" userName="Dive Centre Office" r:id="rId5" minRId="38">
    <sheetIdMap count="4">
      <sheetId val="1"/>
      <sheetId val="2"/>
      <sheetId val="3"/>
      <sheetId val="4"/>
    </sheetIdMap>
  </header>
  <header guid="{0EFEDEB9-2B34-47CE-8262-4A5B4C9C802B}" dateTime="2026-04-11T11:03:37" maxSheetId="5" userName="Dive Centre Office" r:id="rId6" minRId="39" maxRId="48">
    <sheetIdMap count="4">
      <sheetId val="1"/>
      <sheetId val="2"/>
      <sheetId val="3"/>
      <sheetId val="4"/>
    </sheetIdMap>
  </header>
  <header guid="{C4FFEEF1-A41D-4349-AB05-309A405F42AC}" dateTime="2026-04-11T12:01:49" maxSheetId="5" userName="Dive Centre Office" r:id="rId7" minRId="49" maxRId="55">
    <sheetIdMap count="4">
      <sheetId val="1"/>
      <sheetId val="2"/>
      <sheetId val="3"/>
      <sheetId val="4"/>
    </sheetIdMap>
  </header>
  <header guid="{345E7B78-9AB3-4BAD-BAE3-691E07DEBED7}" dateTime="2026-04-11T13:54:02" maxSheetId="5" userName="Dhigurah Water Sports" r:id="rId8">
    <sheetIdMap count="4">
      <sheetId val="1"/>
      <sheetId val="2"/>
      <sheetId val="3"/>
      <sheetId val="4"/>
    </sheetIdMap>
  </header>
  <header guid="{80350593-F279-415A-9F5D-351156F31A4B}" dateTime="2026-04-12T09:34:05" maxSheetId="5" userName="Dive Centre Office" r:id="rId9" minRId="57" maxRId="61">
    <sheetIdMap count="4">
      <sheetId val="1"/>
      <sheetId val="2"/>
      <sheetId val="3"/>
      <sheetId val="4"/>
    </sheetIdMap>
  </header>
  <header guid="{7CDFCF16-9CC9-46E3-910E-C8A7A3AE168D}" dateTime="2026-04-14T11:56:39" maxSheetId="5" userName="Dive Centre Office" r:id="rId10" minRId="62" maxRId="64">
    <sheetIdMap count="4">
      <sheetId val="1"/>
      <sheetId val="2"/>
      <sheetId val="3"/>
      <sheetId val="4"/>
    </sheetIdMap>
  </header>
  <header guid="{3831611B-1B57-42EE-A647-275285569B60}" dateTime="2026-04-14T12:00:18" maxSheetId="5" userName="Dive Centre Office" r:id="rId11" minRId="65" maxRId="66">
    <sheetIdMap count="4">
      <sheetId val="1"/>
      <sheetId val="2"/>
      <sheetId val="3"/>
      <sheetId val="4"/>
    </sheetIdMap>
  </header>
  <header guid="{5C0E56E8-1A33-4B54-B9BE-D157C46B1E14}" dateTime="2026-04-16T12:12:08" maxSheetId="5" userName="Assistant DiveCenter Manager" r:id="rId12" minRId="67" maxRId="68">
    <sheetIdMap count="4">
      <sheetId val="1"/>
      <sheetId val="2"/>
      <sheetId val="3"/>
      <sheetId val="4"/>
    </sheetIdMap>
  </header>
  <header guid="{9D640B06-20EF-4172-BC69-B6FC3D8D97BA}" dateTime="2026-04-19T08:40:26" maxSheetId="5" userName="Dive Centre Office" r:id="rId13" minRId="69" maxRId="70">
    <sheetIdMap count="4">
      <sheetId val="1"/>
      <sheetId val="2"/>
      <sheetId val="3"/>
      <sheetId val="4"/>
    </sheetIdMap>
  </header>
  <header guid="{3E091204-6CFA-4D10-8B8F-8CA979E07EAB}" dateTime="2026-04-20T08:38:28" maxSheetId="5" userName="Dive Centre Office" r:id="rId14">
    <sheetIdMap count="4">
      <sheetId val="1"/>
      <sheetId val="2"/>
      <sheetId val="3"/>
      <sheetId val="4"/>
    </sheetIdMap>
  </header>
  <header guid="{B96532A1-CC61-42A0-9AD4-A5C1868D8FFD}" dateTime="2026-04-20T08:38:33" maxSheetId="5" userName="Dive Centre Office" r:id="rId15">
    <sheetIdMap count="4">
      <sheetId val="1"/>
      <sheetId val="2"/>
      <sheetId val="3"/>
      <sheetId val="4"/>
    </sheetIdMap>
  </header>
  <header guid="{77C117CC-FA01-4758-874C-ECE9F48F239D}" dateTime="2026-04-23T13:54:55" maxSheetId="5" userName="Assistant DiveCenter Manager" r:id="rId16">
    <sheetIdMap count="4">
      <sheetId val="1"/>
      <sheetId val="2"/>
      <sheetId val="3"/>
      <sheetId val="4"/>
    </sheetIdMap>
  </header>
  <header guid="{7CBA3033-14AF-43C4-86EA-1CE9F576231B}" dateTime="2026-04-26T09:17:27" maxSheetId="5" userName="Dive Centre Office" r:id="rId17" minRId="71" maxRId="73">
    <sheetIdMap count="4">
      <sheetId val="1"/>
      <sheetId val="2"/>
      <sheetId val="3"/>
      <sheetId val="4"/>
    </sheetIdMap>
  </header>
  <header guid="{99EC908F-E648-406F-B360-5596D4FB30FA}" dateTime="2026-04-26T09:57:46" maxSheetId="5" userName="Dive Centre Office" r:id="rId18" minRId="74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B7" t="inlineStr">
      <is>
        <t>Prebooking</t>
      </is>
    </oc>
    <nc r="B7">
      <v>685</v>
    </nc>
  </rcc>
  <rcc rId="2" sId="1">
    <oc r="E8">
      <v>4</v>
    </oc>
    <nc r="E8" t="inlineStr">
      <is>
        <t>CXL 4</t>
      </is>
    </nc>
  </rcc>
  <rdn rId="0" localSheetId="1" customView="1" name="Z_57921AD6_4E78_4BC5_B6EB_A8D32B8387DE_.wvu.PrintArea" hidden="1" oldHidden="1">
    <formula>'5'!$A$1:$J$29</formula>
  </rdn>
  <rcv guid="{57921AD6-4E78-4BC5-B6EB-A8D32B8387DE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" sId="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5" sId="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6" sId="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7" sId="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8" sId="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9" sId="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0" sId="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1" sId="2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2" sId="2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3" sId="2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4" sId="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5" sId="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6" sId="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7" sId="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8" sId="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9" sId="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0" sId="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1" sId="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22" sId="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3" sId="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4" sId="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5" sId="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6" sId="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7" sId="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8" sId="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9" sId="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30" sId="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31" sId="4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32" sId="4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33" sId="4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34" sId="4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35" sId="4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36" sId="4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37" sId="4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0">
    <dxf>
      <fill>
        <patternFill patternType="solid">
          <bgColor rgb="FF00B0F0"/>
        </patternFill>
      </fill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" sId="1">
    <oc r="E7">
      <v>5</v>
    </oc>
    <nc r="E7">
      <v>4</v>
    </nc>
  </rcc>
  <rfmt sheetId="1" sqref="A7">
    <dxf>
      <fill>
        <patternFill>
          <bgColor rgb="FF00B0F0"/>
        </patternFill>
      </fill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" sId="2">
    <nc r="J7" t="inlineStr">
      <is>
        <t>Maaji</t>
      </is>
    </nc>
  </rcc>
  <rcc rId="40" sId="2">
    <nc r="B7">
      <v>865</v>
    </nc>
  </rcc>
  <rcc rId="41" sId="2">
    <nc r="C7" t="inlineStr">
      <is>
        <t>Aurelien Goillot</t>
      </is>
    </nc>
  </rcc>
  <rcc rId="42" sId="2">
    <nc r="B8">
      <v>863</v>
    </nc>
  </rcc>
  <rcc rId="43" sId="2">
    <nc r="E8">
      <v>2</v>
    </nc>
  </rcc>
  <rcc rId="44" sId="2">
    <nc r="E7">
      <v>2</v>
    </nc>
  </rcc>
  <rcc rId="45" sId="2" numFmtId="19">
    <nc r="D7">
      <v>46132</v>
    </nc>
  </rcc>
  <rcc rId="46" sId="2" odxf="1" dxf="1" numFmtId="19">
    <nc r="D8">
      <v>46133</v>
    </nc>
    <odxf>
      <border outline="0">
        <top style="thin">
          <color indexed="64"/>
        </top>
      </border>
    </odxf>
    <ndxf>
      <border outline="0">
        <top/>
      </border>
    </ndxf>
  </rcc>
  <rfmt sheetId="2" sqref="C8" start="0" length="0">
    <dxf>
      <border outline="0">
        <top/>
      </border>
    </dxf>
  </rfmt>
  <rcc rId="47" sId="2">
    <nc r="C8" t="inlineStr">
      <is>
        <t>Tiziano Goillot</t>
      </is>
    </nc>
  </rcc>
  <rcc rId="48" sId="2" odxf="1" dxf="1">
    <nc r="J8" t="inlineStr">
      <is>
        <t>Maaji</t>
      </is>
    </nc>
    <odxf>
      <border outline="0">
        <top style="thin">
          <color indexed="64"/>
        </top>
      </border>
    </odxf>
    <ndxf>
      <border outline="0">
        <top/>
      </border>
    </ndxf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" sId="2">
    <oc r="B7">
      <v>865</v>
    </oc>
    <nc r="B7" t="inlineStr">
      <is>
        <t>865 &amp; 863</t>
      </is>
    </nc>
  </rcc>
  <rcc rId="50" sId="2">
    <oc r="E7">
      <v>2</v>
    </oc>
    <nc r="E7">
      <v>4</v>
    </nc>
  </rcc>
  <rcc rId="51" sId="2">
    <oc r="B8">
      <v>863</v>
    </oc>
    <nc r="B8"/>
  </rcc>
  <rcc rId="52" sId="2">
    <oc r="C8" t="inlineStr">
      <is>
        <t>Tiziano Goillot</t>
      </is>
    </oc>
    <nc r="C8"/>
  </rcc>
  <rcc rId="53" sId="2" numFmtId="19">
    <oc r="D8">
      <v>46133</v>
    </oc>
    <nc r="D8"/>
  </rcc>
  <rcc rId="54" sId="2">
    <oc r="E8">
      <v>2</v>
    </oc>
    <nc r="E8"/>
  </rcc>
  <rcc rId="55" sId="2">
    <oc r="J8" t="inlineStr">
      <is>
        <t>Maaji</t>
      </is>
    </oc>
    <nc r="J8"/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E5346F5D_AB32_4911_8D1C_D52CEE49A305_.wvu.PrintArea" hidden="1" oldHidden="1">
    <formula>'5'!$A$1:$J$29</formula>
  </rdn>
  <rcv guid="{E5346F5D-AB32-4911-8D1C-D52CEE49A305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3">
    <nc r="B7" t="inlineStr">
      <is>
        <t>865 &amp; 863</t>
      </is>
    </nc>
  </rcc>
  <rcc rId="58" sId="3">
    <nc r="C7" t="inlineStr">
      <is>
        <t>Aurelien Goillot</t>
      </is>
    </nc>
  </rcc>
  <rcc rId="59" sId="3" numFmtId="19">
    <nc r="D7">
      <v>46132</v>
    </nc>
  </rcc>
  <rcc rId="60" sId="3">
    <nc r="E7">
      <v>4</v>
    </nc>
  </rcc>
  <rcc rId="61" sId="3">
    <nc r="J7" t="inlineStr">
      <is>
        <t>Maaji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" sId="3">
    <nc r="B8">
      <v>615</v>
    </nc>
  </rcc>
  <rcc rId="63" sId="3">
    <nc r="E8">
      <v>2</v>
    </nc>
  </rcc>
  <rcc rId="64" sId="3">
    <nc r="J8" t="inlineStr">
      <is>
        <t>Rahil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" sId="3">
    <nc r="C8" t="inlineStr">
      <is>
        <t>Lonnie Hardis</t>
      </is>
    </nc>
  </rcc>
  <rcc rId="66" sId="3" numFmtId="19">
    <nc r="D8">
      <v>46133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" sId="3">
    <nc r="B9">
      <v>816</v>
    </nc>
  </rcc>
  <rcc rId="68" sId="3">
    <nc r="E9">
      <v>2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9" sId="3">
    <nc r="C9" t="inlineStr">
      <is>
        <t>Rowan Healey</t>
      </is>
    </nc>
  </rcc>
  <rcc rId="70" sId="3" numFmtId="19">
    <nc r="D9">
      <v>46138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7 B9">
    <dxf>
      <fill>
        <patternFill>
          <bgColor rgb="FF92D050"/>
        </patternFill>
      </fill>
    </dxf>
  </rfmt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B8">
    <dxf>
      <fill>
        <patternFill>
          <bgColor rgb="FF92D050"/>
        </patternFill>
      </fill>
    </dxf>
  </rfmt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3" sqref="E12" start="0" length="0">
    <dxf>
      <alignment vertical="top" readingOrder="0"/>
    </dxf>
  </rfmt>
  <rfmt sheetId="3" sqref="E13" start="0" length="0">
    <dxf>
      <alignment vertical="top" readingOrder="0"/>
    </dxf>
  </rfmt>
  <rfmt sheetId="3" sqref="E14" start="0" length="0">
    <dxf>
      <alignment horizontal="center" vertical="top" readingOrder="0"/>
    </dxf>
  </rfmt>
  <rfmt sheetId="3" sqref="E15" start="0" length="0">
    <dxf>
      <fill>
        <patternFill patternType="solid">
          <bgColor theme="0"/>
        </patternFill>
      </fill>
      <alignment horizontal="center" vertical="top" readingOrder="0"/>
    </dxf>
  </rfmt>
  <rfmt sheetId="3" sqref="E16" start="0" length="0">
    <dxf>
      <fill>
        <patternFill patternType="solid">
          <bgColor theme="0"/>
        </patternFill>
      </fill>
      <alignment horizontal="center" vertical="top" readingOrder="0"/>
    </dxf>
  </rfmt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1" sId="4">
    <oc r="B7" t="inlineStr">
      <is>
        <t>Prebooking</t>
      </is>
    </oc>
    <nc r="B7">
      <v>609</v>
    </nc>
  </rcc>
  <rcc rId="72" sId="4">
    <oc r="B8" t="inlineStr">
      <is>
        <t>Prebooking</t>
      </is>
    </oc>
    <nc r="B8">
      <v>610</v>
    </nc>
  </rcc>
  <rcc rId="73" sId="4">
    <oc r="B9" t="inlineStr">
      <is>
        <t>Prebooking</t>
      </is>
    </oc>
    <nc r="B9">
      <v>611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4" sId="4" ref="B1:B1048576" action="insertCol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77C117CC-FA01-4758-874C-ECE9F48F239D}" name="Dive Centre Office" id="-387641568" dateTime="2026-04-23T16:24:40"/>
  <userInfo guid="{77C117CC-FA01-4758-874C-ECE9F48F239D}" name="Dive Centre Office" id="-387605700" dateTime="2026-04-25T17:15:44"/>
  <userInfo guid="{99EC908F-E648-406F-B360-5596D4FB30FA}" name="Dive Centre Office" id="-387608904" dateTime="2026-04-26T08:40:27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3"/>
  <sheetViews>
    <sheetView zoomScaleNormal="100" zoomScaleSheetLayoutView="100" zoomScalePageLayoutView="90" workbookViewId="0">
      <selection activeCell="I7" sqref="I7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5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2" x14ac:dyDescent="0.35">
      <c r="C2" s="2" t="s">
        <v>0</v>
      </c>
      <c r="D2" s="34"/>
      <c r="E2" s="3"/>
      <c r="F2" s="3"/>
      <c r="G2" s="3"/>
    </row>
    <row r="3" spans="1:12" x14ac:dyDescent="0.35">
      <c r="G3" s="4"/>
    </row>
    <row r="4" spans="1:12" s="5" customFormat="1" thickBot="1" x14ac:dyDescent="0.4">
      <c r="C4" s="6"/>
      <c r="D4" s="36"/>
    </row>
    <row r="5" spans="1:12" s="7" customFormat="1" ht="23.4" x14ac:dyDescent="0.45">
      <c r="A5" s="47" t="s">
        <v>22</v>
      </c>
      <c r="B5" s="48"/>
      <c r="C5" s="48"/>
      <c r="D5" s="49"/>
      <c r="E5" s="48"/>
      <c r="F5" s="48"/>
      <c r="G5" s="48"/>
      <c r="H5" s="48"/>
      <c r="I5" s="50" t="s">
        <v>1</v>
      </c>
      <c r="J5" s="21" t="str">
        <f ca="1">CONCATENATE((MID(CELL("filename",J5),FIND("]",CELL("filename",J5))+1,255)),"/04/2026")</f>
        <v>5/04/2026</v>
      </c>
    </row>
    <row r="6" spans="1:12" ht="18.600000000000001" thickBot="1" x14ac:dyDescent="0.4">
      <c r="A6" s="51"/>
      <c r="B6" s="52" t="s">
        <v>2</v>
      </c>
      <c r="C6" s="52" t="s">
        <v>3</v>
      </c>
      <c r="D6" s="53" t="s">
        <v>21</v>
      </c>
      <c r="E6" s="52" t="s">
        <v>19</v>
      </c>
      <c r="F6" s="52" t="s">
        <v>17</v>
      </c>
      <c r="G6" s="52" t="s">
        <v>4</v>
      </c>
      <c r="H6" s="54" t="s">
        <v>5</v>
      </c>
      <c r="I6" s="54" t="s">
        <v>20</v>
      </c>
      <c r="J6" s="55" t="s">
        <v>6</v>
      </c>
    </row>
    <row r="7" spans="1:12" x14ac:dyDescent="0.35">
      <c r="A7" s="62">
        <v>1</v>
      </c>
      <c r="B7" s="22">
        <v>685</v>
      </c>
      <c r="C7" s="60" t="s">
        <v>31</v>
      </c>
      <c r="D7" s="46"/>
      <c r="E7" s="22">
        <v>4</v>
      </c>
      <c r="F7" s="22"/>
      <c r="G7" s="22"/>
      <c r="H7" s="22"/>
      <c r="I7" s="22" t="s">
        <v>32</v>
      </c>
      <c r="J7" s="22" t="s">
        <v>33</v>
      </c>
      <c r="K7" s="56" t="s">
        <v>40</v>
      </c>
    </row>
    <row r="8" spans="1:12" x14ac:dyDescent="0.35">
      <c r="A8" s="26">
        <v>2</v>
      </c>
      <c r="B8" s="28" t="s">
        <v>34</v>
      </c>
      <c r="C8" s="33" t="s">
        <v>35</v>
      </c>
      <c r="D8" s="37">
        <v>46118</v>
      </c>
      <c r="E8" s="28" t="s">
        <v>43</v>
      </c>
      <c r="F8" s="28"/>
      <c r="G8" s="28"/>
      <c r="I8" s="28">
        <v>3087184</v>
      </c>
      <c r="J8" s="28" t="s">
        <v>36</v>
      </c>
      <c r="K8" s="56" t="s">
        <v>40</v>
      </c>
    </row>
    <row r="9" spans="1:12" x14ac:dyDescent="0.35">
      <c r="A9" s="26">
        <v>3</v>
      </c>
      <c r="B9" s="22" t="s">
        <v>24</v>
      </c>
      <c r="C9" s="45" t="s">
        <v>37</v>
      </c>
      <c r="D9" s="46">
        <v>46120</v>
      </c>
      <c r="E9" s="22" t="s">
        <v>39</v>
      </c>
      <c r="F9" s="22"/>
      <c r="G9" s="22"/>
      <c r="H9" s="22"/>
      <c r="I9" s="22">
        <v>25761654</v>
      </c>
      <c r="J9" s="22" t="s">
        <v>36</v>
      </c>
      <c r="K9" s="57" t="s">
        <v>38</v>
      </c>
      <c r="L9" s="1" t="s">
        <v>40</v>
      </c>
    </row>
    <row r="10" spans="1:12" x14ac:dyDescent="0.35">
      <c r="A10" s="61">
        <v>4</v>
      </c>
      <c r="B10" s="28">
        <v>217</v>
      </c>
      <c r="C10" s="28" t="s">
        <v>41</v>
      </c>
      <c r="D10" s="37">
        <v>46120</v>
      </c>
      <c r="E10" s="28">
        <v>4</v>
      </c>
      <c r="F10" s="28"/>
      <c r="G10" s="28"/>
      <c r="H10" s="28"/>
      <c r="J10" s="28" t="s">
        <v>42</v>
      </c>
      <c r="K10" s="56" t="str">
        <f>IF(OR(NOT(ISERROR(MATCH(RIGHT(B10,3)+0,#REF!,0))),NOT(ISERROR(MATCH(LEFT(B10,3)+0,#REF!,0)))),"No Post","")</f>
        <v/>
      </c>
    </row>
    <row r="11" spans="1:12" x14ac:dyDescent="0.35">
      <c r="A11" s="17">
        <v>5</v>
      </c>
      <c r="B11" s="28"/>
      <c r="C11" s="33"/>
      <c r="D11" s="37"/>
      <c r="E11" s="28"/>
      <c r="F11" s="28"/>
      <c r="G11" s="28"/>
      <c r="H11" s="28"/>
      <c r="I11" s="28"/>
      <c r="J11" s="28"/>
      <c r="K11" s="56" t="str">
        <f>IF(OR(NOT(ISERROR(MATCH(RIGHT(B11,3)+0,#REF!,0))),NOT(ISERROR(MATCH(LEFT(B11,3)+0,#REF!,0)))),"No Post","")</f>
        <v/>
      </c>
    </row>
    <row r="12" spans="1:12" x14ac:dyDescent="0.35">
      <c r="A12" s="26">
        <v>6</v>
      </c>
      <c r="B12" s="27"/>
      <c r="C12" s="29"/>
      <c r="D12" s="24"/>
      <c r="E12" s="27"/>
      <c r="F12" s="31"/>
      <c r="G12" s="23"/>
      <c r="H12" s="28"/>
      <c r="I12" s="29"/>
      <c r="J12" s="29"/>
      <c r="K12" s="56" t="str">
        <f>IF(OR(NOT(ISERROR(MATCH(RIGHT(B12,3)+0,#REF!,0))),NOT(ISERROR(MATCH(LEFT(B12,3)+0,#REF!,0)))),"No Post","")</f>
        <v/>
      </c>
    </row>
    <row r="13" spans="1:12" x14ac:dyDescent="0.35">
      <c r="A13" s="26">
        <v>7</v>
      </c>
      <c r="B13" s="27"/>
      <c r="C13" s="29"/>
      <c r="D13" s="24"/>
      <c r="E13" s="27"/>
      <c r="F13" s="25"/>
      <c r="G13" s="23"/>
      <c r="H13" s="26"/>
      <c r="I13" s="29"/>
      <c r="J13" s="29"/>
      <c r="K13" s="56" t="str">
        <f>IF(OR(NOT(ISERROR(MATCH(RIGHT(B13,3)+0,#REF!,0))),NOT(ISERROR(MATCH(LEFT(B13,3)+0,#REF!,0)))),"No Post","")</f>
        <v/>
      </c>
    </row>
    <row r="14" spans="1:12" s="8" customFormat="1" ht="19.8" x14ac:dyDescent="0.4">
      <c r="A14" s="26">
        <v>8</v>
      </c>
      <c r="B14" s="27"/>
      <c r="C14" s="29"/>
      <c r="D14" s="24"/>
      <c r="E14" s="23"/>
      <c r="F14" s="23"/>
      <c r="G14" s="23"/>
      <c r="H14" s="26"/>
      <c r="I14" s="32"/>
      <c r="J14" s="32"/>
      <c r="K14" s="56" t="str">
        <f>IF(OR(NOT(ISERROR(MATCH(RIGHT(B14,3)+0,#REF!,0))),NOT(ISERROR(MATCH(LEFT(B14,3)+0,#REF!,0)))),"No Post","")</f>
        <v/>
      </c>
    </row>
    <row r="15" spans="1:12" x14ac:dyDescent="0.35">
      <c r="A15" s="17">
        <v>9</v>
      </c>
      <c r="B15" s="19"/>
      <c r="C15" s="30"/>
      <c r="D15" s="20"/>
      <c r="E15" s="18"/>
      <c r="F15" s="18"/>
      <c r="G15" s="18"/>
      <c r="H15" s="17"/>
      <c r="I15" s="30"/>
      <c r="J15" s="30"/>
      <c r="K15" s="56" t="str">
        <f>IF(OR(NOT(ISERROR(MATCH(RIGHT(B15,3)+0,#REF!,0))),NOT(ISERROR(MATCH(LEFT(B15,3)+0,#REF!,0)))),"No Post","")</f>
        <v/>
      </c>
    </row>
    <row r="16" spans="1:12" s="9" customFormat="1" x14ac:dyDescent="0.35">
      <c r="A16" s="17">
        <v>10</v>
      </c>
      <c r="B16" s="19"/>
      <c r="C16" s="30"/>
      <c r="D16" s="20"/>
      <c r="E16" s="18"/>
      <c r="F16" s="18"/>
      <c r="G16" s="18"/>
      <c r="H16" s="17"/>
      <c r="I16" s="30"/>
      <c r="J16" s="30"/>
      <c r="K16" s="56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38" t="s">
        <v>18</v>
      </c>
      <c r="E17" s="16">
        <f>SUM(E7:E16)</f>
        <v>8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5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39"/>
      <c r="E19"/>
      <c r="F19"/>
      <c r="G19"/>
      <c r="H19"/>
    </row>
    <row r="20" spans="1:8" ht="20.25" customHeight="1" x14ac:dyDescent="0.35">
      <c r="B20" s="10" t="s">
        <v>8</v>
      </c>
      <c r="C20" s="10"/>
      <c r="D20" s="40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0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0"/>
      <c r="E22" s="10"/>
      <c r="F22" s="10"/>
      <c r="G22" s="10"/>
      <c r="H22" s="10"/>
    </row>
    <row r="23" spans="1:8" x14ac:dyDescent="0.35">
      <c r="B23" s="10" t="s">
        <v>11</v>
      </c>
      <c r="C23" s="10"/>
      <c r="D23" s="40"/>
      <c r="E23" s="10"/>
      <c r="F23" s="10"/>
      <c r="G23" s="10"/>
      <c r="H23" s="10"/>
    </row>
    <row r="24" spans="1:8" x14ac:dyDescent="0.35">
      <c r="B24" s="10" t="s">
        <v>12</v>
      </c>
      <c r="C24" s="10"/>
      <c r="D24" s="40"/>
      <c r="E24" s="10"/>
      <c r="F24" s="10"/>
      <c r="G24" s="10"/>
      <c r="H24" s="10"/>
    </row>
    <row r="25" spans="1:8" x14ac:dyDescent="0.35">
      <c r="B25" s="10" t="s">
        <v>13</v>
      </c>
      <c r="C25" s="10"/>
      <c r="D25" s="40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1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1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2"/>
    </row>
    <row r="29" spans="1:8" customFormat="1" ht="14.4" x14ac:dyDescent="0.3">
      <c r="B29" s="15"/>
      <c r="C29" s="10"/>
      <c r="D29" s="40"/>
      <c r="E29" s="10"/>
      <c r="F29" s="10"/>
      <c r="G29" s="10"/>
      <c r="H29" s="10"/>
    </row>
    <row r="30" spans="1:8" x14ac:dyDescent="0.35">
      <c r="B30" s="10"/>
      <c r="C30" s="10"/>
      <c r="D30" s="40"/>
      <c r="E30" s="10"/>
      <c r="F30" s="10"/>
      <c r="G30" s="10"/>
      <c r="H30" s="10"/>
    </row>
    <row r="31" spans="1:8" x14ac:dyDescent="0.35">
      <c r="B31" s="15"/>
      <c r="C31" s="10"/>
      <c r="D31" s="40"/>
      <c r="E31" s="10"/>
      <c r="F31" s="10"/>
      <c r="G31" s="10"/>
      <c r="H31" s="10"/>
    </row>
    <row r="32" spans="1:8" x14ac:dyDescent="0.35">
      <c r="B32" s="10"/>
      <c r="C32" s="10"/>
      <c r="D32" s="40"/>
      <c r="E32" s="10"/>
      <c r="F32" s="10"/>
      <c r="G32" s="10"/>
      <c r="H32" s="10"/>
    </row>
    <row r="34" spans="2:8" x14ac:dyDescent="0.35">
      <c r="B34" s="9"/>
      <c r="C34" s="9"/>
      <c r="D34" s="43"/>
      <c r="E34" s="9"/>
      <c r="F34" s="9"/>
      <c r="G34" s="9"/>
      <c r="H34" s="9"/>
    </row>
    <row r="49" spans="2:8" x14ac:dyDescent="0.35">
      <c r="B49" s="10"/>
      <c r="C49" s="10"/>
      <c r="D49" s="40"/>
      <c r="E49" s="10"/>
      <c r="F49" s="10"/>
      <c r="G49" s="10"/>
      <c r="H49" s="10"/>
    </row>
    <row r="50" spans="2:8" x14ac:dyDescent="0.35">
      <c r="B50" s="10"/>
      <c r="C50" s="10"/>
      <c r="D50" s="40"/>
      <c r="E50" s="10"/>
      <c r="F50" s="10"/>
      <c r="G50" s="10"/>
      <c r="H50" s="10"/>
    </row>
    <row r="51" spans="2:8" x14ac:dyDescent="0.35">
      <c r="B51" s="10"/>
      <c r="C51" s="10"/>
      <c r="D51" s="40"/>
      <c r="E51" s="10"/>
      <c r="F51" s="10"/>
      <c r="G51" s="10"/>
      <c r="H51" s="10"/>
    </row>
    <row r="52" spans="2:8" x14ac:dyDescent="0.35">
      <c r="B52" s="15"/>
      <c r="C52" s="10"/>
      <c r="D52" s="40"/>
      <c r="E52" s="10"/>
      <c r="F52" s="10"/>
      <c r="G52" s="10"/>
      <c r="H52" s="10"/>
    </row>
    <row r="53" spans="2:8" x14ac:dyDescent="0.35">
      <c r="B53" s="10"/>
      <c r="C53" s="10"/>
      <c r="D53" s="40"/>
      <c r="E53" s="10"/>
      <c r="F53" s="10"/>
      <c r="G53" s="10"/>
      <c r="H53" s="10"/>
    </row>
  </sheetData>
  <customSheetViews>
    <customSheetView guid="{8766BD4A-A2D9-47A2-BAFB-80FCE2CBA564}" fitToPage="1">
      <selection activeCell="I7" sqref="I7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57921AD6-4E78-4BC5-B6EB-A8D32B8387DE}" fitToPage="1" printArea="1">
      <selection activeCell="E12" sqref="E12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E5346F5D-AB32-4911-8D1C-D52CEE49A305}" fitToPage="1">
      <selection activeCell="E12" sqref="E12"/>
      <pageMargins left="0.7" right="0.7" top="0.75" bottom="0.75" header="0.3" footer="0.3"/>
      <printOptions horizontalCentered="1"/>
      <pageSetup paperSize="9" scale="84" fitToHeight="0" orientation="landscape" r:id="rId3"/>
    </customSheetView>
  </customSheetViews>
  <conditionalFormatting sqref="K7:K8 K10:K16">
    <cfRule type="containsText" dxfId="3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5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4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36"/>
    </row>
    <row r="5" spans="1:11" s="7" customFormat="1" ht="23.4" x14ac:dyDescent="0.45">
      <c r="A5" s="47" t="s">
        <v>22</v>
      </c>
      <c r="B5" s="48"/>
      <c r="C5" s="48"/>
      <c r="D5" s="49"/>
      <c r="E5" s="48"/>
      <c r="F5" s="48"/>
      <c r="G5" s="48"/>
      <c r="H5" s="48"/>
      <c r="I5" s="50" t="s">
        <v>1</v>
      </c>
      <c r="J5" s="21" t="str">
        <f ca="1">CONCATENATE((MID(CELL("filename",J5),FIND("]",CELL("filename",J5))+1,255)),"/04/2026")</f>
        <v>12/04/2026</v>
      </c>
    </row>
    <row r="6" spans="1:11" ht="18.600000000000001" thickBot="1" x14ac:dyDescent="0.4">
      <c r="A6" s="51"/>
      <c r="B6" s="52" t="s">
        <v>2</v>
      </c>
      <c r="C6" s="52" t="s">
        <v>3</v>
      </c>
      <c r="D6" s="53" t="s">
        <v>21</v>
      </c>
      <c r="E6" s="52" t="s">
        <v>19</v>
      </c>
      <c r="F6" s="52" t="s">
        <v>17</v>
      </c>
      <c r="G6" s="52" t="s">
        <v>4</v>
      </c>
      <c r="H6" s="54" t="s">
        <v>5</v>
      </c>
      <c r="I6" s="54" t="s">
        <v>20</v>
      </c>
      <c r="J6" s="55" t="s">
        <v>6</v>
      </c>
    </row>
    <row r="7" spans="1:11" x14ac:dyDescent="0.35">
      <c r="A7" s="44">
        <v>1</v>
      </c>
      <c r="B7" s="22" t="s">
        <v>46</v>
      </c>
      <c r="C7" s="45" t="s">
        <v>45</v>
      </c>
      <c r="D7" s="46">
        <v>46132</v>
      </c>
      <c r="E7" s="22">
        <v>4</v>
      </c>
      <c r="F7" s="22"/>
      <c r="G7" s="22"/>
      <c r="H7" s="22"/>
      <c r="I7" s="22"/>
      <c r="J7" s="22" t="s">
        <v>44</v>
      </c>
      <c r="K7" s="56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45"/>
      <c r="D8" s="46"/>
      <c r="E8" s="28"/>
      <c r="F8" s="28"/>
      <c r="G8" s="28"/>
      <c r="H8" s="28"/>
      <c r="I8" s="28"/>
      <c r="J8" s="22"/>
      <c r="K8" s="56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33"/>
      <c r="D9" s="37"/>
      <c r="E9" s="28"/>
      <c r="F9" s="28"/>
      <c r="G9" s="28"/>
      <c r="H9" s="28"/>
      <c r="I9" s="28"/>
      <c r="J9" s="28"/>
      <c r="K9" s="56" t="str">
        <f>IF(OR(NOT(ISERROR(MATCH(RIGHT(B9,3)+0,#REF!,0))),NOT(ISERROR(MATCH(LEFT(B9,3)+0,#REF!,0)))),"No Post","")</f>
        <v/>
      </c>
    </row>
    <row r="10" spans="1:11" x14ac:dyDescent="0.35">
      <c r="A10" s="17">
        <v>4</v>
      </c>
      <c r="B10" s="28"/>
      <c r="C10" s="33"/>
      <c r="D10" s="37"/>
      <c r="E10" s="28"/>
      <c r="F10" s="28"/>
      <c r="G10" s="28"/>
      <c r="H10" s="28"/>
      <c r="I10" s="28"/>
      <c r="J10" s="28"/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28"/>
      <c r="C11" s="33"/>
      <c r="D11" s="37"/>
      <c r="E11" s="28"/>
      <c r="F11" s="28"/>
      <c r="G11" s="28"/>
      <c r="H11" s="28"/>
      <c r="I11" s="28"/>
      <c r="J11" s="28"/>
      <c r="K11" s="56" t="str">
        <f>IF(OR(NOT(ISERROR(MATCH(RIGHT(B11,3)+0,#REF!,0))),NOT(ISERROR(MATCH(LEFT(B11,3)+0,#REF!,0)))),"No Post","")</f>
        <v/>
      </c>
    </row>
    <row r="12" spans="1:11" x14ac:dyDescent="0.35">
      <c r="A12" s="26">
        <v>6</v>
      </c>
      <c r="B12" s="27"/>
      <c r="C12" s="29"/>
      <c r="D12" s="24"/>
      <c r="E12" s="27"/>
      <c r="F12" s="31"/>
      <c r="G12" s="23"/>
      <c r="H12" s="28"/>
      <c r="I12" s="29"/>
      <c r="J12" s="29"/>
      <c r="K12" s="56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7"/>
      <c r="C13" s="29"/>
      <c r="D13" s="24"/>
      <c r="E13" s="27"/>
      <c r="F13" s="25"/>
      <c r="G13" s="23"/>
      <c r="H13" s="26"/>
      <c r="I13" s="29"/>
      <c r="J13" s="29"/>
      <c r="K13" s="56" t="str">
        <f>IF(OR(NOT(ISERROR(MATCH(RIGHT(B13,3)+0,#REF!,0))),NOT(ISERROR(MATCH(LEFT(B13,3)+0,#REF!,0)))),"No Post","")</f>
        <v/>
      </c>
    </row>
    <row r="14" spans="1:11" s="8" customFormat="1" ht="19.8" x14ac:dyDescent="0.4">
      <c r="A14" s="26">
        <v>8</v>
      </c>
      <c r="B14" s="27"/>
      <c r="C14" s="29"/>
      <c r="D14" s="24"/>
      <c r="E14" s="23"/>
      <c r="F14" s="23"/>
      <c r="G14" s="23"/>
      <c r="H14" s="26"/>
      <c r="I14" s="32"/>
      <c r="J14" s="32"/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19"/>
      <c r="C15" s="30"/>
      <c r="D15" s="20"/>
      <c r="E15" s="18"/>
      <c r="F15" s="18"/>
      <c r="G15" s="18"/>
      <c r="H15" s="17"/>
      <c r="I15" s="30"/>
      <c r="J15" s="30"/>
      <c r="K15" s="56" t="str">
        <f>IF(OR(NOT(ISERROR(MATCH(RIGHT(B15,3)+0,#REF!,0))),NOT(ISERROR(MATCH(LEFT(B15,3)+0,#REF!,0)))),"No Post","")</f>
        <v/>
      </c>
    </row>
    <row r="16" spans="1:11" s="9" customFormat="1" x14ac:dyDescent="0.35">
      <c r="A16" s="17">
        <v>10</v>
      </c>
      <c r="B16" s="19"/>
      <c r="C16" s="30"/>
      <c r="D16" s="20"/>
      <c r="E16" s="18"/>
      <c r="F16" s="18"/>
      <c r="G16" s="18"/>
      <c r="H16" s="17"/>
      <c r="I16" s="30"/>
      <c r="J16" s="30"/>
      <c r="K16" s="56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38" t="s">
        <v>18</v>
      </c>
      <c r="E17" s="16">
        <f>SUM(E7:E16)</f>
        <v>4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5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39"/>
      <c r="E19"/>
      <c r="F19"/>
      <c r="G19"/>
      <c r="H19"/>
    </row>
    <row r="20" spans="1:8" ht="20.25" customHeight="1" x14ac:dyDescent="0.35">
      <c r="B20" s="10" t="s">
        <v>8</v>
      </c>
      <c r="C20" s="10"/>
      <c r="D20" s="40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0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0"/>
      <c r="E22" s="10"/>
      <c r="F22" s="10"/>
      <c r="G22" s="10"/>
      <c r="H22" s="10"/>
    </row>
    <row r="23" spans="1:8" x14ac:dyDescent="0.35">
      <c r="B23" s="10" t="s">
        <v>11</v>
      </c>
      <c r="C23" s="10"/>
      <c r="D23" s="40"/>
      <c r="E23" s="10"/>
      <c r="F23" s="10"/>
      <c r="G23" s="10"/>
      <c r="H23" s="10"/>
    </row>
    <row r="24" spans="1:8" x14ac:dyDescent="0.35">
      <c r="B24" s="10" t="s">
        <v>12</v>
      </c>
      <c r="C24" s="10"/>
      <c r="D24" s="40"/>
      <c r="E24" s="10"/>
      <c r="F24" s="10"/>
      <c r="G24" s="10"/>
      <c r="H24" s="10"/>
    </row>
    <row r="25" spans="1:8" x14ac:dyDescent="0.35">
      <c r="B25" s="10" t="s">
        <v>13</v>
      </c>
      <c r="C25" s="10"/>
      <c r="D25" s="40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1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1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2"/>
    </row>
    <row r="29" spans="1:8" customFormat="1" ht="14.4" x14ac:dyDescent="0.3">
      <c r="B29" s="15"/>
      <c r="C29" s="10"/>
      <c r="D29" s="40"/>
      <c r="E29" s="10"/>
      <c r="F29" s="10"/>
      <c r="G29" s="10"/>
      <c r="H29" s="10"/>
    </row>
    <row r="30" spans="1:8" x14ac:dyDescent="0.35">
      <c r="B30" s="10"/>
      <c r="C30" s="10"/>
      <c r="D30" s="40"/>
      <c r="E30" s="10"/>
      <c r="F30" s="10"/>
      <c r="G30" s="10"/>
      <c r="H30" s="10"/>
    </row>
    <row r="31" spans="1:8" x14ac:dyDescent="0.35">
      <c r="B31" s="15"/>
      <c r="C31" s="10"/>
      <c r="D31" s="40"/>
      <c r="E31" s="10"/>
      <c r="F31" s="10"/>
      <c r="G31" s="10"/>
      <c r="H31" s="10"/>
    </row>
    <row r="32" spans="1:8" x14ac:dyDescent="0.35">
      <c r="B32" s="10"/>
      <c r="C32" s="10"/>
      <c r="D32" s="40"/>
      <c r="E32" s="10"/>
      <c r="F32" s="10"/>
      <c r="G32" s="10"/>
      <c r="H32" s="10"/>
    </row>
    <row r="34" spans="2:8" x14ac:dyDescent="0.35">
      <c r="B34" s="9"/>
      <c r="C34" s="9"/>
      <c r="D34" s="43"/>
      <c r="E34" s="9"/>
      <c r="F34" s="9"/>
      <c r="G34" s="9"/>
      <c r="H34" s="9"/>
    </row>
    <row r="49" spans="2:8" x14ac:dyDescent="0.35">
      <c r="B49" s="10"/>
      <c r="C49" s="10"/>
      <c r="D49" s="40"/>
      <c r="E49" s="10"/>
      <c r="F49" s="10"/>
      <c r="G49" s="10"/>
      <c r="H49" s="10"/>
    </row>
    <row r="50" spans="2:8" x14ac:dyDescent="0.35">
      <c r="B50" s="10"/>
      <c r="C50" s="10"/>
      <c r="D50" s="40"/>
      <c r="E50" s="10"/>
      <c r="F50" s="10"/>
      <c r="G50" s="10"/>
      <c r="H50" s="10"/>
    </row>
    <row r="51" spans="2:8" x14ac:dyDescent="0.35">
      <c r="B51" s="10"/>
      <c r="C51" s="10"/>
      <c r="D51" s="40"/>
      <c r="E51" s="10"/>
      <c r="F51" s="10"/>
      <c r="G51" s="10"/>
      <c r="H51" s="10"/>
    </row>
    <row r="52" spans="2:8" x14ac:dyDescent="0.35">
      <c r="B52" s="15"/>
      <c r="C52" s="10"/>
      <c r="D52" s="40"/>
      <c r="E52" s="10"/>
      <c r="F52" s="10"/>
      <c r="G52" s="10"/>
      <c r="H52" s="10"/>
    </row>
    <row r="53" spans="2:8" x14ac:dyDescent="0.35">
      <c r="B53" s="10"/>
      <c r="C53" s="10"/>
      <c r="D53" s="40"/>
      <c r="E53" s="10"/>
      <c r="F53" s="10"/>
      <c r="G53" s="10"/>
      <c r="H53" s="10"/>
    </row>
  </sheetData>
  <customSheetViews>
    <customSheetView guid="{8766BD4A-A2D9-47A2-BAFB-80FCE2CBA564}">
      <selection activeCell="C14" sqref="C14"/>
      <pageMargins left="0.7" right="0.7" top="0.75" bottom="0.75" header="0.3" footer="0.3"/>
    </customSheetView>
    <customSheetView guid="{57921AD6-4E78-4BC5-B6EB-A8D32B8387DE}">
      <selection activeCell="C14" sqref="C14"/>
      <pageMargins left="0.7" right="0.7" top="0.75" bottom="0.75" header="0.3" footer="0.3"/>
    </customSheetView>
    <customSheetView guid="{E5346F5D-AB32-4911-8D1C-D52CEE49A305}">
      <selection activeCell="L11" sqref="L11"/>
      <pageMargins left="0.7" right="0.7" top="0.75" bottom="0.75" header="0.3" footer="0.3"/>
    </customSheetView>
  </customSheetViews>
  <conditionalFormatting sqref="K7:K16">
    <cfRule type="containsText" dxfId="2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topLeftCell="A2" workbookViewId="0">
      <selection activeCell="G14" sqref="G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5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4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36"/>
    </row>
    <row r="5" spans="1:11" s="7" customFormat="1" ht="23.4" x14ac:dyDescent="0.45">
      <c r="A5" s="47" t="s">
        <v>22</v>
      </c>
      <c r="B5" s="48"/>
      <c r="C5" s="48"/>
      <c r="D5" s="49"/>
      <c r="E5" s="48"/>
      <c r="F5" s="48"/>
      <c r="G5" s="48"/>
      <c r="H5" s="48"/>
      <c r="I5" s="50" t="s">
        <v>1</v>
      </c>
      <c r="J5" s="21" t="str">
        <f ca="1">CONCATENATE((MID(CELL("filename",J5),FIND("]",CELL("filename",J5))+1,255)),"/04/2026")</f>
        <v>19/04/2026</v>
      </c>
    </row>
    <row r="6" spans="1:11" ht="18.600000000000001" thickBot="1" x14ac:dyDescent="0.4">
      <c r="A6" s="51"/>
      <c r="B6" s="52" t="s">
        <v>2</v>
      </c>
      <c r="C6" s="52" t="s">
        <v>3</v>
      </c>
      <c r="D6" s="53" t="s">
        <v>21</v>
      </c>
      <c r="E6" s="52" t="s">
        <v>19</v>
      </c>
      <c r="F6" s="52" t="s">
        <v>17</v>
      </c>
      <c r="G6" s="52" t="s">
        <v>4</v>
      </c>
      <c r="H6" s="54" t="s">
        <v>5</v>
      </c>
      <c r="I6" s="54" t="s">
        <v>20</v>
      </c>
      <c r="J6" s="55" t="s">
        <v>6</v>
      </c>
    </row>
    <row r="7" spans="1:11" x14ac:dyDescent="0.35">
      <c r="A7" s="44">
        <v>1</v>
      </c>
      <c r="B7" s="63" t="s">
        <v>46</v>
      </c>
      <c r="C7" s="45" t="s">
        <v>45</v>
      </c>
      <c r="D7" s="46">
        <v>46132</v>
      </c>
      <c r="E7" s="22">
        <v>4</v>
      </c>
      <c r="F7" s="22"/>
      <c r="G7" s="22"/>
      <c r="H7" s="22"/>
      <c r="I7" s="22"/>
      <c r="J7" s="22" t="s">
        <v>44</v>
      </c>
      <c r="K7" s="56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64">
        <v>615</v>
      </c>
      <c r="C8" s="33" t="s">
        <v>48</v>
      </c>
      <c r="D8" s="37">
        <v>46133</v>
      </c>
      <c r="E8" s="28">
        <v>2</v>
      </c>
      <c r="F8" s="28"/>
      <c r="G8" s="28"/>
      <c r="H8" s="28"/>
      <c r="I8" s="28"/>
      <c r="J8" s="28" t="s">
        <v>47</v>
      </c>
      <c r="K8" s="56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64">
        <v>816</v>
      </c>
      <c r="C9" s="33" t="s">
        <v>49</v>
      </c>
      <c r="D9" s="37">
        <v>46138</v>
      </c>
      <c r="E9" s="28">
        <v>2</v>
      </c>
      <c r="F9" s="28"/>
      <c r="G9" s="28"/>
      <c r="H9" s="28"/>
      <c r="I9" s="28"/>
      <c r="J9" s="28"/>
      <c r="K9" s="56" t="str">
        <f>IF(OR(NOT(ISERROR(MATCH(RIGHT(B9,3)+0,#REF!,0))),NOT(ISERROR(MATCH(LEFT(B9,3)+0,#REF!,0)))),"No Post","")</f>
        <v/>
      </c>
    </row>
    <row r="10" spans="1:11" x14ac:dyDescent="0.35">
      <c r="A10" s="17">
        <v>4</v>
      </c>
      <c r="B10" s="28"/>
      <c r="C10" s="33"/>
      <c r="D10" s="37"/>
      <c r="E10" s="28"/>
      <c r="F10" s="28"/>
      <c r="G10" s="28"/>
      <c r="H10" s="28"/>
      <c r="I10" s="28"/>
      <c r="J10" s="28"/>
      <c r="K10" s="56" t="str">
        <f>IF(OR(NOT(ISERROR(MATCH(RIGHT(B10,3)+0,#REF!,0))),NOT(ISERROR(MATCH(LEFT(B10,3)+0,#REF!,0)))),"No Post","")</f>
        <v/>
      </c>
    </row>
    <row r="11" spans="1:11" x14ac:dyDescent="0.35">
      <c r="A11" s="17">
        <v>5</v>
      </c>
      <c r="B11" s="28"/>
      <c r="C11" s="33"/>
      <c r="D11" s="37"/>
      <c r="E11" s="28"/>
      <c r="F11" s="28"/>
      <c r="G11" s="28"/>
      <c r="H11" s="28"/>
      <c r="I11" s="28"/>
      <c r="J11" s="28"/>
      <c r="K11" s="56" t="str">
        <f>IF(OR(NOT(ISERROR(MATCH(RIGHT(B11,3)+0,#REF!,0))),NOT(ISERROR(MATCH(LEFT(B11,3)+0,#REF!,0)))),"No Post","")</f>
        <v/>
      </c>
    </row>
    <row r="12" spans="1:11" x14ac:dyDescent="0.35">
      <c r="A12" s="26">
        <v>6</v>
      </c>
      <c r="B12" s="27"/>
      <c r="C12" s="29"/>
      <c r="D12" s="24"/>
      <c r="E12" s="28"/>
      <c r="F12" s="31"/>
      <c r="G12" s="23"/>
      <c r="H12" s="28"/>
      <c r="I12" s="29"/>
      <c r="J12" s="29"/>
      <c r="K12" s="56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7"/>
      <c r="C13" s="29"/>
      <c r="D13" s="24"/>
      <c r="E13" s="28"/>
      <c r="F13" s="25"/>
      <c r="G13" s="23"/>
      <c r="H13" s="26"/>
      <c r="I13" s="29"/>
      <c r="J13" s="29"/>
      <c r="K13" s="56" t="str">
        <f>IF(OR(NOT(ISERROR(MATCH(RIGHT(B13,3)+0,#REF!,0))),NOT(ISERROR(MATCH(LEFT(B13,3)+0,#REF!,0)))),"No Post","")</f>
        <v/>
      </c>
    </row>
    <row r="14" spans="1:11" s="8" customFormat="1" ht="19.8" x14ac:dyDescent="0.4">
      <c r="A14" s="26">
        <v>8</v>
      </c>
      <c r="B14" s="27"/>
      <c r="C14" s="29"/>
      <c r="D14" s="24"/>
      <c r="E14" s="28"/>
      <c r="F14" s="23"/>
      <c r="G14" s="23"/>
      <c r="H14" s="26"/>
      <c r="I14" s="32"/>
      <c r="J14" s="32"/>
      <c r="K14" s="56" t="str">
        <f>IF(OR(NOT(ISERROR(MATCH(RIGHT(B14,3)+0,#REF!,0))),NOT(ISERROR(MATCH(LEFT(B14,3)+0,#REF!,0)))),"No Post","")</f>
        <v/>
      </c>
    </row>
    <row r="15" spans="1:11" x14ac:dyDescent="0.35">
      <c r="A15" s="17">
        <v>9</v>
      </c>
      <c r="B15" s="19"/>
      <c r="C15" s="30"/>
      <c r="D15" s="20"/>
      <c r="E15" s="28"/>
      <c r="F15" s="18"/>
      <c r="G15" s="18"/>
      <c r="H15" s="17"/>
      <c r="I15" s="30"/>
      <c r="J15" s="30"/>
      <c r="K15" s="56" t="str">
        <f>IF(OR(NOT(ISERROR(MATCH(RIGHT(B15,3)+0,#REF!,0))),NOT(ISERROR(MATCH(LEFT(B15,3)+0,#REF!,0)))),"No Post","")</f>
        <v/>
      </c>
    </row>
    <row r="16" spans="1:11" s="9" customFormat="1" x14ac:dyDescent="0.35">
      <c r="A16" s="17">
        <v>10</v>
      </c>
      <c r="B16" s="19"/>
      <c r="C16" s="30"/>
      <c r="D16" s="20"/>
      <c r="E16" s="28"/>
      <c r="F16" s="18"/>
      <c r="G16" s="18"/>
      <c r="H16" s="17"/>
      <c r="I16" s="30"/>
      <c r="J16" s="30"/>
      <c r="K16" s="56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38" t="s">
        <v>18</v>
      </c>
      <c r="E17" s="16">
        <f>SUM(E7:E16)</f>
        <v>8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5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39"/>
      <c r="E19"/>
      <c r="F19"/>
      <c r="G19"/>
      <c r="H19"/>
    </row>
    <row r="20" spans="1:8" ht="20.25" customHeight="1" x14ac:dyDescent="0.35">
      <c r="B20" s="10" t="s">
        <v>8</v>
      </c>
      <c r="C20" s="10"/>
      <c r="D20" s="40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0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0"/>
      <c r="E22" s="10"/>
      <c r="F22" s="10"/>
      <c r="G22" s="10"/>
      <c r="H22" s="10"/>
    </row>
    <row r="23" spans="1:8" x14ac:dyDescent="0.35">
      <c r="B23" s="10" t="s">
        <v>11</v>
      </c>
      <c r="C23" s="10">
        <v>19</v>
      </c>
      <c r="D23" s="40"/>
      <c r="E23" s="10"/>
      <c r="F23" s="10"/>
      <c r="G23" s="10"/>
      <c r="H23" s="10"/>
    </row>
    <row r="24" spans="1:8" x14ac:dyDescent="0.35">
      <c r="B24" s="10" t="s">
        <v>12</v>
      </c>
      <c r="C24" s="10"/>
      <c r="D24" s="40"/>
      <c r="E24" s="10"/>
      <c r="F24" s="10"/>
      <c r="G24" s="10"/>
      <c r="H24" s="10"/>
    </row>
    <row r="25" spans="1:8" x14ac:dyDescent="0.35">
      <c r="B25" s="10" t="s">
        <v>13</v>
      </c>
      <c r="C25" s="10"/>
      <c r="D25" s="40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1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1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2"/>
    </row>
    <row r="29" spans="1:8" customFormat="1" ht="14.4" x14ac:dyDescent="0.3">
      <c r="B29" s="15"/>
      <c r="C29" s="10"/>
      <c r="D29" s="40"/>
      <c r="E29" s="10"/>
      <c r="F29" s="10"/>
      <c r="G29" s="10"/>
      <c r="H29" s="10"/>
    </row>
    <row r="30" spans="1:8" x14ac:dyDescent="0.35">
      <c r="B30" s="10"/>
      <c r="C30" s="10"/>
      <c r="D30" s="40"/>
      <c r="E30" s="10"/>
      <c r="F30" s="10"/>
      <c r="G30" s="10"/>
      <c r="H30" s="10"/>
    </row>
    <row r="31" spans="1:8" x14ac:dyDescent="0.35">
      <c r="B31" s="15"/>
      <c r="C31" s="10"/>
      <c r="D31" s="40"/>
      <c r="E31" s="10"/>
      <c r="F31" s="10"/>
      <c r="G31" s="10"/>
      <c r="H31" s="10"/>
    </row>
    <row r="32" spans="1:8" x14ac:dyDescent="0.35">
      <c r="B32" s="10"/>
      <c r="C32" s="10"/>
      <c r="D32" s="40"/>
      <c r="E32" s="10"/>
      <c r="F32" s="10"/>
      <c r="G32" s="10"/>
      <c r="H32" s="10"/>
    </row>
    <row r="34" spans="2:8" x14ac:dyDescent="0.35">
      <c r="B34" s="9"/>
      <c r="C34" s="9"/>
      <c r="D34" s="43"/>
      <c r="E34" s="9"/>
      <c r="F34" s="9"/>
      <c r="G34" s="9"/>
      <c r="H34" s="9"/>
    </row>
    <row r="49" spans="2:8" x14ac:dyDescent="0.35">
      <c r="B49" s="10"/>
      <c r="C49" s="10"/>
      <c r="D49" s="40"/>
      <c r="E49" s="10"/>
      <c r="F49" s="10"/>
      <c r="G49" s="10"/>
      <c r="H49" s="10"/>
    </row>
    <row r="50" spans="2:8" x14ac:dyDescent="0.35">
      <c r="B50" s="10"/>
      <c r="C50" s="10"/>
      <c r="D50" s="40"/>
      <c r="E50" s="10"/>
      <c r="F50" s="10"/>
      <c r="G50" s="10"/>
      <c r="H50" s="10"/>
    </row>
    <row r="51" spans="2:8" x14ac:dyDescent="0.35">
      <c r="B51" s="10"/>
      <c r="C51" s="10"/>
      <c r="D51" s="40"/>
      <c r="E51" s="10"/>
      <c r="F51" s="10"/>
      <c r="G51" s="10"/>
      <c r="H51" s="10"/>
    </row>
    <row r="52" spans="2:8" x14ac:dyDescent="0.35">
      <c r="B52" s="15"/>
      <c r="C52" s="10"/>
      <c r="D52" s="40"/>
      <c r="E52" s="10"/>
      <c r="F52" s="10"/>
      <c r="G52" s="10"/>
      <c r="H52" s="10"/>
    </row>
    <row r="53" spans="2:8" x14ac:dyDescent="0.35">
      <c r="B53" s="10"/>
      <c r="C53" s="10"/>
      <c r="D53" s="40"/>
      <c r="E53" s="10"/>
      <c r="F53" s="10"/>
      <c r="G53" s="10"/>
      <c r="H53" s="10"/>
    </row>
  </sheetData>
  <customSheetViews>
    <customSheetView guid="{8766BD4A-A2D9-47A2-BAFB-80FCE2CBA564}" topLeftCell="A2">
      <selection activeCell="C14" sqref="C14"/>
      <pageMargins left="0.7" right="0.7" top="0.75" bottom="0.75" header="0.3" footer="0.3"/>
    </customSheetView>
    <customSheetView guid="{57921AD6-4E78-4BC5-B6EB-A8D32B8387DE}" topLeftCell="A2">
      <selection activeCell="C14" sqref="C14"/>
      <pageMargins left="0.7" right="0.7" top="0.75" bottom="0.75" header="0.3" footer="0.3"/>
    </customSheetView>
    <customSheetView guid="{E5346F5D-AB32-4911-8D1C-D52CEE49A305}" topLeftCell="A2">
      <selection activeCell="C14" sqref="C14"/>
      <pageMargins left="0.7" right="0.7" top="0.75" bottom="0.75" header="0.3" footer="0.3"/>
    </customSheetView>
  </customSheetViews>
  <conditionalFormatting sqref="K7:K16">
    <cfRule type="containsText" dxfId="1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3"/>
  <sheetViews>
    <sheetView tabSelected="1" workbookViewId="0">
      <selection activeCell="J14" sqref="J14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35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34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36"/>
    </row>
    <row r="5" spans="1:12" s="7" customFormat="1" ht="23.4" x14ac:dyDescent="0.45">
      <c r="A5" s="47" t="s">
        <v>22</v>
      </c>
      <c r="B5" s="65"/>
      <c r="C5" s="48"/>
      <c r="D5" s="48"/>
      <c r="E5" s="49"/>
      <c r="F5" s="48"/>
      <c r="G5" s="48"/>
      <c r="H5" s="48"/>
      <c r="I5" s="48"/>
      <c r="J5" s="50" t="s">
        <v>1</v>
      </c>
      <c r="K5" s="21" t="str">
        <f ca="1">CONCATENATE((MID(CELL("filename",K5),FIND("]",CELL("filename",K5))+1,255)),"/04/2026")</f>
        <v>26/04/2026</v>
      </c>
    </row>
    <row r="6" spans="1:12" ht="18.600000000000001" thickBot="1" x14ac:dyDescent="0.4">
      <c r="A6" s="51"/>
      <c r="B6" s="66"/>
      <c r="C6" s="52" t="s">
        <v>2</v>
      </c>
      <c r="D6" s="52" t="s">
        <v>3</v>
      </c>
      <c r="E6" s="53" t="s">
        <v>21</v>
      </c>
      <c r="F6" s="52" t="s">
        <v>19</v>
      </c>
      <c r="G6" s="52" t="s">
        <v>17</v>
      </c>
      <c r="H6" s="52" t="s">
        <v>4</v>
      </c>
      <c r="I6" s="54" t="s">
        <v>5</v>
      </c>
      <c r="J6" s="54" t="s">
        <v>20</v>
      </c>
      <c r="K6" s="55" t="s">
        <v>6</v>
      </c>
    </row>
    <row r="7" spans="1:12" x14ac:dyDescent="0.35">
      <c r="A7" s="44">
        <v>1</v>
      </c>
      <c r="B7" s="44"/>
      <c r="C7" s="22">
        <v>609</v>
      </c>
      <c r="D7" s="57" t="s">
        <v>23</v>
      </c>
      <c r="E7" s="46">
        <v>46143</v>
      </c>
      <c r="F7" s="22">
        <v>2</v>
      </c>
      <c r="G7" s="22">
        <v>2</v>
      </c>
      <c r="H7" s="22"/>
      <c r="I7" s="22"/>
      <c r="J7" s="58" t="s">
        <v>25</v>
      </c>
      <c r="K7" s="22" t="s">
        <v>30</v>
      </c>
      <c r="L7" s="56" t="s">
        <v>40</v>
      </c>
    </row>
    <row r="8" spans="1:12" x14ac:dyDescent="0.35">
      <c r="A8" s="26">
        <v>2</v>
      </c>
      <c r="B8" s="44"/>
      <c r="C8" s="22">
        <v>610</v>
      </c>
      <c r="D8" s="59" t="s">
        <v>26</v>
      </c>
      <c r="E8" s="46">
        <v>46143</v>
      </c>
      <c r="F8" s="28">
        <v>2</v>
      </c>
      <c r="G8" s="28"/>
      <c r="H8" s="28"/>
      <c r="I8" s="28"/>
      <c r="J8" s="58" t="s">
        <v>27</v>
      </c>
      <c r="K8" s="22" t="s">
        <v>30</v>
      </c>
      <c r="L8" s="56" t="s">
        <v>40</v>
      </c>
    </row>
    <row r="9" spans="1:12" x14ac:dyDescent="0.35">
      <c r="A9" s="26">
        <v>3</v>
      </c>
      <c r="B9" s="44"/>
      <c r="C9" s="22">
        <v>611</v>
      </c>
      <c r="D9" s="57" t="s">
        <v>28</v>
      </c>
      <c r="E9" s="46">
        <v>46143</v>
      </c>
      <c r="F9" s="28">
        <v>1</v>
      </c>
      <c r="G9" s="28"/>
      <c r="H9" s="28"/>
      <c r="I9" s="28"/>
      <c r="J9" s="58" t="s">
        <v>29</v>
      </c>
      <c r="K9" s="22" t="s">
        <v>30</v>
      </c>
      <c r="L9" s="56" t="s">
        <v>40</v>
      </c>
    </row>
    <row r="10" spans="1:12" x14ac:dyDescent="0.35">
      <c r="A10" s="17">
        <v>4</v>
      </c>
      <c r="B10" s="17"/>
      <c r="C10" s="28"/>
      <c r="D10" s="33"/>
      <c r="E10" s="37"/>
      <c r="F10" s="28"/>
      <c r="G10" s="28"/>
      <c r="H10" s="28"/>
      <c r="I10" s="28"/>
      <c r="J10" s="28"/>
      <c r="K10" s="28"/>
      <c r="L10" s="56" t="str">
        <f>IF(OR(NOT(ISERROR(MATCH(RIGHT(C10,3)+0,#REF!,0))),NOT(ISERROR(MATCH(LEFT(C10,3)+0,#REF!,0)))),"No Post","")</f>
        <v/>
      </c>
    </row>
    <row r="11" spans="1:12" x14ac:dyDescent="0.35">
      <c r="A11" s="17">
        <v>5</v>
      </c>
      <c r="B11" s="17"/>
      <c r="C11" s="28"/>
      <c r="D11" s="33"/>
      <c r="E11" s="37"/>
      <c r="F11" s="28"/>
      <c r="G11" s="28"/>
      <c r="H11" s="28"/>
      <c r="I11" s="28"/>
      <c r="J11" s="28"/>
      <c r="K11" s="28"/>
      <c r="L11" s="56" t="str">
        <f>IF(OR(NOT(ISERROR(MATCH(RIGHT(C11,3)+0,#REF!,0))),NOT(ISERROR(MATCH(LEFT(C11,3)+0,#REF!,0)))),"No Post","")</f>
        <v/>
      </c>
    </row>
    <row r="12" spans="1:12" x14ac:dyDescent="0.35">
      <c r="A12" s="26">
        <v>6</v>
      </c>
      <c r="B12" s="26"/>
      <c r="C12" s="27"/>
      <c r="D12" s="29"/>
      <c r="E12" s="24"/>
      <c r="F12" s="27"/>
      <c r="G12" s="31"/>
      <c r="H12" s="23"/>
      <c r="I12" s="28"/>
      <c r="J12" s="29"/>
      <c r="K12" s="29"/>
      <c r="L12" s="56" t="str">
        <f>IF(OR(NOT(ISERROR(MATCH(RIGHT(C12,3)+0,#REF!,0))),NOT(ISERROR(MATCH(LEFT(C12,3)+0,#REF!,0)))),"No Post","")</f>
        <v/>
      </c>
    </row>
    <row r="13" spans="1:12" x14ac:dyDescent="0.35">
      <c r="A13" s="26">
        <v>7</v>
      </c>
      <c r="B13" s="26"/>
      <c r="C13" s="27"/>
      <c r="D13" s="29"/>
      <c r="E13" s="24"/>
      <c r="F13" s="27"/>
      <c r="G13" s="25"/>
      <c r="H13" s="23"/>
      <c r="I13" s="26"/>
      <c r="J13" s="29"/>
      <c r="K13" s="29"/>
      <c r="L13" s="56" t="str">
        <f>IF(OR(NOT(ISERROR(MATCH(RIGHT(C13,3)+0,#REF!,0))),NOT(ISERROR(MATCH(LEFT(C13,3)+0,#REF!,0)))),"No Post","")</f>
        <v/>
      </c>
    </row>
    <row r="14" spans="1:12" s="8" customFormat="1" ht="19.8" x14ac:dyDescent="0.4">
      <c r="A14" s="26">
        <v>8</v>
      </c>
      <c r="B14" s="26"/>
      <c r="C14" s="27"/>
      <c r="D14" s="29"/>
      <c r="E14" s="24"/>
      <c r="F14" s="23"/>
      <c r="G14" s="23"/>
      <c r="H14" s="23"/>
      <c r="I14" s="26"/>
      <c r="J14" s="32"/>
      <c r="K14" s="32"/>
      <c r="L14" s="56" t="str">
        <f>IF(OR(NOT(ISERROR(MATCH(RIGHT(C14,3)+0,#REF!,0))),NOT(ISERROR(MATCH(LEFT(C14,3)+0,#REF!,0)))),"No Post","")</f>
        <v/>
      </c>
    </row>
    <row r="15" spans="1:12" x14ac:dyDescent="0.35">
      <c r="A15" s="17">
        <v>9</v>
      </c>
      <c r="B15" s="17"/>
      <c r="C15" s="19"/>
      <c r="D15" s="30"/>
      <c r="E15" s="20"/>
      <c r="F15" s="18"/>
      <c r="G15" s="18"/>
      <c r="H15" s="18"/>
      <c r="I15" s="17"/>
      <c r="J15" s="30"/>
      <c r="K15" s="30"/>
      <c r="L15" s="56" t="str">
        <f>IF(OR(NOT(ISERROR(MATCH(RIGHT(C15,3)+0,#REF!,0))),NOT(ISERROR(MATCH(LEFT(C15,3)+0,#REF!,0)))),"No Post","")</f>
        <v/>
      </c>
    </row>
    <row r="16" spans="1:12" s="9" customFormat="1" x14ac:dyDescent="0.35">
      <c r="A16" s="17">
        <v>10</v>
      </c>
      <c r="B16" s="17"/>
      <c r="C16" s="19"/>
      <c r="D16" s="30"/>
      <c r="E16" s="20"/>
      <c r="F16" s="18"/>
      <c r="G16" s="18"/>
      <c r="H16" s="18"/>
      <c r="I16" s="17"/>
      <c r="J16" s="30"/>
      <c r="K16" s="30"/>
      <c r="L16" s="56" t="str">
        <f>IF(OR(NOT(ISERROR(MATCH(RIGHT(C16,3)+0,#REF!,0))),NOT(ISERROR(MATCH(LEFT(C16,3)+0,#REF!,0)))),"No Post","")</f>
        <v/>
      </c>
    </row>
    <row r="17" spans="1:9" s="9" customFormat="1" ht="23.25" customHeight="1" x14ac:dyDescent="0.35">
      <c r="A17" s="1"/>
      <c r="B17" s="1"/>
      <c r="C17" s="1"/>
      <c r="D17" s="1"/>
      <c r="E17" s="38" t="s">
        <v>18</v>
      </c>
      <c r="F17" s="16">
        <f>SUM(F7:F16)</f>
        <v>5</v>
      </c>
      <c r="G17" s="16">
        <f>SUM(G7:G16)</f>
        <v>2</v>
      </c>
      <c r="H17" s="1"/>
      <c r="I17" s="1"/>
    </row>
    <row r="18" spans="1:9" s="9" customFormat="1" ht="23.25" customHeight="1" x14ac:dyDescent="0.35">
      <c r="A18" s="1"/>
      <c r="B18" s="1"/>
      <c r="C18" s="1"/>
      <c r="D18" s="1"/>
      <c r="E18" s="35"/>
      <c r="F18" s="1"/>
      <c r="G18" s="1"/>
      <c r="H18" s="1"/>
      <c r="I18" s="1"/>
    </row>
    <row r="19" spans="1:9" ht="20.25" customHeight="1" x14ac:dyDescent="0.35">
      <c r="C19" t="s">
        <v>7</v>
      </c>
      <c r="D19"/>
      <c r="E19" s="39"/>
      <c r="F19"/>
      <c r="G19"/>
      <c r="H19"/>
      <c r="I19"/>
    </row>
    <row r="20" spans="1:9" ht="20.25" customHeight="1" x14ac:dyDescent="0.35">
      <c r="C20" s="10" t="s">
        <v>8</v>
      </c>
      <c r="D20" s="10"/>
      <c r="E20" s="40"/>
      <c r="F20" s="10"/>
      <c r="G20" s="10"/>
      <c r="H20" s="10"/>
      <c r="I20" s="10"/>
    </row>
    <row r="21" spans="1:9" ht="20.25" customHeight="1" x14ac:dyDescent="0.35">
      <c r="C21" s="10" t="s">
        <v>9</v>
      </c>
      <c r="D21" s="10"/>
      <c r="E21" s="40"/>
      <c r="F21" s="10"/>
      <c r="G21" s="10"/>
      <c r="H21" s="10"/>
      <c r="I21" s="10"/>
    </row>
    <row r="22" spans="1:9" ht="20.25" customHeight="1" x14ac:dyDescent="0.35">
      <c r="C22" s="10" t="s">
        <v>10</v>
      </c>
      <c r="D22" s="10"/>
      <c r="E22" s="40"/>
      <c r="F22" s="10"/>
      <c r="G22" s="10"/>
      <c r="H22" s="10"/>
      <c r="I22" s="10"/>
    </row>
    <row r="23" spans="1:9" x14ac:dyDescent="0.35">
      <c r="C23" s="10" t="s">
        <v>11</v>
      </c>
      <c r="D23" s="10">
        <v>19</v>
      </c>
      <c r="E23" s="40"/>
      <c r="F23" s="10"/>
      <c r="G23" s="10"/>
      <c r="H23" s="10"/>
      <c r="I23" s="10"/>
    </row>
    <row r="24" spans="1:9" x14ac:dyDescent="0.35">
      <c r="C24" s="10" t="s">
        <v>12</v>
      </c>
      <c r="D24" s="10"/>
      <c r="E24" s="40"/>
      <c r="F24" s="10"/>
      <c r="G24" s="10"/>
      <c r="H24" s="10"/>
      <c r="I24" s="10"/>
    </row>
    <row r="25" spans="1:9" x14ac:dyDescent="0.35">
      <c r="C25" s="10" t="s">
        <v>13</v>
      </c>
      <c r="D25" s="10"/>
      <c r="E25" s="40"/>
      <c r="F25" s="10"/>
      <c r="G25" s="10"/>
      <c r="H25" s="10"/>
      <c r="I25" s="10"/>
    </row>
    <row r="26" spans="1:9" s="12" customFormat="1" ht="15.6" x14ac:dyDescent="0.3">
      <c r="C26" s="11" t="s">
        <v>14</v>
      </c>
      <c r="D26" s="11"/>
      <c r="E26" s="41"/>
      <c r="F26" s="11"/>
      <c r="G26" s="11"/>
      <c r="H26" s="11"/>
    </row>
    <row r="27" spans="1:9" s="12" customFormat="1" ht="15.6" x14ac:dyDescent="0.3">
      <c r="C27" s="11" t="s">
        <v>15</v>
      </c>
      <c r="D27" s="11"/>
      <c r="E27" s="41"/>
      <c r="F27" s="11"/>
      <c r="G27" s="11"/>
      <c r="H27" s="11"/>
    </row>
    <row r="28" spans="1:9" s="14" customFormat="1" ht="20.25" customHeight="1" x14ac:dyDescent="0.35">
      <c r="C28" s="13" t="s">
        <v>16</v>
      </c>
      <c r="D28" s="13"/>
      <c r="E28" s="42"/>
    </row>
    <row r="29" spans="1:9" customFormat="1" ht="14.4" x14ac:dyDescent="0.3">
      <c r="C29" s="15"/>
      <c r="D29" s="10"/>
      <c r="E29" s="40"/>
      <c r="F29" s="10"/>
      <c r="G29" s="10"/>
      <c r="H29" s="10"/>
      <c r="I29" s="10"/>
    </row>
    <row r="30" spans="1:9" x14ac:dyDescent="0.35">
      <c r="C30" s="10"/>
      <c r="D30" s="10"/>
      <c r="E30" s="40"/>
      <c r="F30" s="10"/>
      <c r="G30" s="10"/>
      <c r="H30" s="10"/>
      <c r="I30" s="10"/>
    </row>
    <row r="31" spans="1:9" x14ac:dyDescent="0.35">
      <c r="C31" s="15"/>
      <c r="D31" s="10"/>
      <c r="E31" s="40"/>
      <c r="F31" s="10"/>
      <c r="G31" s="10"/>
      <c r="H31" s="10"/>
      <c r="I31" s="10"/>
    </row>
    <row r="32" spans="1:9" x14ac:dyDescent="0.35">
      <c r="C32" s="10"/>
      <c r="D32" s="10"/>
      <c r="E32" s="40"/>
      <c r="F32" s="10"/>
      <c r="G32" s="10"/>
      <c r="H32" s="10"/>
      <c r="I32" s="10"/>
    </row>
    <row r="34" spans="3:9" x14ac:dyDescent="0.35">
      <c r="C34" s="9"/>
      <c r="D34" s="9"/>
      <c r="E34" s="43"/>
      <c r="F34" s="9"/>
      <c r="G34" s="9"/>
      <c r="H34" s="9"/>
      <c r="I34" s="9"/>
    </row>
    <row r="49" spans="3:9" x14ac:dyDescent="0.35">
      <c r="C49" s="10"/>
      <c r="D49" s="10"/>
      <c r="E49" s="40"/>
      <c r="F49" s="10"/>
      <c r="G49" s="10"/>
      <c r="H49" s="10"/>
      <c r="I49" s="10"/>
    </row>
    <row r="50" spans="3:9" x14ac:dyDescent="0.35">
      <c r="C50" s="10"/>
      <c r="D50" s="10"/>
      <c r="E50" s="40"/>
      <c r="F50" s="10"/>
      <c r="G50" s="10"/>
      <c r="H50" s="10"/>
      <c r="I50" s="10"/>
    </row>
    <row r="51" spans="3:9" x14ac:dyDescent="0.35">
      <c r="C51" s="10"/>
      <c r="D51" s="10"/>
      <c r="E51" s="40"/>
      <c r="F51" s="10"/>
      <c r="G51" s="10"/>
      <c r="H51" s="10"/>
      <c r="I51" s="10"/>
    </row>
    <row r="52" spans="3:9" x14ac:dyDescent="0.35">
      <c r="C52" s="15"/>
      <c r="D52" s="10"/>
      <c r="E52" s="40"/>
      <c r="F52" s="10"/>
      <c r="G52" s="10"/>
      <c r="H52" s="10"/>
      <c r="I52" s="10"/>
    </row>
    <row r="53" spans="3:9" x14ac:dyDescent="0.35">
      <c r="C53" s="10"/>
      <c r="D53" s="10"/>
      <c r="E53" s="40"/>
      <c r="F53" s="10"/>
      <c r="G53" s="10"/>
      <c r="H53" s="10"/>
      <c r="I53" s="10"/>
    </row>
  </sheetData>
  <customSheetViews>
    <customSheetView guid="{8766BD4A-A2D9-47A2-BAFB-80FCE2CBA564}">
      <selection activeCell="K10" sqref="K10"/>
      <pageMargins left="0.7" right="0.7" top="0.75" bottom="0.75" header="0.3" footer="0.3"/>
    </customSheetView>
    <customSheetView guid="{57921AD6-4E78-4BC5-B6EB-A8D32B8387DE}">
      <selection activeCell="K10" sqref="K10"/>
      <pageMargins left="0.7" right="0.7" top="0.75" bottom="0.75" header="0.3" footer="0.3"/>
    </customSheetView>
    <customSheetView guid="{E5346F5D-AB32-4911-8D1C-D52CEE49A305}">
      <selection activeCell="K10" sqref="K10"/>
      <pageMargins left="0.7" right="0.7" top="0.75" bottom="0.75" header="0.3" footer="0.3"/>
    </customSheetView>
  </customSheetViews>
  <conditionalFormatting sqref="L7:L16">
    <cfRule type="containsText" dxfId="0" priority="1" operator="containsText" text="No Post">
      <formula>NOT(ISERROR(SEARCH("No Post",L7)))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5</vt:lpstr>
      <vt:lpstr>12</vt:lpstr>
      <vt:lpstr>19</vt:lpstr>
      <vt:lpstr>26</vt:lpstr>
      <vt:lpstr>'5'!Print_Area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Assistant DiveCenter Manager</cp:lastModifiedBy>
  <cp:lastPrinted>2021-08-16T08:15:57Z</cp:lastPrinted>
  <dcterms:created xsi:type="dcterms:W3CDTF">2019-01-14T09:07:47Z</dcterms:created>
  <dcterms:modified xsi:type="dcterms:W3CDTF">2026-05-01T06:18:01Z</dcterms:modified>
</cp:coreProperties>
</file>